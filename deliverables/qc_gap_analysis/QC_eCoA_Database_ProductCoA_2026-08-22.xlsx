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README" sheetId="1" state="visible" r:id="rId3"/>
    <sheet name="1_Certificate_Register" sheetId="2" state="visible" r:id="rId4"/>
    <sheet name="2_Results" sheetId="3" state="visible" r:id="rId5"/>
    <sheet name="3_Findings" sheetId="4" state="visible" r:id="rId6"/>
    <sheet name="4_Duplicate_Files" sheetId="5" state="visible" r:id="rId7"/>
    <sheet name="5_Bundle_Split_Plan" sheetId="6" state="visible" r:id="rId8"/>
    <sheet name="6_Source_File_Index" sheetId="7" state="visible" r:id="rId9"/>
    <sheet name="7_Batch_Index" sheetId="8" state="visible" r:id="rId10"/>
    <sheet name="8_Summary" sheetId="9" state="visible" r:id="rId11"/>
  </sheets>
  <definedNames>
    <definedName function="false" hidden="true" localSheetId="1" name="_xlnm._FilterDatabase" vbProcedure="false">1_Certificate_Register!$A$1:$X$263</definedName>
    <definedName function="false" hidden="true" localSheetId="2" name="_xlnm._FilterDatabase" vbProcedure="false">2_Results!$A$1:$I$2417</definedName>
    <definedName function="false" hidden="true" localSheetId="3" name="_xlnm._FilterDatabase" vbProcedure="false">3_Findings!$A$1:$H$276</definedName>
    <definedName function="false" hidden="true" localSheetId="4" name="_xlnm._FilterDatabase" vbProcedure="false">4_Duplicate_Files!$A$1:$F$151</definedName>
    <definedName function="false" hidden="true" localSheetId="5" name="_xlnm._FilterDatabase" vbProcedure="false">5_Bundle_Split_Plan!$A$1:$J$141</definedName>
    <definedName function="false" hidden="true" localSheetId="6" name="_xlnm._FilterDatabase" vbProcedure="false">6_Source_File_Index!$A$1:$I$341</definedName>
    <definedName function="false" hidden="true" localSheetId="7" name="_xlnm._FilterDatabase" vbProcedure="false">7_Batch_Index!$A$1:$I$189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<sst xmlns="http://schemas.openxmlformats.org/spreadsheetml/2006/main" count="30221" uniqueCount="3616">
  <si>
    <t xml:space="preserve">QC eCoA DATABASE — PRODUCT CERTIFICATES OF ANALYSIS</t>
  </si>
  <si>
    <t xml:space="preserve">Purely Plant DOOEL, Skopje — GACP indoor cultivation / dry cannabis flower GMP facility</t>
  </si>
  <si>
    <t xml:space="preserve">Compiled by</t>
  </si>
  <si>
    <t xml:space="preserve">Blagoj Nikolov, Master Pharmacist, Head of Quality Control</t>
  </si>
  <si>
    <t xml:space="preserve">Data cut-off</t>
  </si>
  <si>
    <t xml:space="preserve">22 August 2026</t>
  </si>
  <si>
    <t xml:space="preserve">Scope of this build</t>
  </si>
  <si>
    <t xml:space="preserve">ImB_COAs and ImB_QC_COAs only. WATER_TESTING (248 files) is NOT included and requires a separate register.</t>
  </si>
  <si>
    <t xml:space="preserve">SOURCE POPULATION</t>
  </si>
  <si>
    <t xml:space="preserve">Physical PDF files scanned</t>
  </si>
  <si>
    <t xml:space="preserve">340</t>
  </si>
  <si>
    <t xml:space="preserve">Unique documents (SHA-256)</t>
  </si>
  <si>
    <t xml:space="preserve">190</t>
  </si>
  <si>
    <t xml:space="preserve">Redundant byte-identical copies</t>
  </si>
  <si>
    <t xml:space="preserve">150  → sheet 4_Duplicate_Files</t>
  </si>
  <si>
    <t xml:space="preserve">Total pages processed</t>
  </si>
  <si>
    <t xml:space="preserve">545</t>
  </si>
  <si>
    <t xml:space="preserve">Distinct certificates identified</t>
  </si>
  <si>
    <t xml:space="preserve">262  → sheet 1_Certificate_Register</t>
  </si>
  <si>
    <t xml:space="preserve">Individual test results transcribed</t>
  </si>
  <si>
    <t xml:space="preserve">2416 → sheet 2_Results</t>
  </si>
  <si>
    <t xml:space="preserve">METHOD</t>
  </si>
  <si>
    <t xml:space="preserve">1. Inventory</t>
  </si>
  <si>
    <t xml:space="preserve">Every PDF hashed (SHA-256), page count, page geometry and ink coverage measured to detect blank pages.</t>
  </si>
  <si>
    <t xml:space="preserve">2. OCR</t>
  </si>
  <si>
    <t xml:space="preserve">No file in the population carries a text layer — all are image-only scans. Every page OCR-ed at 300 dpi (Tesseract, mkd+eng) for classification only.</t>
  </si>
  <si>
    <t xml:space="preserve">3. Certificate segmentation</t>
  </si>
  <si>
    <t xml:space="preserve">Pages grouped into certificates by issuing laboratory, report number and the printed "Страна N од M" footer. Bundles were found to contain up to three certificates from two laboratories, with pages out of reading order.</t>
  </si>
  <si>
    <t xml:space="preserve">4. Transcription</t>
  </si>
  <si>
    <t xml:space="preserve">Every certificate page was re-read from the rendered page image and transcribed field by field. Values are recorded VERBATIM — decimal separators, "н.д.", "ND", "BLQ", "&lt;LOQ" and exponents are preserved as printed. No value was converted, rounded or recalculated.</t>
  </si>
  <si>
    <t xml:space="preserve">5. Verification</t>
  </si>
  <si>
    <t xml:space="preserve">Independent transcription passes; every anomaly recorded in "Transcription remarks" and escalated to sheet 3_Findings.</t>
  </si>
  <si>
    <t xml:space="preserve">DATA INTEGRITY STATEMENT (ALCOA+)</t>
  </si>
  <si>
    <t xml:space="preserve">This workbook is a DERIVED, SECONDARY record. It is not the raw data and must not be used as the release record.</t>
  </si>
  <si>
    <t xml:space="preserve">The as-received PDF remains the raw data (EudraLex Vol. 4, Chapter 4, §4.9; Annex 11 §4.8). No original file has been altered, renamed, split or deleted in producing this workbook.</t>
  </si>
  <si>
    <t xml:space="preserve">Every row carries full provenance: source file, page range and SHA-256, so any value can be traced back to the exact scanned page it was read from.</t>
  </si>
  <si>
    <t xml:space="preserve">This workbook has no audit trail, no access control and no electronic signature. It does NOT satisfy EudraLex Vol. 4 Annex 11 for a computerised system and must not be relied upon for batch certification (Annex 16 §1.7).</t>
  </si>
  <si>
    <t xml:space="preserve">LIMITATIONS — READ BEFORE USE</t>
  </si>
  <si>
    <t xml:space="preserve">1. NO BATCH MASTER LIST WAS AVAILABLE. The requested RAGflow batch register could not be reached from this session. "Production Batches QC Result Table.xlsx" in the parent folder covers 2020–2021 batches only (AK…, CBD…, CSTHC…) and contains none of the P05…/P06…/P16… batches here. Sheet 7_Batch_Index is therefore built from the batch codes PRINTED ON THE CERTIFICATES, not from an authoritative batch list. Gaps (a batch with no CoA) CANNOT be identified until that list is supplied.</t>
  </si>
  <si>
    <t xml:space="preserve">2. Batch identifiers on the certificates are not internally consistent (P050022 vs PO50022, J31112501 vs J31122501, CJ052501/1 vs CJ 052501-1). They are recorded as printed; no normalisation has been applied.</t>
  </si>
  <si>
    <t xml:space="preserve">3. The Farmahem "-M-" suffix denotes MYCOTOXINS (микотоксини), not microbiology.</t>
  </si>
  <si>
    <t xml:space="preserve">4. Sheet 3_Findings is an inventory of observations, not a QA disposition. Every CRITICAL item requires a deviation record and an investigation before the affected batch is relied upon.</t>
  </si>
  <si>
    <t xml:space="preserve">REGULATORY BASIS FOR THE ACCEPTANCE CRITERIA CITED IN SHEET 2</t>
  </si>
  <si>
    <t xml:space="preserve">Ph. Eur. 11.5 monograph 3028 "Cannabis flos" (07/2024:3028)</t>
  </si>
  <si>
    <t xml:space="preserve">Ph. Eur. 2.2.32 Loss on drying; 2.2.29 Liquid chromatography; 2.8.2 Foreign matter</t>
  </si>
  <si>
    <t xml:space="preserve">Ph. Eur. 2.8.13 Pesticide residues; 2.4.27 Heavy metals in herbal drugs; 2.8.18 Aflatoxin B1</t>
  </si>
  <si>
    <t xml:space="preserve">Ph. Eur. 5.1.8 Microbiological quality of herbal medicinal products for oral use (04/2019:50108), Category C; 2.6.12; 2.6.31</t>
  </si>
  <si>
    <t xml:space="preserve">DAB (Deutsches Arzneibuch) 2018 — cited by UKIM CNP on the older certificates</t>
  </si>
  <si>
    <t xml:space="preserve">MKS EN ISO/IEC 17025:2018 — accreditation basis of all three external laboratories</t>
  </si>
  <si>
    <t xml:space="preserve">SHEET GUIDE</t>
  </si>
  <si>
    <t xml:space="preserve">1_Certificate_Register</t>
  </si>
  <si>
    <t xml:space="preserve">One row per distinct certificate. The spine of the database.</t>
  </si>
  <si>
    <t xml:space="preserve">2_Results</t>
  </si>
  <si>
    <t xml:space="preserve">One row per transcribed test result, verbatim.</t>
  </si>
  <si>
    <t xml:space="preserve">3_Findings</t>
  </si>
  <si>
    <t xml:space="preserve">Every anomaly, graded CRITICAL / MAJOR / MINOR.</t>
  </si>
  <si>
    <t xml:space="preserve">4_Duplicate_Files</t>
  </si>
  <si>
    <t xml:space="preserve">The 150 redundant byte-identical copies and which file to retain.</t>
  </si>
  <si>
    <t xml:space="preserve">5_Bundle_Split_Plan</t>
  </si>
  <si>
    <t xml:space="preserve">Page-exact instructions to derive one file per certificate from the merged scans.</t>
  </si>
  <si>
    <t xml:space="preserve">6_Source_File_Index</t>
  </si>
  <si>
    <t xml:space="preserve">Every one of the 340 physical files and what it contains.</t>
  </si>
  <si>
    <t xml:space="preserve">7_Batch_Index</t>
  </si>
  <si>
    <t xml:space="preserve">Certificates grouped by the batch code printed on them.</t>
  </si>
  <si>
    <t xml:space="preserve">8_Summary</t>
  </si>
  <si>
    <t xml:space="preserve">Counts, computed by formula from the register.</t>
  </si>
  <si>
    <t xml:space="preserve">Certificate ID</t>
  </si>
  <si>
    <t xml:space="preserve">Issuing laboratory</t>
  </si>
  <si>
    <t xml:space="preserve">Lab code</t>
  </si>
  <si>
    <t xml:space="preserve">Certificate / report No. (as filed)</t>
  </si>
  <si>
    <t xml:space="preserve">Certificate No. read from page</t>
  </si>
  <si>
    <t xml:space="preserve">Test scope</t>
  </si>
  <si>
    <t xml:space="preserve">Date of issue</t>
  </si>
  <si>
    <t xml:space="preserve">Date sample received</t>
  </si>
  <si>
    <t xml:space="preserve">Date testing completed</t>
  </si>
  <si>
    <t xml:space="preserve">Batch / serial on certificate</t>
  </si>
  <si>
    <t xml:space="preserve">Strain / variety</t>
  </si>
  <si>
    <t xml:space="preserve">Client named on certificate</t>
  </si>
  <si>
    <t xml:space="preserve">Lab internal sample No.</t>
  </si>
  <si>
    <t xml:space="preserve">Conformity statement / verdict</t>
  </si>
  <si>
    <t xml:space="preserve">Signed?</t>
  </si>
  <si>
    <t xml:space="preserve">Form version</t>
  </si>
  <si>
    <t xml:space="preserve">Pages present</t>
  </si>
  <si>
    <t xml:space="preserve">Declared total pages</t>
  </si>
  <si>
    <t xml:space="preserve">Complete?</t>
  </si>
  <si>
    <t xml:space="preserve">In multi-certificate bundle?</t>
  </si>
  <si>
    <t xml:space="preserve">No. of physical copies on disk</t>
  </si>
  <si>
    <t xml:space="preserve">Source file(s)</t>
  </si>
  <si>
    <t xml:space="preserve">Page range in source</t>
  </si>
  <si>
    <t xml:space="preserve">Transcription remarks</t>
  </si>
  <si>
    <t xml:space="preserve">FARMAHEM|051-1-GC/26</t>
  </si>
  <si>
    <t xml:space="preserve">Farmahem Environmental Laboratory (ЛТ-017)</t>
  </si>
  <si>
    <t xml:space="preserve">FARMAHEM</t>
  </si>
  <si>
    <t xml:space="preserve">051-1-GC/26</t>
  </si>
  <si>
    <t xml:space="preserve">051-1-ГС/26</t>
  </si>
  <si>
    <t xml:space="preserve">Cannabinoid assay (HPLC/DAD, Ph.Eur. 3028) or Loss on drying (Ph. Eur. 2.2.32) – GC</t>
  </si>
  <si>
    <t xml:space="preserve">02.03.2026</t>
  </si>
  <si>
    <t xml:space="preserve">23.02.2026</t>
  </si>
  <si>
    <t xml:space="preserve">26.02.2026-27.02.2026</t>
  </si>
  <si>
    <t xml:space="preserve">Jokerz 31 / J31102501</t>
  </si>
  <si>
    <t xml:space="preserve">Пјурели Плант ДООЕЛ Скопје, Индустриска улица бр.9 КО, с.Ќојлија, 1043 Петровец</t>
  </si>
  <si>
    <t xml:space="preserve">CF-73/26</t>
  </si>
  <si>
    <t xml:space="preserve">yes — handwritten signatures for analyst, checker (Проверил) and responsible person, plus round Фармахем ДООЕЛ Скопје stamp</t>
  </si>
  <si>
    <t xml:space="preserve">yes</t>
  </si>
  <si>
    <t xml:space="preserve">no</t>
  </si>
  <si>
    <t xml:space="preserve">ImB_COAs/051-1-GS-26 Pjureli Plant.pdf ; ImB_QC_COAs/J31102501/051-1-GS-26 Pjureli Plant.pdf</t>
  </si>
  <si>
    <t xml:space="preserve">1,2</t>
  </si>
  <si>
    <t xml:space="preserve">Report number printed as 051-1-ГС/26 (Cyrillic ГС); manifest doc_no is 051-1-GC/26. Extra cover field 'Проверил:' — Маријан Лакс, дипл. инж. по заштита на животна средина, одговорен соработник. No 'Параметри кои се предмет на анализа' field on this report type. Decimal comma used (6,3 / ± 0,2 / 5,38).</t>
  </si>
  <si>
    <t xml:space="preserve">FARMAHEM|051-1-K/26</t>
  </si>
  <si>
    <t xml:space="preserve">051-1-K/26</t>
  </si>
  <si>
    <t xml:space="preserve">051-1-К/26</t>
  </si>
  <si>
    <t xml:space="preserve">Cannabinoid assay (HPLC/DAD, Ph.Eur. 3028) or Loss on drying (Ph. Eur. 2.2.32) – Cannabinoids</t>
  </si>
  <si>
    <t xml:space="preserve">04.03.2026</t>
  </si>
  <si>
    <t xml:space="preserve">yes — handwritten signatures for analyst and responsible person, plus round Фармахем ДООЕЛ Скопје stamp</t>
  </si>
  <si>
    <t xml:space="preserve">ImB_COAs/051-1-K-26 Pjureli Plant.pdf ; ImB_QC_COAs/J31102501/051-1-K-26 Pjureli Plant.pdf</t>
  </si>
  <si>
    <t xml:space="preserve">Report number printed with Cyrillic К. Sample-table last column headed 'Количина' with value '5.38 g'. Same lab internal number CF-73/26 and same sample (Jokerz 31 J31102501) as loss-on-drying report 051-1-ГС/26 — consistent; that report prints the mass with a decimal comma (5,38) and this one with a point (5.38 g).</t>
  </si>
  <si>
    <t xml:space="preserve">FARMAHEM|051-2-GC/26</t>
  </si>
  <si>
    <t xml:space="preserve">051-2-GC/26</t>
  </si>
  <si>
    <t xml:space="preserve">051-2-ГС/26</t>
  </si>
  <si>
    <t xml:space="preserve">Sleepy Joy
SJ112501</t>
  </si>
  <si>
    <t xml:space="preserve">CF-74/26</t>
  </si>
  <si>
    <t xml:space="preserve">yes — signatures for analyst, checker (Проверил) and responsible person</t>
  </si>
  <si>
    <t xml:space="preserve">ImB_COAs/051-2-GS-26 Pjureli Plant.pdf ; ImB_QC_COAs/SJ112501/051-2-GS-26 Pjureli Plant.pdf</t>
  </si>
  <si>
    <t xml:space="preserve">Printed number Cyrillic 051-2-ГС/26 vs manifest 051-2-GC/26. Extra cover row 'Проверил: Маријан Лакс, дипл. инж. по заштита на животна средина одговорен соработник'.</t>
  </si>
  <si>
    <t xml:space="preserve">FARMAHEM|051-2-K/26</t>
  </si>
  <si>
    <t xml:space="preserve">051-2-K/26</t>
  </si>
  <si>
    <t xml:space="preserve">yes — visible handwritten signatures for analyst and responsible person</t>
  </si>
  <si>
    <t xml:space="preserve">ImB_COAs/051-2-K-26 Pjureli Plant.pdf ; ImB_QC_COAs/SJ112501/051-2-K-26 Pjureli Plant.pdf</t>
  </si>
  <si>
    <t xml:space="preserve">Sample table column is 'Количина' (5.24 g). Same sample CF-74/26 as loss-on-drying report 051-2-ГС/26.</t>
  </si>
  <si>
    <t xml:space="preserve">FARMAHEM|051-3-GC/26</t>
  </si>
  <si>
    <t xml:space="preserve">051-3-GC/26</t>
  </si>
  <si>
    <t xml:space="preserve">051-3-ГС/26</t>
  </si>
  <si>
    <t xml:space="preserve">Sleepy Joy SJ102501</t>
  </si>
  <si>
    <t xml:space="preserve">CF-75/26</t>
  </si>
  <si>
    <t xml:space="preserve">ImB_COAs/051-3-GS-26 Pjureli Plant.pdf ; ImB_QC_COAs/SJ102501/051-3-GS-26 Pjureli Plant.pdf</t>
  </si>
  <si>
    <t xml:space="preserve">Печатениот број на извештајот е со кирилична ознака 'ГС' (051-x-ГС/26), додека манифестот користи латинично 'GC' (051-x-GC/26) — иста ознака, различна транслитерација. Извештајот содржи и дополнително поле 'Проверил:' (Маријан Лакс, дипл. инж. по заштита на животна средина, одговорен соработник) кое не постои во бараната шема. Нема поле 'Параметри кои се предмет на анализа'. Скенот е чист, потписи и печат видливи.</t>
  </si>
  <si>
    <t xml:space="preserve">FARMAHEM|051-3-K/26</t>
  </si>
  <si>
    <t xml:space="preserve">051-3-K/26</t>
  </si>
  <si>
    <t xml:space="preserve">Sleepy Joy
SJ102501</t>
  </si>
  <si>
    <t xml:space="preserve">ImB_COAs/051-3-K-26 Pjureli Plant.pdf ; ImB_QC_COAs/SJ102501/051-3-K-26 Pjureli Plant.pdf</t>
  </si>
  <si>
    <t xml:space="preserve">Batch printed SJ102501 (sample CF-75/26); the Sleepy Joy loss-on-drying report 051-2-ГС/26 covers a different sample CF-74/26 with batch SJ112501. Column is 'Количина' (5.29 g).</t>
  </si>
  <si>
    <t xml:space="preserve">FARMAHEM|051-4-GC/26</t>
  </si>
  <si>
    <t xml:space="preserve">051-4-GC/26</t>
  </si>
  <si>
    <t xml:space="preserve">051-4-ГС/26</t>
  </si>
  <si>
    <t xml:space="preserve">Kush Krasher KC102501</t>
  </si>
  <si>
    <t xml:space="preserve">CF-76/26</t>
  </si>
  <si>
    <t xml:space="preserve">ImB_COAs/051-4-GS-26 Pjureli Plant.pdf ; ImB_QC_COAs/KC102501/051-4-GS-26 Pjureli Plant.pdf</t>
  </si>
  <si>
    <t xml:space="preserve">FARMAHEM|051-4-K/26</t>
  </si>
  <si>
    <t xml:space="preserve">051-4-K/26</t>
  </si>
  <si>
    <t xml:space="preserve">Kush Crasher
KC102501</t>
  </si>
  <si>
    <t xml:space="preserve">ImB_COAs/051-4-K-26 Pjureli Plant.pdf ; ImB_QC_COAs/KC102501/051-4-K-26 Pjureli Plant.pdf</t>
  </si>
  <si>
    <t xml:space="preserve">Sample table column is 'Количина' (4.97 g) rather than 'Маса [g]'. No other anomalies.</t>
  </si>
  <si>
    <t xml:space="preserve">FARMAHEM|051-5-GC/26</t>
  </si>
  <si>
    <t xml:space="preserve">051-5-GC/26</t>
  </si>
  <si>
    <t xml:space="preserve">051-5-ГС/26</t>
  </si>
  <si>
    <t xml:space="preserve">Jokerz 31
J31112501</t>
  </si>
  <si>
    <t xml:space="preserve">CF-77/26</t>
  </si>
  <si>
    <t xml:space="preserve">ImB_COAs/051-5-GS-26 Pjureli Plant.pdf ; ImB_QC_COAs/J31112501/051-5-GS-26 Pjureli Plant.pdf</t>
  </si>
  <si>
    <t xml:space="preserve">Printed number is Cyrillic 051-5-ГС/26 vs manifest 051-5-GC/26. Cover page has an extra row 'Проверил: Маријан Лакс, дипл. инж. по заштита на животна средина одговорен соработник' not present in the requested schema.</t>
  </si>
  <si>
    <t xml:space="preserve">FARMAHEM|051-5-K/26</t>
  </si>
  <si>
    <t xml:space="preserve">051-5-K/26</t>
  </si>
  <si>
    <t xml:space="preserve">ImB_COAs/051-5-K-26 Pjureli Plant.pdf ; ImB_QC_COAs/J31112501/051-5-K-26 Pjureli Plant.pdf</t>
  </si>
  <si>
    <t xml:space="preserve">Sample table column is 'Количина' (6.18 g) rather than 'Маса [g]'; result/U headers are (%w/w) in parentheses. Same lab sample CF-77/26 as loss-on-drying report 051-5-ГС/26.</t>
  </si>
  <si>
    <t xml:space="preserve">FARMAHEM|051-6-GC/26</t>
  </si>
  <si>
    <t xml:space="preserve">051-6-GC/26</t>
  </si>
  <si>
    <t xml:space="preserve">051-6-ГС/26</t>
  </si>
  <si>
    <t xml:space="preserve">Graps &amp; Creme
GRC102501/2</t>
  </si>
  <si>
    <t xml:space="preserve">CF-78/26</t>
  </si>
  <si>
    <t xml:space="preserve">ImB_COAs/051-6-GS-26 Pjureli Plant.pdf ; ImB_QC_COAs/GRC102501-2/051-6-GS-26 Pjureli Plant.pdf</t>
  </si>
  <si>
    <t xml:space="preserve">Printed number Cyrillic 051-6-ГС/26 vs manifest 051-6-GC/26. Extra cover row 'Проверил: Маријан Лакс'. Strain printed 'Graps &amp; Creme' (likely intended 'Grapes'), transcribed as printed.</t>
  </si>
  <si>
    <t xml:space="preserve">FARMAHEM|051-6-K/26</t>
  </si>
  <si>
    <t xml:space="preserve">051-6-K/26</t>
  </si>
  <si>
    <t xml:space="preserve">051-6-К/26</t>
  </si>
  <si>
    <t xml:space="preserve">Graps &amp; Creme / GRC102501/2</t>
  </si>
  <si>
    <t xml:space="preserve">ImB_COAs/051-6-K-26 Pjureli Plant.pdf ; ImB_QC_COAs/GRC102501-2/051-6-K-26 Pjureli Plant.pdf</t>
  </si>
  <si>
    <t xml:space="preserve">Report number printed with Cyrillic К. Sample-table last column is headed 'Количина' with value '4.72 g' rather than 'Маса [g]'. Responsible person's title here is 'Шеф на Лабораторија за животна средина' (differs from 'Раководител' used on the July/August 2026 reports).</t>
  </si>
  <si>
    <t xml:space="preserve">FARMAHEM|100-1-GC/26</t>
  </si>
  <si>
    <t xml:space="preserve">100-1-GC/26</t>
  </si>
  <si>
    <t xml:space="preserve">100-1-ГС/26</t>
  </si>
  <si>
    <t xml:space="preserve">09.04.2026</t>
  </si>
  <si>
    <t xml:space="preserve">27.03.2026</t>
  </si>
  <si>
    <t xml:space="preserve">08.04.2026-09.04.2026</t>
  </si>
  <si>
    <t xml:space="preserve">CF-150/26</t>
  </si>
  <si>
    <t xml:space="preserve">ImB_COAs/100-1-GS-26 Pjureli Plant.pdf ; ImB_QC_COAs/J31112501/100-1-GS-26 Pjureli Plant.pdf</t>
  </si>
  <si>
    <t xml:space="preserve">Printed report number uses Cyrillic ГС (100-1-ГС/26); manifest doc_no is Latin 100-1-GC/26 — transliteration difference only. No ND/&lt;LOQ footnote block on loss-on-drying form.</t>
  </si>
  <si>
    <t xml:space="preserve">FARMAHEM|100-1-K/26</t>
  </si>
  <si>
    <t xml:space="preserve">100-1-K/26</t>
  </si>
  <si>
    <t xml:space="preserve">26.03.2026</t>
  </si>
  <si>
    <t xml:space="preserve">01.04.2026</t>
  </si>
  <si>
    <t xml:space="preserve">CF-149/26</t>
  </si>
  <si>
    <t xml:space="preserve">ImB_COAs/100-1-K-26 Pjureli Plant.pdf ; ImB_QC_COAs/J31112501/100-1-K-26 Pjureli Plant.pdf</t>
  </si>
  <si>
    <t xml:space="preserve">Date received 26.03.2026 here vs 27.03.2026 on the companion loss-on-drying report 100-1-ГС/26 (sample CF-150/26, same batch J31112501).</t>
  </si>
  <si>
    <t xml:space="preserve">FARMAHEM|100-2-GC/26</t>
  </si>
  <si>
    <t xml:space="preserve">100-2-GC/26</t>
  </si>
  <si>
    <t xml:space="preserve">100-2-ГС/26</t>
  </si>
  <si>
    <t xml:space="preserve">Jokerz 31 J31112501
(рачно тримиран цвет)</t>
  </si>
  <si>
    <t xml:space="preserve">CF-152/26</t>
  </si>
  <si>
    <t xml:space="preserve">YES</t>
  </si>
  <si>
    <t xml:space="preserve">ImB_COAs/100-2-GS-26 Pjureli Plant.pdf ; ImB_COAs/J31122501 - Racno trimiran cvet.pdf ; ImB_QC_COAs/J31112501/100-2-GS-26 Pjureli Plant.pdf ; ImB_QC_COAs/J31122501/J31122501 - Racno trimiran cvet.pdf</t>
  </si>
  <si>
    <t xml:space="preserve">3,4</t>
  </si>
  <si>
    <t xml:space="preserve">Printed number Cyrillic 100-2-ГС/26 vs manifest 100-2-GC/26. Batch printed J31112501 vs J31122501 on companion report 100-2-K/26 from the same PDF (digit mismatch). Date received 27.03.2026 vs 26.03.2026 on 100-2-K/26.</t>
  </si>
  <si>
    <t xml:space="preserve">FARMAHEM|100-2-K/26</t>
  </si>
  <si>
    <t xml:space="preserve">100-2-K/26</t>
  </si>
  <si>
    <t xml:space="preserve">Jokerz 31
J31122501(рачно тримиран цвет)</t>
  </si>
  <si>
    <t xml:space="preserve">CF-151/26</t>
  </si>
  <si>
    <t xml:space="preserve">ImB_COAs/100-2-K-26 Pjureli Plant.pdf ; ImB_COAs/J31122501 - Racno trimiran cvet.pdf ; ImB_QC_COAs/J31112501/100-2-K-26 Pjureli Plant.pdf ; ImB_QC_COAs/J31122501/J31122501 - Racno trimiran cvet.pdf</t>
  </si>
  <si>
    <t xml:space="preserve">Batch printed as J31122501, while the companion loss-on-drying report 100-2-ГС/26 in the same source PDF prints J31112501 for the same 'рачно тримиран цвет' material — digit mismatch verified at high magnification, transcribed as printed. Date received 26.03.2026 here vs 27.03.2026 on 100-2-ГС/26.</t>
  </si>
  <si>
    <t xml:space="preserve">FARMAHEM|100-3-GC/26</t>
  </si>
  <si>
    <t xml:space="preserve">100-3-GC/26</t>
  </si>
  <si>
    <t xml:space="preserve">100-3-ГС/26</t>
  </si>
  <si>
    <t xml:space="preserve">Jokerz 31 J31112501 (тримиран цвет)</t>
  </si>
  <si>
    <t xml:space="preserve">CF-154/26</t>
  </si>
  <si>
    <t xml:space="preserve">ImB_COAs/100-3-GS-26 Pjureli Plant.pdf ; ImB_COAs/J31122501 - Trimiran cvet.pdf ; ImB_QC_COAs/J31122501/100-3-GS-26 Pjureli Plant.pdf ; ImB_QC_COAs/J31122501/J31122501 - Trimiran cvet.pdf</t>
  </si>
  <si>
    <t xml:space="preserve">2,3</t>
  </si>
  <si>
    <t xml:space="preserve">Manifest image order is REVERSED for this cid: ...__p1.png is the printed page 2/2 (results) and ...__p2.png is the printed cover page 1/2. Report number printed as 100-3-ГС/26 (Cyrillic ГС) vs manifest 100-3-GC/26. Batch/serial J31112501 here conflicts with J31122501 on the companion cannabinoid report 100-3-К/26 from the same PDF. This ГС report has no 'Проверил' field (unlike 051-1-ГС/26). Decimal comma used (10,3 / ± 0,2 / 3,03 / 0,9877).</t>
  </si>
  <si>
    <t xml:space="preserve">FARMAHEM|100-3-K/26</t>
  </si>
  <si>
    <t xml:space="preserve">100-3-K/26</t>
  </si>
  <si>
    <t xml:space="preserve">100-3-К/26</t>
  </si>
  <si>
    <t xml:space="preserve">Jokerz 31 / J31122501(тримиран цвет)</t>
  </si>
  <si>
    <t xml:space="preserve">CF-153/26</t>
  </si>
  <si>
    <t xml:space="preserve">ImB_COAs/100-3-K-26 Pjureli Plant.pdf ; ImB_COAs/J31122501 - Trimiran cvet.pdf ; ImB_QC_COAs/J31122501/100-3-K-26 Pjureli Plant.pdf ; ImB_QC_COAs/J31122501/J31122501 - Trimiran cvet.pdf</t>
  </si>
  <si>
    <t xml:space="preserve">1,4</t>
  </si>
  <si>
    <t xml:space="preserve">Report number printed with Cyrillic К. Batch/serial printed here is J31122501, but the companion loss-on-drying report 100-3-ГС/26 in the SAME source PDF prints J31112501 for the same Jokerz 31 тримиран цвет sample — the two differ in the 5th digit (verified at 4x magnification). Also the two reports quote different receipt dates (26.03.2026 here vs 27.03.2026 on the ГС report) and different lab internal numbers (CF-153/26 vs CF-154/26).</t>
  </si>
  <si>
    <t xml:space="preserve">FARMAHEM|100-4-GC/26</t>
  </si>
  <si>
    <t xml:space="preserve">100-4-GC/26</t>
  </si>
  <si>
    <t xml:space="preserve">100-4-ГС/26</t>
  </si>
  <si>
    <t xml:space="preserve">Orange Punch Mimosa / OPM122501</t>
  </si>
  <si>
    <t xml:space="preserve">CF-156/26</t>
  </si>
  <si>
    <t xml:space="preserve">yes — handwritten signatures for analyst and responsible person, plus round Фармахем ДООЕЛ Скопје stamp (stamp partly cut off at the right edge of the scan)</t>
  </si>
  <si>
    <t xml:space="preserve">ImB_COAs/100-4-GS-26 Pjureli Plant.pdf ; ImB_COAs/OPM122501.pdf ; ImB_QC_COAs/OPM122501/100-4-GS-26 Pjureli Plant.pdf ; ImB_QC_COAs/OPM122501/OPM122501.pdf</t>
  </si>
  <si>
    <t xml:space="preserve">3,4,5</t>
  </si>
  <si>
    <t xml:space="preserve">Report number printed as 100-4-ГС/26 (Cyrillic ГС) vs manifest 100-4-GC/26. The manifest lists THREE source pages: images p1 and p2 are the report's pages 1/2 and 2/2; image p3 is NOT part of the report — it is a separate handwritten sample-intake form (ФК 7.4.15 'Приемен лист за примероци од канабис', Бр. на прием 29/26, Датум на прием 27.03.2026, received by Христина Тришеска, delivered by a client representative). That intake sheet lists CF-156/26 = Orange Punch Mimosa OPM122501, 2,99 g, agreeing with this report; it also records CF-153/26 and CF-154/26 both as Jokerz 31 J31122501 (тримиран цвет), which supports J31112501 on report 100-3-ГС/26 being a typo. Decimal comma used (6,6 / ± 0,2 / 2,99 / 0,9992). Same sample as cannabinoid report 100-4-К/26 (OPM122501, 2.99 g) but a different lab internal number (CF-156/26 here vs CF-155/26 there) and a different receipt date (27.03.2026 vs 26.03.2026).</t>
  </si>
  <si>
    <t xml:space="preserve">FARMAHEM|100-4-K/26</t>
  </si>
  <si>
    <t xml:space="preserve">100-4-K/26</t>
  </si>
  <si>
    <t xml:space="preserve">100-4-К/26</t>
  </si>
  <si>
    <t xml:space="preserve">CF-155/26</t>
  </si>
  <si>
    <t xml:space="preserve">ImB_COAs/100-4-K-26 Pjureli Plant.pdf ; ImB_COAs/OPM122501.pdf ; ImB_QC_COAs/OPM122501/100-4-K-26 Pjureli Plant.pdf ; ImB_QC_COAs/OPM122501/OPM122501.pdf</t>
  </si>
  <si>
    <t xml:space="preserve">Report number printed with Cyrillic К. Packaging is Пластично пакување (plastic) unlike the aluminium packaging on the other reports. Scan has faint pink bleed-through at left margin but all text legible.</t>
  </si>
  <si>
    <t xml:space="preserve">FARMAHEM|197-1-K/26</t>
  </si>
  <si>
    <t xml:space="preserve">197-1-K/26</t>
  </si>
  <si>
    <t xml:space="preserve">197-1-К/26</t>
  </si>
  <si>
    <t xml:space="preserve">07.08.2026</t>
  </si>
  <si>
    <t xml:space="preserve">27.07.2026</t>
  </si>
  <si>
    <t xml:space="preserve">28.07.2026</t>
  </si>
  <si>
    <t xml:space="preserve">Blue Gelato BG1024</t>
  </si>
  <si>
    <t xml:space="preserve">CF-396/26</t>
  </si>
  <si>
    <t xml:space="preserve">ImB_COAs/197-1-K-26 Pjureli Plant.pdf ; ImB_QC_COAs/BG1024/197-1-K-26 Pjureli Plant.pdf</t>
  </si>
  <si>
    <t xml:space="preserve">Нема колона за подрачје/граница на прифатливост во табелата со резултати. Скенот е чист, потпис и печат видливи.</t>
  </si>
  <si>
    <t xml:space="preserve">FARMAHEM|197-1-M/26</t>
  </si>
  <si>
    <t xml:space="preserve">197-1-M/26</t>
  </si>
  <si>
    <t xml:space="preserve">Cannabinoid assay (HPLC/DAD, Ph.Eur. 3028) or Loss on drying (Ph. Eur. 2.2.32) – Microbiology</t>
  </si>
  <si>
    <t xml:space="preserve">10.08.2026</t>
  </si>
  <si>
    <t xml:space="preserve">29.07.2026</t>
  </si>
  <si>
    <t xml:space="preserve">06.08.2026</t>
  </si>
  <si>
    <t xml:space="preserve">Blue Gelato
BG1024</t>
  </si>
  <si>
    <t xml:space="preserve">ImB_COAs/197-1-M-26 Pjureli Plant.pdf ; ImB_QC_COAs/BG1024/197-1-M-26 Pjureli Plant.pdf</t>
  </si>
  <si>
    <t xml:space="preserve">Mycotoxin report (М = микотоксини). Scan legible; no anomalies.</t>
  </si>
  <si>
    <t xml:space="preserve">FARMAHEM|197-10-K/26</t>
  </si>
  <si>
    <t xml:space="preserve">197-10-K/26</t>
  </si>
  <si>
    <t xml:space="preserve">197-10-К/26</t>
  </si>
  <si>
    <t xml:space="preserve">Grape Pie P050152</t>
  </si>
  <si>
    <t xml:space="preserve">CF-405/26</t>
  </si>
  <si>
    <t xml:space="preserve">ImB_COAs/197-10-K-26 Pjureli Plant.pdf ; ImB_QC_COAs/P050152 (GP052501)/197-10-K-26 Pjureli Plant.pdf</t>
  </si>
  <si>
    <t xml:space="preserve">FARMAHEM|197-10-M/26</t>
  </si>
  <si>
    <t xml:space="preserve">197-10-M/26</t>
  </si>
  <si>
    <t xml:space="preserve">197-10-М/26</t>
  </si>
  <si>
    <t xml:space="preserve">ImB_COAs/197-10-M-26 Pjureli Plant.pdf ; ImB_QC_COAs/P050152 (GP052501)/197-10-M-26 Pjureli Plant.pdf</t>
  </si>
  <si>
    <t xml:space="preserve">Суфиксот 'М' овде означува МИКОТОКСИНИ (микробиологија не е тестирана), спротивно на легендата во задачата. Скенот е чист, потпис и печат видливи. Датумот на прием (29.07.2026) се разликува од оној во извештај 197-10-К/26 (27.07.2026) за истиот интерен примерок CF-405/26 — отпечатено така на страниците.</t>
  </si>
  <si>
    <t xml:space="preserve">FARMAHEM|197-11-K/26</t>
  </si>
  <si>
    <t xml:space="preserve">197-11-K/26</t>
  </si>
  <si>
    <t xml:space="preserve">197-11-К/26</t>
  </si>
  <si>
    <t xml:space="preserve">30.07.2026</t>
  </si>
  <si>
    <t xml:space="preserve">Grape Pie P050022</t>
  </si>
  <si>
    <t xml:space="preserve">CF-406/26</t>
  </si>
  <si>
    <t xml:space="preserve">ImB_COAs/197-11-K-26 Pjureli Plant.pdf ; ImB_QC_COAs/P050022 (GP0824_02)/197-11-K-26 Pjureli Plant.pdf</t>
  </si>
  <si>
    <t xml:space="preserve">FARMAHEM|197-11-M/26</t>
  </si>
  <si>
    <t xml:space="preserve">197-11-M/26</t>
  </si>
  <si>
    <t xml:space="preserve">197-11-М/26</t>
  </si>
  <si>
    <t xml:space="preserve">ImB_COAs/197-11-M-26 Pjureli Plant.pdf ; ImB_QC_COAs/P050022 (GP0824_02)/197-11-M-26 Pjureli Plant.pdf</t>
  </si>
  <si>
    <t xml:space="preserve">Суфиксот 'М' овде означува МИКОТОКСИНИ (микробиологија не е тестирана), спротивно на легендата во задачата. Скенот е чист, потпис и печат видливи.</t>
  </si>
  <si>
    <t xml:space="preserve">FARMAHEM|197-12-K/26</t>
  </si>
  <si>
    <t xml:space="preserve">197-12-K/26</t>
  </si>
  <si>
    <t xml:space="preserve">197-12-К/26</t>
  </si>
  <si>
    <t xml:space="preserve">Grape Pie P050322</t>
  </si>
  <si>
    <t xml:space="preserve">CF-407/26</t>
  </si>
  <si>
    <t xml:space="preserve">ImB_COAs/197-12-K-26 Pjureli Plant.pdf ; ImB_QC_COAs/P050322 (GP082501-2)/197-12-K-26 Pjureli Plant.pdf</t>
  </si>
  <si>
    <t xml:space="preserve">FARMAHEM|197-12-M/26</t>
  </si>
  <si>
    <t xml:space="preserve">197-12-M/26</t>
  </si>
  <si>
    <t xml:space="preserve">197-12-М/26</t>
  </si>
  <si>
    <t xml:space="preserve">Grape Pie / P050322</t>
  </si>
  <si>
    <t xml:space="preserve">ImB_COAs/197-12-M-26 Pjureli Plant.pdf ; ImB_QC_COAs/P050322 (GP082501-2)/197-12-M-26 Pjureli Plant.pdf</t>
  </si>
  <si>
    <t xml:space="preserve">Suffix М = mycotoxins (микотоксини), not microbiology. Scan legible, no anomalies.</t>
  </si>
  <si>
    <t xml:space="preserve">FARMAHEM|197-13-K/26</t>
  </si>
  <si>
    <t xml:space="preserve">197-13-K/26</t>
  </si>
  <si>
    <t xml:space="preserve">197-13-К/26</t>
  </si>
  <si>
    <t xml:space="preserve">High Pro Amnesia / HPA1024</t>
  </si>
  <si>
    <t xml:space="preserve">CF-408/26</t>
  </si>
  <si>
    <t xml:space="preserve">ImB_COAs/197-13-K-26 Pjureli Plant.pdf ; ImB_QC_COAs/HPA1024/197-13-K-26 Pjureli Plant.pdf</t>
  </si>
  <si>
    <t xml:space="preserve">Report number printed with Cyrillic К. Client sample mark here is HPA1024 (without the _01 suffix seen on report 197-14-К/26 for the same strain). Scan legible.</t>
  </si>
  <si>
    <t xml:space="preserve">FARMAHEM|197-13-M/26</t>
  </si>
  <si>
    <t xml:space="preserve">197-13-M/26</t>
  </si>
  <si>
    <t xml:space="preserve">197-13-М/26</t>
  </si>
  <si>
    <t xml:space="preserve">ImB_COAs/197-13-M-26 Pjureli Plant.pdf ; ImB_QC_COAs/HPA1024/197-13-M-26 Pjureli Plant.pdf</t>
  </si>
  <si>
    <t xml:space="preserve">Suffix М = mycotoxins (микотоксини). Only report in this batch where Ochratoxin A is reported as &lt;LOQ rather than ND. Same sample and lab internal number CF-408/26 as cannabinoid report 197-13-К/26 (High Pro Amnesia HPA1024, 13.24 g), but the receipt dates differ: 29.07.2026 here vs 27.07.2026 on the cannabinoid report.</t>
  </si>
  <si>
    <t xml:space="preserve">FARMAHEM|197-14-K/26</t>
  </si>
  <si>
    <t xml:space="preserve">197-14-K/26</t>
  </si>
  <si>
    <t xml:space="preserve">197-14-К/26</t>
  </si>
  <si>
    <t xml:space="preserve">High Pro Amnesia / HPA1024_01</t>
  </si>
  <si>
    <t xml:space="preserve">CF-409/26</t>
  </si>
  <si>
    <t xml:space="preserve">ImB_COAs/197-14-K-26 Pjureli Plant.pdf ; ImB_QC_COAs/P050052 (HPA1024_01)/197-14-K-26 Pjureli Plant.pdf</t>
  </si>
  <si>
    <t xml:space="preserve">Report number printed in Cyrillic (197-14-К/26); manifest uses Latin K. Otherwise consistent; scan legible.</t>
  </si>
  <si>
    <t xml:space="preserve">FARMAHEM|197-14-M/26</t>
  </si>
  <si>
    <t xml:space="preserve">197-14-M/26</t>
  </si>
  <si>
    <t xml:space="preserve">High Pro Amnesia
HPA1024_01</t>
  </si>
  <si>
    <t xml:space="preserve">ImB_COAs/197-14-M-26 Pjureli Plant.pdf ; ImB_QC_COAs/P050052 (HPA1024_01)/197-14-M-26 Pjureli Plant.pdf</t>
  </si>
  <si>
    <t xml:space="preserve">Title/section text is микотоксини (mycotoxins), not microbiology; manifest suffix key describes М as microbiology. Only Ochratoxin A above ND (2.06 µg/kg, U 11.80 %). Scan legible.</t>
  </si>
  <si>
    <t xml:space="preserve">FARMAHEM|197-15-K/26</t>
  </si>
  <si>
    <t xml:space="preserve">197-15-K/26</t>
  </si>
  <si>
    <t xml:space="preserve">197-15-К/26</t>
  </si>
  <si>
    <t xml:space="preserve">Jelly Donutz / P060212</t>
  </si>
  <si>
    <t xml:space="preserve">CF-410/26</t>
  </si>
  <si>
    <t xml:space="preserve">ImB_COAs/197-15-K-26 Pjureli Plant.pdf ; ImB_QC_COAs/P060212 (JellyDonutz)/197-15-K-26 Pjureli Plant.pdf</t>
  </si>
  <si>
    <t xml:space="preserve">Report number printed with Cyrillic К. Scan legible, no anomalies.</t>
  </si>
  <si>
    <t xml:space="preserve">FARMAHEM|197-15-M/26</t>
  </si>
  <si>
    <t xml:space="preserve">197-15-M/26</t>
  </si>
  <si>
    <t xml:space="preserve">Jelly Donutz
P060212</t>
  </si>
  <si>
    <t xml:space="preserve">ImB_COAs/197-15-M-26 Pjureli Plant.pdf ; ImB_QC_COAs/P060212 (JellyDonutz)/197-15-M-26 Pjureli Plant.pdf</t>
  </si>
  <si>
    <t xml:space="preserve">FARMAHEM|197-16-K/26</t>
  </si>
  <si>
    <t xml:space="preserve">197-16-K/26</t>
  </si>
  <si>
    <t xml:space="preserve">197-16-К/26</t>
  </si>
  <si>
    <t xml:space="preserve">Jokerz 31 / P060152</t>
  </si>
  <si>
    <t xml:space="preserve">CF-411/26</t>
  </si>
  <si>
    <t xml:space="preserve">ImB_COAs/197-16-K-26 Pjureli Plant.pdf ; ImB_QC_COAs/P060152 (Jokerz31)/197-16-K-26 Pjureli Plant.pdf</t>
  </si>
  <si>
    <t xml:space="preserve">FARMAHEM|197-16-M/26</t>
  </si>
  <si>
    <t xml:space="preserve">197-16-M/26</t>
  </si>
  <si>
    <t xml:space="preserve">197-16-М/26</t>
  </si>
  <si>
    <t xml:space="preserve">Jokerz 31 P060152</t>
  </si>
  <si>
    <t xml:space="preserve">ImB_COAs/197-16-M-26 Pjureli Plant.pdf ; ImB_QC_COAs/P060152 (Jokerz31)/197-16-M-26 Pjureli Plant.pdf</t>
  </si>
  <si>
    <t xml:space="preserve">FARMAHEM|197-17-K/26</t>
  </si>
  <si>
    <t xml:space="preserve">197-17-K/26</t>
  </si>
  <si>
    <t xml:space="preserve">197-17-К/26</t>
  </si>
  <si>
    <t xml:space="preserve">Orange Punch Mimosa / OPM 1024</t>
  </si>
  <si>
    <t xml:space="preserve">CF-412/26</t>
  </si>
  <si>
    <t xml:space="preserve">ImB_COAs/197-17-K-26 Pjureli Plant.pdf ; ImB_QC_COAs/OPM1024/197-17-K-26 Pjureli Plant.pdf</t>
  </si>
  <si>
    <t xml:space="preserve">Report number printed with Cyrillic К. Client sample mark printed 'OPM 1024' with a space. Scan legible.</t>
  </si>
  <si>
    <t xml:space="preserve">FARMAHEM|197-17-M/26</t>
  </si>
  <si>
    <t xml:space="preserve">197-17-M/26</t>
  </si>
  <si>
    <t xml:space="preserve">197-17-М/26</t>
  </si>
  <si>
    <t xml:space="preserve">Orange Punch Mimosa OPM 1024</t>
  </si>
  <si>
    <t xml:space="preserve">ImB_COAs/197-17-M-26 Pjureli Plant.pdf ; ImB_QC_COAs/OPM1024/197-17-M-26 Pjureli Plant.pdf</t>
  </si>
  <si>
    <t xml:space="preserve">FARMAHEM|197-18-K/26</t>
  </si>
  <si>
    <t xml:space="preserve">197-18-K/26</t>
  </si>
  <si>
    <t xml:space="preserve">197-18-К/26</t>
  </si>
  <si>
    <t xml:space="preserve">Orange Punch Mimosa P050062</t>
  </si>
  <si>
    <t xml:space="preserve">CF-413/26</t>
  </si>
  <si>
    <t xml:space="preserve">ImB_COAs/197-18-K-26 Pjureli Plant.pdf ; ImB_QC_COAs/P050062 (OPM1024_02)/197-18-K-26 Pjureli Plant.pdf</t>
  </si>
  <si>
    <t xml:space="preserve">FARMAHEM|197-18-M/26</t>
  </si>
  <si>
    <t xml:space="preserve">197-18-M/26</t>
  </si>
  <si>
    <t xml:space="preserve">197-18-М/26</t>
  </si>
  <si>
    <t xml:space="preserve">Orange Punch Mimosa / P050062</t>
  </si>
  <si>
    <t xml:space="preserve">ImB_COAs/197-18-M-26 Pjureli Plant.pdf ; ImB_QC_COAs/P050062 (OPM1024_02)/197-18-M-26 Pjureli Plant.pdf</t>
  </si>
  <si>
    <t xml:space="preserve">Suffix М = mycotoxins (микотоксини), not microbiology. Report number printed with Cyrillic М. No acceptance/limit column in results table.</t>
  </si>
  <si>
    <t xml:space="preserve">FARMAHEM|197-19-K/26</t>
  </si>
  <si>
    <t xml:space="preserve">197-19-K/26</t>
  </si>
  <si>
    <t xml:space="preserve">197-19-К/26</t>
  </si>
  <si>
    <t xml:space="preserve">Orange Punch Mimosa P060242</t>
  </si>
  <si>
    <t xml:space="preserve">CF-414/26</t>
  </si>
  <si>
    <t xml:space="preserve">ImB_COAs/197-19-K-26 Pjureli Plant.pdf ; ImB_QC_COAs/P060242 (OPM)/197-19-K-26 Pjureli Plant.pdf</t>
  </si>
  <si>
    <t xml:space="preserve">Нема колона за подрачје/граница на прифатливост во табелата со резултати. Скенот е чист, потпис и печат видливи. Истиот интерен примерок CF-414/26 (Orange Punch Mimosa P060242) е тестиран и во извештај 197-19-М/26 за микотоксини — очекувано за два различни параметри од ист примерок.</t>
  </si>
  <si>
    <t xml:space="preserve">FARMAHEM|197-19-M/26</t>
  </si>
  <si>
    <t xml:space="preserve">197-19-M/26</t>
  </si>
  <si>
    <t xml:space="preserve">197-19-М/26</t>
  </si>
  <si>
    <t xml:space="preserve">ImB_COAs/197-19-M-26 Pjureli Plant.pdf ; ImB_QC_COAs/P060242 (OPM)/197-19-M-26 Pjureli Plant.pdf</t>
  </si>
  <si>
    <t xml:space="preserve">Суфиксот 'М' овде означува МИКОТОКСИНИ (микробиологија не е тестирана), спротивно на легендата во задачата. Скенот е чист, потпис и печат видливи. Датумот на прием (29.07.2026) се разликува од оној во извештај 197-19-К/26 (27.07.2026) за истиот интерен примерок CF-414/26 — отпечатено така на страниците.</t>
  </si>
  <si>
    <t xml:space="preserve">FARMAHEM|197-2-K/26</t>
  </si>
  <si>
    <t xml:space="preserve">197-2-K/26</t>
  </si>
  <si>
    <t xml:space="preserve">197-2-К/26</t>
  </si>
  <si>
    <t xml:space="preserve">Blue Sunset Sherbet BSS1024</t>
  </si>
  <si>
    <t xml:space="preserve">CF-397/26</t>
  </si>
  <si>
    <t xml:space="preserve">ImB_COAs/197-2-K-26 Pjureli Plant.pdf ; ImB_QC_COAs/BSS1024/197-2-K-26 Pjureli Plant.pdf</t>
  </si>
  <si>
    <t xml:space="preserve">FARMAHEM|197-2-M/26</t>
  </si>
  <si>
    <t xml:space="preserve">197-2-M/26</t>
  </si>
  <si>
    <t xml:space="preserve">197-2-М/26</t>
  </si>
  <si>
    <t xml:space="preserve">Blue Sunset Sherbet / BSS1024</t>
  </si>
  <si>
    <t xml:space="preserve">ImB_COAs/197-2-M-26 Pjureli Plant.pdf ; ImB_QC_COAs/BSS1024/197-2-M-26 Pjureli Plant.pdf</t>
  </si>
  <si>
    <t xml:space="preserve">Suffix М = mycotoxins (микотоксини), not microbiology. Report number printed with Cyrillic М. No acceptance/limit column.</t>
  </si>
  <si>
    <t xml:space="preserve">FARMAHEM|197-20-K/26</t>
  </si>
  <si>
    <t xml:space="preserve">197-20-K/26</t>
  </si>
  <si>
    <t xml:space="preserve">Permanent Market
P060062</t>
  </si>
  <si>
    <t xml:space="preserve">CF-415/26</t>
  </si>
  <si>
    <t xml:space="preserve">ImB_COAs/197-20-K-26 Pjureli Plant.pdf ; ImB_QC_COAs/P060062 (PM092501)/197-20-K-26 Pjureli Plant.pdf</t>
  </si>
  <si>
    <t xml:space="preserve">No anomalies; scan legible.</t>
  </si>
  <si>
    <t xml:space="preserve">FARMAHEM|197-20-M/26</t>
  </si>
  <si>
    <t xml:space="preserve">197-20-M/26</t>
  </si>
  <si>
    <t xml:space="preserve">197-20-М/26</t>
  </si>
  <si>
    <t xml:space="preserve">Permanent Market / P060062</t>
  </si>
  <si>
    <t xml:space="preserve">ImB_COAs/197-20-M-26 Pjureli Plant.pdf ; ImB_QC_COAs/P060062 (PM092501)/197-20-M-26 Pjureli Plant.pdf</t>
  </si>
  <si>
    <t xml:space="preserve">FARMAHEM|197-21-K/26</t>
  </si>
  <si>
    <t xml:space="preserve">197-21-K/26</t>
  </si>
  <si>
    <t xml:space="preserve">197-21-К/26</t>
  </si>
  <si>
    <t xml:space="preserve">Scrambler / P060382</t>
  </si>
  <si>
    <t xml:space="preserve">CF-416/26</t>
  </si>
  <si>
    <t xml:space="preserve">ImB_COAs/197-21-K-26 Pjureli Plant.pdf ; ImB_QC_COAs/P060382 (Scrambler)/197-21-K-26 Pjureli Plant.pdf</t>
  </si>
  <si>
    <t xml:space="preserve">Report number printed in Cyrillic (197-21-К/26); manifest uses Latin K. Scan legible, no anomalies.</t>
  </si>
  <si>
    <t xml:space="preserve">FARMAHEM|197-21-M/26</t>
  </si>
  <si>
    <t xml:space="preserve">197-21-M/26</t>
  </si>
  <si>
    <t xml:space="preserve">197-21-М/26</t>
  </si>
  <si>
    <t xml:space="preserve">Scrambler P060382</t>
  </si>
  <si>
    <t xml:space="preserve">ImB_COAs/197-21-M-26 Pjureli Plant.pdf ; ImB_QC_COAs/P060382 (Scrambler)/197-21-M-26 Pjureli Plant.pdf</t>
  </si>
  <si>
    <t xml:space="preserve">FARMAHEM|197-3-K/26</t>
  </si>
  <si>
    <t xml:space="preserve">197-3-K/26</t>
  </si>
  <si>
    <t xml:space="preserve">Cap Junkie
P050162</t>
  </si>
  <si>
    <t xml:space="preserve">CF-398/26</t>
  </si>
  <si>
    <t xml:space="preserve">ImB_COAs/197-3-K-26 Pjureli Plant.pdf ; ImB_QC_COAs/P050162 (CJ052501-1)/197-3-K-26 Pjureli Plant.pdf</t>
  </si>
  <si>
    <t xml:space="preserve">Date received 27.07.2026 here vs 29.07.2026 on mycotoxin report 197-3-M/26 for the same sample CF-398/26.</t>
  </si>
  <si>
    <t xml:space="preserve">FARMAHEM|197-3-M/26</t>
  </si>
  <si>
    <t xml:space="preserve">197-3-M/26</t>
  </si>
  <si>
    <t xml:space="preserve">ImB_COAs/197-3-M-26 Pjureli Plant.pdf ; ImB_QC_COAs/P050162 (CJ052501-1)/197-3-M-26 Pjureli Plant.pdf</t>
  </si>
  <si>
    <t xml:space="preserve">Mycotoxin report. Date received 29.07.2026 vs 27.07.2026 on cannabinoid report 197-3-K/26 for the same sample CF-398/26.</t>
  </si>
  <si>
    <t xml:space="preserve">FARMAHEM|197-4-K/26</t>
  </si>
  <si>
    <t xml:space="preserve">197-4-K/26</t>
  </si>
  <si>
    <t xml:space="preserve">197-4-К/26</t>
  </si>
  <si>
    <t xml:space="preserve">Cap Junkie P050212</t>
  </si>
  <si>
    <t xml:space="preserve">CF-399/26</t>
  </si>
  <si>
    <t xml:space="preserve">ImB_COAs/197-4-K-26 Pjureli Plant.pdf ; ImB_QC_COAs/P050212 (CJ062501-2)/197-4-K-26 Pjureli Plant.pdf</t>
  </si>
  <si>
    <t xml:space="preserve">FARMAHEM|197-4-M/26</t>
  </si>
  <si>
    <t xml:space="preserve">197-4-M/26</t>
  </si>
  <si>
    <t xml:space="preserve">197-4-М/26</t>
  </si>
  <si>
    <t xml:space="preserve">Cap Junky / P050212</t>
  </si>
  <si>
    <t xml:space="preserve">ImB_COAs/197-4-M-26 Pjureli Plant.pdf ; ImB_QC_COAs/P050212 (CJ062501-2)/197-4-M-26 Pjureli Plant.pdf</t>
  </si>
  <si>
    <t xml:space="preserve">Suffix М here is MYCOTOXINS (микотоксини), not microbiology as the batch legend assumed. Report number printed with Cyrillic М. Results table has no acceptance/limit column.</t>
  </si>
  <si>
    <t xml:space="preserve">FARMAHEM|197-5-K/26</t>
  </si>
  <si>
    <t xml:space="preserve">197-5-K/26</t>
  </si>
  <si>
    <t xml:space="preserve">197-5-К/26</t>
  </si>
  <si>
    <t xml:space="preserve">Cap Junkie / P060032</t>
  </si>
  <si>
    <t xml:space="preserve">CF-400/26</t>
  </si>
  <si>
    <t xml:space="preserve">ImB_COAs/197-5-K-26 Pjureli Plant.pdf ; ImB_QC_COAs/P060032 (CJ082501-2)/197-5-K-26 Pjureli Plant.pdf</t>
  </si>
  <si>
    <t xml:space="preserve">Report number printed with Cyrillic К. Same sample (Cap Junkie P060032) and same lab internal number CF-400/26 as mycotoxin report 197-5-М/26, but the two reports state different receipt dates: 27.07.2026 here vs 29.07.2026 on the mycotoxin report. Mass 11.60 g agrees on both.</t>
  </si>
  <si>
    <t xml:space="preserve">FARMAHEM|197-5-M/26</t>
  </si>
  <si>
    <t xml:space="preserve">197-5-M/26</t>
  </si>
  <si>
    <t xml:space="preserve">197-5-М/26</t>
  </si>
  <si>
    <t xml:space="preserve">ImB_COAs/197-5-M-26 Pjureli Plant.pdf ; ImB_QC_COAs/P060032 (CJ082501-2)/197-5-M-26 Pjureli Plant.pdf</t>
  </si>
  <si>
    <t xml:space="preserve">Suffix М = mycotoxins (микотоксини), not microbiology. Strain printed 'Cap Junkie' here vs 'Cap Junky' on report 197-4-М/26 — different samples (P060032 vs P050212), spelling as printed.</t>
  </si>
  <si>
    <t xml:space="preserve">FARMAHEM|197-6-K/26</t>
  </si>
  <si>
    <t xml:space="preserve">197-6-K/26</t>
  </si>
  <si>
    <t xml:space="preserve">Cash Cow
P060332</t>
  </si>
  <si>
    <t xml:space="preserve">CF-401/26</t>
  </si>
  <si>
    <t xml:space="preserve">ImB_COAs/197-6-K-26 Pjureli Plant.pdf ; ImB_QC_COAs/P060332 (CashCow)/197-6-K-26 Pjureli Plant.pdf</t>
  </si>
  <si>
    <t xml:space="preserve">Date received 27.07.2026 here vs 29.07.2026 on the mycotoxin report 197-6-M/26 for the same sample CF-401/26 — dates differ between the two reports. Otherwise legible.</t>
  </si>
  <si>
    <t xml:space="preserve">FARMAHEM|197-6-M/26</t>
  </si>
  <si>
    <t xml:space="preserve">197-6-M/26</t>
  </si>
  <si>
    <t xml:space="preserve">ImB_COAs/197-6-M-26 Pjureli Plant.pdf ; ImB_QC_COAs/P060332 (CashCow)/197-6-M-26 Pjureli Plant.pdf</t>
  </si>
  <si>
    <t xml:space="preserve">Report is for микотоксини (mycotoxins) despite М suffix being described as microbiology in the task key. Scan legible; no anomalies.</t>
  </si>
  <si>
    <t xml:space="preserve">FARMAHEM|197-7-K/26</t>
  </si>
  <si>
    <t xml:space="preserve">197-7-K/26</t>
  </si>
  <si>
    <t xml:space="preserve">197-7-К/26</t>
  </si>
  <si>
    <t xml:space="preserve">Fat Bastard P060352</t>
  </si>
  <si>
    <t xml:space="preserve">CF-402/26</t>
  </si>
  <si>
    <t xml:space="preserve">ImB_COAs/197-7-K-26 Pjureli Plant.pdf ; ImB_QC_COAs/P060352 (FatBastard)/197-7-K-26 Pjureli Plant.pdf</t>
  </si>
  <si>
    <t xml:space="preserve">FARMAHEM|197-7-M/26</t>
  </si>
  <si>
    <t xml:space="preserve">197-7-M/26</t>
  </si>
  <si>
    <t xml:space="preserve">Fat Bastard
P060352</t>
  </si>
  <si>
    <t xml:space="preserve">ImB_COAs/197-7-M-26 Pjureli Plant.pdf ; ImB_QC_COAs/P060352 (FatBastard)/197-7-M-26 Pjureli Plant.pdf</t>
  </si>
  <si>
    <t xml:space="preserve">FARMAHEM|197-8-K/26</t>
  </si>
  <si>
    <t xml:space="preserve">197-8-K/26</t>
  </si>
  <si>
    <t xml:space="preserve">Gorilla Glue
P060402</t>
  </si>
  <si>
    <t xml:space="preserve">CF-403/26</t>
  </si>
  <si>
    <t xml:space="preserve">ImB_COAs/197-8-K-26 Pjureli Plant.pdf ; ImB_QC_COAs/P060402 (GorillaGlue)/197-8-K-26 Pjureli Plant.pdf</t>
  </si>
  <si>
    <t xml:space="preserve">FARMAHEM|197-8-M/26</t>
  </si>
  <si>
    <t xml:space="preserve">197-8-M/26</t>
  </si>
  <si>
    <t xml:space="preserve">197-8-М/26</t>
  </si>
  <si>
    <t xml:space="preserve">Gorilla Glue P060402</t>
  </si>
  <si>
    <t xml:space="preserve">ImB_COAs/197-8-M-26 Pjureli Plant.pdf ; ImB_QC_COAs/P060402 (GorillaGlue)/197-8-M-26 Pjureli Plant.pdf</t>
  </si>
  <si>
    <t xml:space="preserve">FARMAHEM|197-9-K/26</t>
  </si>
  <si>
    <t xml:space="preserve">197-9-K/26</t>
  </si>
  <si>
    <t xml:space="preserve">197-9-К/26</t>
  </si>
  <si>
    <t xml:space="preserve">Gorilla Glue GG1024_01</t>
  </si>
  <si>
    <t xml:space="preserve">CF-404/26</t>
  </si>
  <si>
    <t xml:space="preserve">ImB_COAs/197-9-K-26 Pjureli Plant.pdf ; ImB_QC_COAs/P050092 (GG1024_01)/197-9-K-26 Pjureli Plant.pdf</t>
  </si>
  <si>
    <t xml:space="preserve">FARMAHEM|197-9-M/26</t>
  </si>
  <si>
    <t xml:space="preserve">197-9-M/26</t>
  </si>
  <si>
    <t xml:space="preserve">197-9-М/26</t>
  </si>
  <si>
    <t xml:space="preserve">ImB_COAs/197-9-M-26 Pjureli Plant.pdf ; ImB_QC_COAs/P050092 (GG1024_01)/197-9-M-26 Pjureli Plant.pdf</t>
  </si>
  <si>
    <t xml:space="preserve">FARMAHEM|276-31-M/25</t>
  </si>
  <si>
    <t xml:space="preserve">276-31-M/25</t>
  </si>
  <si>
    <t xml:space="preserve">276-31-М/25</t>
  </si>
  <si>
    <t xml:space="preserve">04.12.2025</t>
  </si>
  <si>
    <t xml:space="preserve">14.11.2025</t>
  </si>
  <si>
    <t xml:space="preserve">03.12.2025</t>
  </si>
  <si>
    <t xml:space="preserve">Blue Sunset Sherbet, бр. на серија BSS 052501</t>
  </si>
  <si>
    <t xml:space="preserve">ЊУ ГАРДЕН ФАРМА, ул. „Кочо Рацин” бр.14/лок.6, 1000 Скопје</t>
  </si>
  <si>
    <t xml:space="preserve">CF-723/25</t>
  </si>
  <si>
    <t xml:space="preserve">ImB_COAs/BSS052501 (P050192) 3.pdf ; ImB_QC_COAs/P050192 (BSS052501)/BSS052501 (P050192) 3.pdf</t>
  </si>
  <si>
    <t xml:space="preserve">10,11</t>
  </si>
  <si>
    <t xml:space="preserve">Различен клиент од останатите извештаи во серијата (ЊУ ГАРДЕН ФАРМА, не Пјурели Плант) — одговара на изворниот PDF BSS052501, стр. 10-11. Последната колона од табелата со примероци е насловена 'Количина' (не 'Маса [g]') и вредноста е отпечатена со единица: 21.52 g. Резултатите носат ѕвездички (ND *, &lt;LOQ **) кои упатуваат на фуснотите. Суфиксот 'М' означува МИКОТОКСИНИ, не микробиологија. Печатот е блед/делумно видлив на скенот, но потписите се јасни. Ознаката на лабораторијата е во два реда: 'Фармахем ДООЕЛ' / 'Лабораторија за животна средина'.</t>
  </si>
  <si>
    <t xml:space="preserve">IJZ|1625/2026</t>
  </si>
  <si>
    <t xml:space="preserve">Institute of Public Health RNM – chemistry (ЛТ-005)</t>
  </si>
  <si>
    <t xml:space="preserve">IJZ</t>
  </si>
  <si>
    <t xml:space="preserve">1625/2026</t>
  </si>
  <si>
    <t xml:space="preserve">Pesticide residues, heavy metals, mycotoxins (Ph. Eur. 2.8.13 / 2.4.27 / 2.8.18)</t>
  </si>
  <si>
    <t xml:space="preserve">23.04.2026</t>
  </si>
  <si>
    <t xml:space="preserve">J31122501</t>
  </si>
  <si>
    <t xml:space="preserve">До ПЈУРЕЛИ ПЛАНТ ДООЕЛ, УЛ.9 БР.9 С.КОЈЛИЈА-СКОПЈЕ, СКОПЈЕ</t>
  </si>
  <si>
    <t xml:space="preserve">UNCLEAR</t>
  </si>
  <si>
    <t xml:space="preserve">ОБ 7.8.3 01 Верз. 2</t>
  </si>
  <si>
    <t xml:space="preserve">NO – PAGES MISSING</t>
  </si>
  <si>
    <t xml:space="preserve">ImB_COAs/J31122501 - Trimiran cvet.pdf ; ImB_QC_COAs/J31122501/J31122501 - Trimiran cvet.pdf</t>
  </si>
  <si>
    <t xml:space="preserve">6,7,8</t>
  </si>
  <si>
    <t xml:space="preserve">ВНИМАНИЕ - НЕПОТПОЛН ИЗВЕШТАЈ: декларирани се 4 страни (Страна N од 4), а достапни се само 3 слики со страни 1, 2 и 4. НЕДОСТАСУВА СТРАНА 3, на која се: последните редови на пестицидната табела (Dieldrin, Heptachlor, Endosulfan sulfate во другите извештаи), изјавата за сообразност и потписите за ПЕСТИЦИДИ, ЦЕЛАТА секција ТЕШКИ МЕТАЛИ, и редот со резултат за МИКОТОКСИНИ. Затоа не може да се потврди дека сите пестицидни редови се н.д. (видени 26 реда, сите н.д.), ниту резултатите за тешки метали и афлатоксини - вкупната оцена е UNCLEAR. Овој извештај користи формулар Верз. 2 (другите се Верз. 1) и поинаква формулација на изјавата ('СЕ ВО СОГЛАСНОСТ со барањата на'). Клиент е ПЈУРЕЛИ ПЛАНТ ДООЕЛ (во ред). Производител и Произведен на не се пополнети.</t>
  </si>
  <si>
    <t xml:space="preserve">IJZ|1627/2026</t>
  </si>
  <si>
    <t xml:space="preserve">1627/2026</t>
  </si>
  <si>
    <t xml:space="preserve">OPM122501</t>
  </si>
  <si>
    <t xml:space="preserve">ПЈУРЕЛИ ПЛАНТ ДООЕЛ, УЛ.9 БР.9 С.КОЈЛИЈА-СКОПЈЕ, СКОПЈЕ</t>
  </si>
  <si>
    <t xml:space="preserve">PASS</t>
  </si>
  <si>
    <t xml:space="preserve">ImB_COAs/OPM122501.pdf ; ImB_QC_COAs/OPM122501/OPM122501.pdf</t>
  </si>
  <si>
    <t xml:space="preserve">6,7,8,9</t>
  </si>
  <si>
    <t xml:space="preserve">Pages 1-4 present and in correct image order. Client ПЈУРЕЛИ ПЛАНТ ДООЕЛ (expected). Form is version 2 (ОБ 7.8.3 01 Верз. 2): conformity wording differs ('Резултатите од испитуваните параметри СЕ ВО СОГЛАСНОСТ со барањата на') and the ПЕСТИЦИДИ / ТЕШКИ МЕТАЛИ blocks have no 'Изработил' line at all. All 29 pesticide rows н.д. Cadmium 0,165 mg/kg(l) is 55% of its 0,3 MaxDK - highest metal utilisation in this batch but still within limit. Aflatoxins 2,2 µg/kg vs 4 - measurable positive, below limit. Микотоксини table straddles pages 3/4. Metals head is дипл.хем. Сандра Зиноски (different from other reports). Производител blank.</t>
  </si>
  <si>
    <t xml:space="preserve">IJZ|1628/2026</t>
  </si>
  <si>
    <t xml:space="preserve">1628/2026</t>
  </si>
  <si>
    <t xml:space="preserve">J311122501</t>
  </si>
  <si>
    <t xml:space="preserve">ImB_COAs/J31122501 - Racno trimiran cvet.pdf ; ImB_QC_COAs/J31122501/J31122501 - Racno trimiran cvet.pdf</t>
  </si>
  <si>
    <t xml:space="preserve">5,6,7,8</t>
  </si>
  <si>
    <t xml:space="preserve">Pages 1-4 present and in correct image order. Client ПЈУРЕЛИ ПЛАНТ ДООЕЛ (expected). Form version 2 (different conformity wording; no 'Изработил' line in the ПЕСТИЦИДИ / ТЕШКИ МЕТАЛИ blocks). All 29 pesticide rows н.д.; all four heavy metals н.д. Aflatoxins 2,5 µg/kg vs MaxDK 4 - highest aflatoxin value in this batch, still below the limit. Микотоксини table straddles pages 3/4. Metals head is дипл.хем. Сандра Зиноски. Производител blank.</t>
  </si>
  <si>
    <t xml:space="preserve">IJZ|1766/2025</t>
  </si>
  <si>
    <t xml:space="preserve">1766/2025</t>
  </si>
  <si>
    <t xml:space="preserve">11.04.2025</t>
  </si>
  <si>
    <t xml:space="preserve">08.04.2025</t>
  </si>
  <si>
    <t xml:space="preserve">GG 1024_01</t>
  </si>
  <si>
    <t xml:space="preserve">ПЈУРЕЛИ ПЛАНТ ДООЕЛ, УЛ.9 БР.с. ЌОЈЛИЈА, ПЕТРОВЕЦ, СКОПЈЕ</t>
  </si>
  <si>
    <t xml:space="preserve">ОБ 7.8.3 01 Верз. 1</t>
  </si>
  <si>
    <t xml:space="preserve">ImB_COAs/GG1024_01 (P050092) 3.pdf ; ImB_QC_COAs/P050092 (GG1024_01)/GG1024_01 (P050092) 3.pdf</t>
  </si>
  <si>
    <t xml:space="preserve">2,3,4,5</t>
  </si>
  <si>
    <t xml:space="preserve">Pages 1-4 present and in correct image order. Client ПЈУРЕЛИ ПЛАНТ ДООЕЛ (expected). This report's pesticide panel is SHORTER than the batch norm: 27 rows instead of 29 - the rows 'vkupno DDT' and 'Chlordane (sum of cis- and trans-chlordane)' are absent. All 27 rows read н.д. Page 2 is printed with the analyte labels vertically offset by half a row relative to their result cells (cosmetic layout defect; row-to-result pairing verified by the MaxDK sequence). All metals and aflatoxins well below MaxDK. 'Изработил' blank for ПЕСТИЦИДИ and ТЕШКИ МЕТАЛИ. Производител blank.</t>
  </si>
  <si>
    <t xml:space="preserve">IJZ|1767/2025</t>
  </si>
  <si>
    <t xml:space="preserve">1767/2025</t>
  </si>
  <si>
    <t xml:space="preserve">GP 0824_01</t>
  </si>
  <si>
    <t xml:space="preserve">До ПЈУРЕЛИ ПЛАНТ ДООЕЛ, УЛ.9 БР.с. ЌОЈЛИЈА, ПЕТРОВЕЦ, СКОПЈЕ</t>
  </si>
  <si>
    <t xml:space="preserve">ImB_COAs/GP0824_01 (P050102) 3.pdf ; ImB_QC_COAs/P050102 (GP0824_01)/GP0824_01 (P050102) 3.pdf</t>
  </si>
  <si>
    <t xml:space="preserve">3,4,5,6</t>
  </si>
  <si>
    <t xml:space="preserve">Сите 4 страни присутни и по ред. Скенот е блед/избледен но читлив. ПЕСТИЦИДИ: 27 реда, сите н.д., сите означени со * (неакредитирани методи); листата е пократка од стандардната - НЕМА редови 'vkupno DDT' и 'Chlordane (sum of cis- and trans-chlordane)'; редот beta Endosulfan нема впишан MaxDK. Полето Изработил кај ПЕСТИЦИДИ е празно (несигнирано). ТЕШКИ МЕТАЛИ: сите 4 реда со мерливи вредности под MaxDK, сите означени со * (неакредитиран метод); полето Изработил е празно (несигнирано). Клиент е ПЈУРЕЛИ ПЛАНТ ДООЕЛ (во ред). Производител не е пополнет.</t>
  </si>
  <si>
    <t xml:space="preserve">IJZ|2156/2025</t>
  </si>
  <si>
    <t xml:space="preserve">2156/2025</t>
  </si>
  <si>
    <t xml:space="preserve">07.05.2025</t>
  </si>
  <si>
    <t xml:space="preserve">28.04.2025</t>
  </si>
  <si>
    <t xml:space="preserve">06.05.2025</t>
  </si>
  <si>
    <t xml:space="preserve">OPM 1024_01</t>
  </si>
  <si>
    <t xml:space="preserve">ImB_COAs/OPM1024_01(P050042) 3.pdf ; ImB_QC_COAs/P050042 (OPM1024_01)/OPM1024_01(P050042) 3.pdf</t>
  </si>
  <si>
    <t xml:space="preserve">Pages 1-4 present and in correct image order. Client ПЈУРЕЛИ ПЛАНТ ДООЕЛ (expected). All 29 pesticide rows н.д.; all metals and aflatoxins far below MaxDK. Page 1 and page 2 scans are faint/low-contrast but every field and row was legible. Микотоксини table straddles pages 3/4 (header row on page 3, data row on page 4). 'Изработил' blank for ПЕСТИЦИДИ and ТЕШКИ МЕТАЛИ. Производител blank.</t>
  </si>
  <si>
    <t xml:space="preserve">IJZ|2157/2025</t>
  </si>
  <si>
    <t xml:space="preserve">2157/2025</t>
  </si>
  <si>
    <t xml:space="preserve">MB 0824_04</t>
  </si>
  <si>
    <t xml:space="preserve">ImB_COAs/MB0824_04 (P050032) 3.pdf ; ImB_QC_COAs/P050032 (MB0824_04)/MB0824_04 (P050032) 3.pdf</t>
  </si>
  <si>
    <t xml:space="preserve">Pages 1-4 present and in order. Scan quality is poor - large parts of the page are washed out/faded (analyte names on the left of the pesticide table and several field labels on the cover page are very faint); all values transcribed here were confirmed by contrast-enhanced zoom, including the serial number 'MB 0824_04'. 'Изработил' blank on pesticides and metals sections. All results within limits.</t>
  </si>
  <si>
    <t xml:space="preserve">IJZ|2471/2025</t>
  </si>
  <si>
    <t xml:space="preserve">2471/2025</t>
  </si>
  <si>
    <t xml:space="preserve">30.05.2025</t>
  </si>
  <si>
    <t xml:space="preserve">15.05.2025</t>
  </si>
  <si>
    <t xml:space="preserve">GP 0824_02</t>
  </si>
  <si>
    <t xml:space="preserve">ImB_COAs/GP0824_02 - (samo rezultat bez sertifikat) 2.pdf ; ImB_QC_COAs/P050022 (GP0824_02)/GP0824_02 - (samo rezultat bez sertifikat) 2.pdf</t>
  </si>
  <si>
    <t xml:space="preserve">Сите 4 страни присутни и по ред. ПЕСТИЦИДИ: сите 29 реда се означени со * (неакредитирани методи) и сите се н.д.; полето Изработил е празно (несигнирано). ТЕШКИ МЕТАЛИ: полето Изработил е празно (несигнирано); арсен означен со *. Мaкотоксинската табела е прекината преку страни 3/4 (метода 'AflaTest Флуорометриски метод'). Клиент е ПЈУРЕЛИ ПЛАНТ ДООЕЛ (во ред). Производител не е пополнет.</t>
  </si>
  <si>
    <t xml:space="preserve">IJZ|2472/2025</t>
  </si>
  <si>
    <t xml:space="preserve">2472/2025</t>
  </si>
  <si>
    <t xml:space="preserve">GG 1024_02</t>
  </si>
  <si>
    <t xml:space="preserve">ImB_COAs/GG1024_02 (P050012) 3.pdf ; ImB_QC_COAs/P050012 (GG1024_02)/GG1024_02 (P050012) 3.pdf</t>
  </si>
  <si>
    <t xml:space="preserve">Сите 4 страни присутни и по ред. ПЕСТИЦИДИ: сите 29 реда означени со * (неакредитирани методи), сите н.д.; полето Изработил празно (несигнирано). ТЕШКИ МЕТАЛИ: полето Изработил празно (несигнирано); арсен означен со *. Табелата за микотоксини е прекината преку страни 3/4. Клиент е ПЈУРЕЛИ ПЛАНТ ДООЕЛ (во ред). Производител не е пополнет.</t>
  </si>
  <si>
    <t xml:space="preserve">IJZ|2994/2025</t>
  </si>
  <si>
    <t xml:space="preserve">2994/2025</t>
  </si>
  <si>
    <t xml:space="preserve">19.06.2025</t>
  </si>
  <si>
    <t xml:space="preserve">12.06.2025</t>
  </si>
  <si>
    <t xml:space="preserve">OPM 1024_02</t>
  </si>
  <si>
    <t xml:space="preserve">ImB_COAs/OPM1024_02 (P050062) 3.pdf ; ImB_QC_COAs/P050062 (OPM1024_02)/OPM1024_02 (P050062) 3.pdf</t>
  </si>
  <si>
    <t xml:space="preserve">NOT ALL PESTICIDE ROWS ARE н.д.: delta HCH is reported as '&lt; 0,01' mg/kg(l) against MaxDK 0,3 (verified by zoom); the other 28 rows read н.д. Mercury 0,061 mg/kg(l) is 61% of its MaxDK 0,1 - the highest metal-to-limit ratio in the batch, still compliant. Pages 1-4 present and in order. 'Изработил' blank on pesticides and metals sections; all rows marked * (non-accredited).</t>
  </si>
  <si>
    <t xml:space="preserve">IJZ|2995/2025</t>
  </si>
  <si>
    <t xml:space="preserve">2995/2025</t>
  </si>
  <si>
    <t xml:space="preserve">HPA 1024-01</t>
  </si>
  <si>
    <t xml:space="preserve">ImB_COAs/HPA1024_01 (P050052) 3.pdf ; ImB_QC_COAs/P050052 (HPA1024_01)/HPA1024_01 (P050052) 3.pdf</t>
  </si>
  <si>
    <t xml:space="preserve">2,3,5,4</t>
  </si>
  <si>
    <t xml:space="preserve">PAGES OUT OF ORDER: the supplied images run 1, 2, 4, 3 (image __p3 is printed page 4 of 4, image __p4 is printed page 3 of 4). All 4 pages present. 'Датум на прием'/'Со писмо' 12/06/2025. All four heavy-metal rows marked * (non-accredited). 'Изработил' blank on pesticides and metals sections. Page 3 footer is clipped at the right edge ('Страна 3' visible, 'од 4' cut off). All results within limits.</t>
  </si>
  <si>
    <t xml:space="preserve">IJZ|3176/2025</t>
  </si>
  <si>
    <t xml:space="preserve">3176/2025</t>
  </si>
  <si>
    <t xml:space="preserve">26.06.2025</t>
  </si>
  <si>
    <t xml:space="preserve">23.06.2025</t>
  </si>
  <si>
    <t xml:space="preserve">GPO824-02</t>
  </si>
  <si>
    <t xml:space="preserve">бгаре Рје</t>
  </si>
  <si>
    <t xml:space="preserve">ImB_COAs/GP0824_02 (P050022) 3.pdf ; ImB_QC_COAs/P050022 (GP0824_02)/GP0824_02 (P050022) 3.pdf</t>
  </si>
  <si>
    <t xml:space="preserve">Сите 4 страни присутни и по ред. Полето 'Со писмо' содржи датум (23.06.2025) наместо број на писмо - аномалија во внесот. Сериски број е отпечатен како 'GPO824-02' (третиот знак изгледа како буква O, не нула; во сродните извештаи истата серија е пишувана како 'GP 0824_02') - потребна проверка. ПЕСТИЦИДИ: 29 реда, сите н.д., сите означени со * (неакредитирани методи); полето Изработил е празно (несигнирано). ТЕШКИ МЕТАЛИ: арсен 0,047 mg/kg(l) наспроти MaxDK 2 (под границата), останатите н.д.; арсен означен со *; полето Изработил е празно (несигнирано). Клиент е ПЈУРЕЛИ ПЛАНТ ДООЕЛ (во ред). Производител и Произведен на не се пополнети.</t>
  </si>
  <si>
    <t xml:space="preserve">IJZ|3177/2025</t>
  </si>
  <si>
    <t xml:space="preserve">3177/2025</t>
  </si>
  <si>
    <t xml:space="preserve">BSS 1024-01</t>
  </si>
  <si>
    <t xml:space="preserve">Blue Sunset Sherbet</t>
  </si>
  <si>
    <t xml:space="preserve">ImB_COAs/BSS10240_01 (P050122) 3.pdf ; ImB_QC_COAs/P050122 (BSS10240_01)/BSS10240_01 (P050122) 3.pdf</t>
  </si>
  <si>
    <t xml:space="preserve">Pages 1-4 present and in correct image order. Client ПЈУРЕЛИ ПЛАНТ ДООЕЛ (expected). DATA-ENTRY ODDITY: the 'Со писмо' field contains a date (23.06.2025) instead of a letter reference number - transcribed verbatim. All 29 pesticide rows н.д. Only arsenic detected (0,112 mg/kg(l) vs MaxDK 2) - well below limit. Микотоксини table straddles pages 3/4. 'Изработил' blank for ПЕСТИЦИДИ and ТЕШКИ МЕТАЛИ. Производител / Произведен на blank.</t>
  </si>
  <si>
    <t xml:space="preserve">IJZ|3178/2025</t>
  </si>
  <si>
    <t xml:space="preserve">3178/2025</t>
  </si>
  <si>
    <t xml:space="preserve">GP 0824-03</t>
  </si>
  <si>
    <t xml:space="preserve">Grape Pie</t>
  </si>
  <si>
    <t xml:space="preserve">ImB_COAs/GP0824_03 (P050072) 3.pdf ; ImB_QC_COAs/P050072 (GP0824_03)/GP0824_03 (P050072) 3.pdf</t>
  </si>
  <si>
    <t xml:space="preserve">Pages in correct order (1-4 of 4), none missing. Client is ПЈУРЕЛИ ПЛАНТ ДООЕЛ. Anomalies: the 'Со писмо' (letter ref) field contains a DATE, '23.06.2025', instead of a letter number - transcribed verbatim; the payer line is printed as 'ПЈУРЕЛИ ПЛАНТ' without 'ДООЕЛ'; 'Произведен на' blank; 'Изработил' blank for ПЕСТИЦИДИ and ТЕШКИ МЕТАЛИ. Arsenic quantified at 0,119 mg/kg(l) - the highest arsenic in this batch but still well under MaxDK 2. All 29 pesticide rows н.д.; aflatoxins &lt; 2 (limit 4). Mycotoxins prepared by м-р Павел Мишевски (not Бобан Георгиевски).</t>
  </si>
  <si>
    <t xml:space="preserve">IJZ|3636/2025</t>
  </si>
  <si>
    <t xml:space="preserve">3636/2025</t>
  </si>
  <si>
    <t xml:space="preserve">28.07.2025</t>
  </si>
  <si>
    <t xml:space="preserve">21.07.2025</t>
  </si>
  <si>
    <t xml:space="preserve">25.07.2025</t>
  </si>
  <si>
    <t xml:space="preserve">OPM 1024_03</t>
  </si>
  <si>
    <t xml:space="preserve">ImB_COAs/OPM1024_03 (P050082) 3.pdf ; ImB_QC_COAs/P050082 (OPM1024_03)/OPM1024_03 (P050082) 3.pdf</t>
  </si>
  <si>
    <t xml:space="preserve">Pages 1-4 present and in correct image order. Client ПЈУРЕЛИ ПЛАНТ ДООЕЛ (expected). All 29 pesticide rows н.д. Detected heavy metals: жива 0,03 (limit 0,1) and арсен 0,135 (limit 2) - both below MaxDK. Aflatoxins 2,1 µg/kg vs MaxDK 4 - below limit but a measurable positive. Микотоксини table straddles pages 3/4 (method text 'Флуорометриски метод' printed on page 4). 'Изработил' blank for ПЕСТИЦИДИ and ТЕШКИ МЕТАЛИ. Производител blank.</t>
  </si>
  <si>
    <t xml:space="preserve">IJZ|3638/2025</t>
  </si>
  <si>
    <t xml:space="preserve">3638/2025</t>
  </si>
  <si>
    <t xml:space="preserve">MB 0824_05</t>
  </si>
  <si>
    <t xml:space="preserve">ImB_COAs/MB0824_05 (P050112) 3.pdf ; ImB_QC_COAs/P050112 (MB0824_05)/MB0824_05 (P050112) 3.pdf</t>
  </si>
  <si>
    <t xml:space="preserve">Pages 1-4 all present and in image order. Aflatoxins reported as a numeric detected value '2' µg/kg (not '&lt; 2'), below MaxDK 4 - compliant. Arsenic 0,086 mg/kg(l) vs MaxDK 2 and mercury 0,006 vs 0,1 - compliant. 'Изработил' (prepared by) is blank on the ПЕСТИЦИДИ and ТЕШКИ МЕТАЛИ sections; both heads signed. Mycotoxin method text is split across the page 3/4 break ('AflaTest' + 'Флуорометриски метод'). Arsenic row marked * (non-accredited method).</t>
  </si>
  <si>
    <t xml:space="preserve">IJZ|4157/2025</t>
  </si>
  <si>
    <t xml:space="preserve">4157/2025</t>
  </si>
  <si>
    <t xml:space="preserve">29.08.2025</t>
  </si>
  <si>
    <t xml:space="preserve">25.08.2025</t>
  </si>
  <si>
    <t xml:space="preserve">OPM 052501</t>
  </si>
  <si>
    <t xml:space="preserve">ImB_COAs/OPM052501 (P050132) 3.pdf ; ImB_QC_COAs/P050132 (OPM052501)/OPM052501 (P050132) 3.pdf</t>
  </si>
  <si>
    <t xml:space="preserve">Pages in correct order (1-4 of 4), none missing. Client is ПЈУРЕЛИ ПЛАНТ ДООЕЛ, but the 'Странка за наплата' (payer) line is printed as 'ПЈУРЕЛИ ПЛАНТ' without 'ДООЕЛ'. All 29 pesticide rows н.д.; all four heavy metals н.д. Total aflatoxins quantified at 2,1 µg/kg (MaxDK 4) - below limit. Every pesticide and heavy-metal row is flagged with '*' (result obtained by non-accredited method). 'Изработил' blank for ПЕСТИЦИДИ and ТЕШКИ МЕТАЛИ.</t>
  </si>
  <si>
    <t xml:space="preserve">IJZ|4348/2025</t>
  </si>
  <si>
    <t xml:space="preserve">4348/2025</t>
  </si>
  <si>
    <t xml:space="preserve">15.09.2025</t>
  </si>
  <si>
    <t xml:space="preserve">05.09.2025</t>
  </si>
  <si>
    <t xml:space="preserve">GP 052501</t>
  </si>
  <si>
    <t xml:space="preserve">ImB_COAs/GP052501 (P050152) 3 (1).pdf ; ImB_COAs/GP052501 (P050152) 3.pdf ; ImB_QC_COAs/P050152 (GP052501)/GP052501 (P050152) 3.pdf</t>
  </si>
  <si>
    <t xml:space="preserve">Pages in correct order (1-4 of 4), none missing. Client is ПЈУРЕЛИ ПЛАНТ ДООЕЛ. All pesticide rows н.д. (29 rows). All heavy metal and mycotoxin results below MaxDK. Anomalies: the 'Изработил' (prepared by) line is blank/unsigned for both the ПЕСТИЦИДИ and ТЕШКИ МЕТАЛИ sections (only the department head is named/signed); the mycotoxin method text is split across pages 3 and 4 ('AflaTest' on p.3, 'Флуорометриски метод' on p.4); the ПЕСТИЦИДИ date completed (11.09.2025) precedes the report date.</t>
  </si>
  <si>
    <t xml:space="preserve">IJZ|4349/2025</t>
  </si>
  <si>
    <t xml:space="preserve">4349/2025</t>
  </si>
  <si>
    <t xml:space="preserve">12.09.2025</t>
  </si>
  <si>
    <t xml:space="preserve">CJ 052501/2</t>
  </si>
  <si>
    <t xml:space="preserve">ImB_COAs/CJ052501-2 (P050172) 3.pdf ; ImB_QC_COAs/P050172 (CJ052501-2)/CJ052501-2 (P050172) 3.pdf</t>
  </si>
  <si>
    <t xml:space="preserve">Pages in correct order (1-4 of 4), none missing. Client is ПЈУРЕЛИ ПЛАНТ ДООЕЛ. All 29 pesticide rows н.д.; lead 0,02 (limit 5) and arsenic 0,042 (limit 2) quantified but far below MaxDK; aflatoxins &lt; 2 (limit 4). Anomalies: 'Изработил' is blank/unsigned for the ПЕСТИЦИДИ and ТЕШКИ МЕТАЛИ sections; mycotoxin method split across pages 3-4.</t>
  </si>
  <si>
    <t xml:space="preserve">IJZ|4350/2025</t>
  </si>
  <si>
    <t xml:space="preserve">4350/2025</t>
  </si>
  <si>
    <t xml:space="preserve">CJ 052501/1</t>
  </si>
  <si>
    <t xml:space="preserve">ImB_COAs/CJ052501-1 (P050162) 3.pdf ; ImB_QC_COAs/P050162 (CJ052501-1)/CJ052501-1 (P050162) 3.pdf</t>
  </si>
  <si>
    <t xml:space="preserve">5,2,3,4</t>
  </si>
  <si>
    <t xml:space="preserve">Pages 1-4 present and in order (manifest source_pages listed as 5,2,3,4 but the printed footers run 1,2,3,4 across images p1-p4). Mycotoxin method text is split across the page 3/4 break ('AflaTest' + 'Флуорометриски метод'). 'Изработил' blank on pesticides and metals sections. Arsenic row marked * (non-accredited). All results within limits.</t>
  </si>
  <si>
    <t xml:space="preserve">IJZ|4352/2025</t>
  </si>
  <si>
    <t xml:space="preserve">4352/2025</t>
  </si>
  <si>
    <t xml:space="preserve">HPA 052501</t>
  </si>
  <si>
    <t xml:space="preserve">ImB_COAs/HPA052501(P050182) 3.pdf ; ImB_QC_COAs/P050182 (HPA052501)/HPA052501(P050182) 3.pdf</t>
  </si>
  <si>
    <t xml:space="preserve">3,5,6,4</t>
  </si>
  <si>
    <t xml:space="preserve">СТРАНИТЕ СЕ ВОН РЕДОСЛЕД во датотеките со слики: сликите p1..p4 ги содржат страните 1, 3, 4, 2 соодветно (сите 4 страни се присутни, ниедна не недостасува). Страна 2 (пестицидна табела) е скенирана искосено, редовите и ѕвездичките (*) се вертикално поместени во однос на етикетите. ПЕСТИЦИДИ: 29 реда, сите н.д.; полето Изработил е празно (несигнирано). ТЕШКИ МЕТАЛИ: олово 0,034 (под MaxDK 5), останатите н.д.; арсен означен со *; полето Изработил е празно (несигнирано). Клиент е ПЈУРЕЛИ ПЛАНТ ДООЕЛ (во ред). Производител не е пополнет.</t>
  </si>
  <si>
    <t xml:space="preserve">IJZ|4762/2025</t>
  </si>
  <si>
    <t xml:space="preserve">4762/2025</t>
  </si>
  <si>
    <t xml:space="preserve">08.10.2025</t>
  </si>
  <si>
    <t xml:space="preserve">01.10.2025</t>
  </si>
  <si>
    <t xml:space="preserve">GP 062501</t>
  </si>
  <si>
    <t xml:space="preserve">ImB_COAs/GP062501 (P050202) 3.pdf ; ImB_QC_COAs/P050202 (GP062501)/GP062501 (P050202) 3.pdf</t>
  </si>
  <si>
    <t xml:space="preserve">Pages in correct order (1-4 of 4), none missing. Client is ПЈУРЕЛИ ПЛАНТ ДООЕЛ. All 30 pesticide rows н.д. (this report has an extra summary row 'Пестициди вкупно', н.д., MaxDK 0,5, not present in the other reports); all metals and aflatoxins below MaxDK. Anomalies: a HANDWRITTEN annotation - the date '17.10.2025' plus a signature - has been added in ink to the top right of the cover page, after the printed report date 08.10.2025; 'Изработил' blank for ПЕСТИЦИДИ and ТЕШКИ МЕТАЛИ.</t>
  </si>
  <si>
    <t xml:space="preserve">IJZ|4907/2025</t>
  </si>
  <si>
    <t xml:space="preserve">4907/2025</t>
  </si>
  <si>
    <t xml:space="preserve">24.10.2025</t>
  </si>
  <si>
    <t xml:space="preserve">10.10.2025</t>
  </si>
  <si>
    <t xml:space="preserve">22.10.2025</t>
  </si>
  <si>
    <t xml:space="preserve">CJ 062501/1</t>
  </si>
  <si>
    <t xml:space="preserve">САРЈИМКТЕ</t>
  </si>
  <si>
    <t xml:space="preserve">ImB_COAs/CJ062501-1 (P050222) 3 (1).pdf ; ImB_COAs/CJ062501-1 (P050222) 3 (2).pdf ; ImB_COAs/CJ062501-1 (P050222) 3.pdf ; ImB_QC_COAs/P050222 (CJ062501-1)/CJ062501-1 (P050222) 3.pdf</t>
  </si>
  <si>
    <t xml:space="preserve">Сите 4 страни присутни и по ред. ПЕСТИЦИДИ: 29 реда, сите н.д.; полето Изработил е празно (несигнирано). ТЕШКИ МЕТАЛИ: сите четири резултати се мерливи и под MaxDK; полето Изработил е празно (несигнирано). Микотоксинската табела е прекината преку страни 3/4. Клиент е ПЈУРЕЛИ ПЛАНТ ДООЕЛ (во ред). Производител не е пополнет.</t>
  </si>
  <si>
    <t xml:space="preserve">IJZ|4908/2025</t>
  </si>
  <si>
    <t xml:space="preserve">4908/2025</t>
  </si>
  <si>
    <t xml:space="preserve">CJ 062501/2</t>
  </si>
  <si>
    <t xml:space="preserve">CAPJUNKIE</t>
  </si>
  <si>
    <t xml:space="preserve">ImB_COAs/CJ0602501-2 (P050212) 3.pdf ; ImB_QC_COAs/P050212 (CJ062501-2)/CJ0602501-2 (P050212) 3.pdf</t>
  </si>
  <si>
    <t xml:space="preserve">Pages 1-4 present and in order. A handwritten date '04.11.2025' plus a signature has been added by hand in the top-right margin of the cover page (after the 24.10.2025 print date) - an off-form manual annotation. 'Изработил' blank on pesticides and metals sections. All results within limits.</t>
  </si>
  <si>
    <t xml:space="preserve">IJZ|5661/2025</t>
  </si>
  <si>
    <t xml:space="preserve">5661/2025</t>
  </si>
  <si>
    <t xml:space="preserve">01.12.2025</t>
  </si>
  <si>
    <t xml:space="preserve">21.11.2025</t>
  </si>
  <si>
    <t xml:space="preserve">BSS 052501</t>
  </si>
  <si>
    <t xml:space="preserve">ЊУ ГАРДЕН ФАРМА ДООЕЛ, БУЛ.КОЧО РАЦИН БР.14 ЛОК.6, СКОПЈЕ</t>
  </si>
  <si>
    <t xml:space="preserve">8,9</t>
  </si>
  <si>
    <t xml:space="preserve">*** CLIENT IS NOT ПЈУРЕЛИ ПЛАНТ *** - the addressee, delivered-by, sampled-from and payer are all 'ЊУ ГАРДЕН ФАРМА ДООЕЛ, БУЛ.КОЧО РАЦИН БР.14 ЛОК.6, СКОПЈЕ'. This report does not belong to the Purely Plant series. It is also a 2-page report (Страна 1 од 2 / 2 од 2, both present): it contains ONLY the ТЕШКИ МЕТАЛИ section - there is NO ПЕСТИЦИДИ section and NO МИКОТОКСИНИ section, so those objects are empty here. Metals head is the same partly-illegible rubber stamp naming a specialist in medical nuclear physics; 'Изработил' is an illegible handwritten signature. All four metal results are within their limits.</t>
  </si>
  <si>
    <t xml:space="preserve">IJZ|5697/2025</t>
  </si>
  <si>
    <t xml:space="preserve">5697/2025</t>
  </si>
  <si>
    <t xml:space="preserve">02.12.2025</t>
  </si>
  <si>
    <t xml:space="preserve">24.11.2025</t>
  </si>
  <si>
    <t xml:space="preserve">CJ 072501</t>
  </si>
  <si>
    <t xml:space="preserve">ПЈУРЕЛИ ПЛАНТ ДООЕЛ НЕ ОВАА, УЛ.9 БР.с. ЌОЈЛИЈА, ПЕТРОВЕЦ, СКОПЈЕ</t>
  </si>
  <si>
    <t xml:space="preserve">ImB_COAs/CJ072501 (P050252) 3 (1).pdf ; ImB_COAs/CJ072501 (P050252) 3 (2).pdf ; ImB_COAs/CJ072501 (P050252) 3.pdf ; ImB_QC_COAs/P050252 (CJ072501)/CJ072501 (P050252) 3.pdf</t>
  </si>
  <si>
    <t xml:space="preserve">ADDRESSEE ANOMALY: client block reads 'ПЈУРЕЛИ ПЛАНТ ДООЕЛ НЕ ОВАА' ('...NOT THIS ONE'); same suffix on delivered-by and sampled-from. Metals head is a rubber stamp reading 'М-р Александра Ациска Митков, спец. по медицинска нуклеарна физика' - partly obscured by an overlaid signature and PARTLY ILLEGIBLE; note the stamped specialty (medical nuclear physics) is inconsistent with the metals-testing department, and it differs from the printed head (Билјана Маневска) used on the other reports. 'Изработил' on metals is an illegible handwritten signature. Mercury MaxDK on this report is 0,01 (ten times tighter than the 0,1 used elsewhere in the batch); result 0,002 is still compliant. Pages 1-4 present and in order.</t>
  </si>
  <si>
    <t xml:space="preserve">IJZ|5698/2025</t>
  </si>
  <si>
    <t xml:space="preserve">5698/2025</t>
  </si>
  <si>
    <t xml:space="preserve">PM072501</t>
  </si>
  <si>
    <t xml:space="preserve">ImB_COAs/PM072501 (P050272) 3.pdf ; ImB_QC_COAs/P050272 (PM072501)/PM072501 (P050272) 3.pdf</t>
  </si>
  <si>
    <t xml:space="preserve">ADDRESSEE ANOMALY: client block reads 'ПЈУРЕЛИ ПЛАНТ ДООЕЛ НЕ ОВАА' ('...NOT THIS ONE'); same suffix on delivered-by and sampled-from. HEAVY-METALS SECTION COMPLETELY UNSIGNED: no name and no signature under either 'Изработил' or 'Раководител на Одделение за испитување на метали'. Pages 1-4 present and in order. All results within limits.</t>
  </si>
  <si>
    <t xml:space="preserve">IJZ|5699/2025</t>
  </si>
  <si>
    <t xml:space="preserve">5699/2025</t>
  </si>
  <si>
    <t xml:space="preserve">WC072501</t>
  </si>
  <si>
    <t xml:space="preserve">ImB_COAs/WC072501 (P050262) 3 (1).pdf ; ImB_COAs/WC072501 (P050262) 3 (2).pdf ; ImB_COAs/WC072501 (P050262) 3.pdf ; ImB_QC_COAs/P050262 (WC072501)/WC072501 (P050262) 3.pdf</t>
  </si>
  <si>
    <t xml:space="preserve">FLAG - ADDRESSEE STRING ABNORMAL: the client block reads 'ПЈУРЕЛИ ПЛАНТ ДООЕЛ НЕ ОВАА' (literally 'PURELY PLANT DOOEL NOT THIS ONE'); the same 'НЕ ОВАА' suffix appears in 'Примерокот го доставува' and 'Примерокот е земен од', while 'Странка за наплата' reads plain ПЈУРЕЛИ ПЛАНТ ДООЕЛ. This looks like a client-master-data note accidentally printed into the customer name - it is still Пјурели Плант, not a different company, but the record should be verified against the client master before use. FLAG - UNSIGNED SECTION: the ТЕШКИ МЕТАЛИ block has neither an 'Изработил' entry nor any name or signature on the 'Раководител на Одделение за испитување на метали' line - the heavy-metals results are unsigned. Pages 1-4 present and in correct image order. All 29 pesticide rows н.д.; all metals below MaxDK (жива 0,01 vs 0,1). Микотоксини table straddles pages 3/4. Производител blank.</t>
  </si>
  <si>
    <t xml:space="preserve">IJZ|5700/2025</t>
  </si>
  <si>
    <t xml:space="preserve">5700/2025</t>
  </si>
  <si>
    <t xml:space="preserve">CLE072501</t>
  </si>
  <si>
    <t xml:space="preserve">ImB_COAs/CLE072501 (P050282) 3.pdf ; ImB_QC_COAs/P050282 (CLE072501)/CLE072501 (P050282) 3.pdf</t>
  </si>
  <si>
    <t xml:space="preserve">3,4,6,5</t>
  </si>
  <si>
    <t xml:space="preserve">PAGES OUT OF ORDER: image 3 is 'Страна 4 од 4' and image 4 is 'Страна 3 од 4'; page order as scanned is 1,2,4,3. No pages missing. CLIENT NAME ANOMALY: addressee, deliverer and sampler are all printed as 'ПЈУРЕЛИ ПЛАНТ ДООЕЛ НЕ ОВАА' - the trailing 'НЕ ОВАА' ('not this one') appears to be a data-entry artefact left in the client record; the payer line still reads plain 'ПЈУРЕЛИ ПЛАНТ ДООЕЛ'. UNSIGNED SECTION: the ТЕШКИ МЕТАЛИ block has a blank 'Изработил' line AND no printed name and no signature under 'Раководител на Одделение за испитување на метали' - that section is entirely unsigned; 'Изработил' is also blank for ПЕСТИЦИДИ. Total aflatoxins quantified at 2,2 µg/kg (MaxDK 4) - below limit but the only non-'&lt; 2' aflatoxin result together with 4157/2025. 'Произведен на' blank.</t>
  </si>
  <si>
    <t xml:space="preserve">IJZ|5886/2025</t>
  </si>
  <si>
    <t xml:space="preserve">5886/2025</t>
  </si>
  <si>
    <t xml:space="preserve">12.12.2025</t>
  </si>
  <si>
    <t xml:space="preserve">GP 072501/1</t>
  </si>
  <si>
    <t xml:space="preserve">ImB_COAs/GP072501-1 (P050292) 3.pdf ; ImB_QC_COAs/P050292 (GP072501-1)/GP072501-1 (P050292) 3.pdf</t>
  </si>
  <si>
    <t xml:space="preserve">Pages in correct order (1-4 of 4), none missing. CLIENT NAME ANOMALY: addressee, deliverer and sampler are printed as 'ПЈУРЕЛИ ПЛАНТ ДООЕЛ НЕ ОВАА' (trailing 'НЕ ОВАА' looks like a data-entry artefact in the client record); the payer line reads plain 'ПЈУРЕЛИ ПЛАНТ ДООЕЛ'. All 29 pesticide rows н.д.; all metals and aflatoxins below MaxDK. Anomalies: ТЕШКИ МЕТАЛИ 'Изработил' is a handwritten signature with no printed name - ILLEGIBLE - and the metals department head has NO printed name and NO signature; ПЕСТИЦИДИ 'Изработил' is blank; page 4 (mycotoxins) carries no institute stamp, unlike the other reports. 'Произведен на' blank.</t>
  </si>
  <si>
    <t xml:space="preserve">IJZ|5887/2025</t>
  </si>
  <si>
    <t xml:space="preserve">5887/2025</t>
  </si>
  <si>
    <t xml:space="preserve">GP 072501/2</t>
  </si>
  <si>
    <t xml:space="preserve">ImB_COAs/GP072501-2 (P050302) 3.pdf ; ImB_QC_COAs/P050302 (GP072501-2)/GP072501-2 (P050302) 3.pdf</t>
  </si>
  <si>
    <t xml:space="preserve">FLAG - ADDRESSEE STRING ABNORMAL: client block reads 'ПЈУРЕЛИ ПЛАНТ ДООЕЛ НЕ ОВАА' ('...NOT THIS ONE'), same suffix in 'Примерокот го доставува' and 'Примерокот е земен од'; 'Странка за наплата' is plain ПЈУРЕЛИ ПЛАНТ ДООЕЛ. Still Пјурели Плант, not another company, but verify against client master. ILLEGIBLE FIELD: ТЕШКИ МЕТАЛИ 'Изработил' is a handwritten cursive signature that cannot be read reliably (recorded ILLEGIBLE). The metals 'Раководител на Одделение за испитување на метали' line has NO printed name and NO signature (recorded empty). Pages 1-4 present and in correct image order. All 29 pesticide rows н.д. All metals below MaxDK; closest is жива 0,019 vs 0,1 and арсен 0,02 vs 0,2. Микотоксини table straddles pages 3/4. Производител blank.</t>
  </si>
  <si>
    <t xml:space="preserve">IJZ|5888/2025</t>
  </si>
  <si>
    <t xml:space="preserve">5888/2025</t>
  </si>
  <si>
    <t xml:space="preserve">GP 082501/1</t>
  </si>
  <si>
    <t xml:space="preserve">ImB_COAs/GP082501-1 (P050312) 3.pdf ; ImB_QC_COAs/P050312 (GP082501-1)/GP082501-1 (P050312) 3.pdf</t>
  </si>
  <si>
    <t xml:space="preserve">ADDRESSEE ANOMALY: the client block reads 'ПЈУРЕЛИ ПЛАНТ ДООЕЛ НЕ ОВАА' (literally 'Purely Plant DOOEL NOT THIS ONE'); the same 'НЕ ОВАА' suffix also appears on 'Примерокот го доставува' and 'Примерокот е земен од'. Verified by zoom - it is printed that way. HEAVY-METALS SECTION UNSIGNED: no printed name and no signature under 'Раководител на Одделение за испитување на метали'; 'Изработил' is only an illegible handwritten signature. Pages 1-4 present and in order. All results within limits.</t>
  </si>
  <si>
    <t xml:space="preserve">IJZ|5889/2025</t>
  </si>
  <si>
    <t xml:space="preserve">5889/2025</t>
  </si>
  <si>
    <t xml:space="preserve">GP 082501/2</t>
  </si>
  <si>
    <t xml:space="preserve">До ПЈУРЕЛИ ПЛАНТ ДООЕЛ НЕ ОВАА, УЛ.9 БР.с. ЌОЈЛИЈА, ПЕТРОВЕЦ, СКОПЈЕ</t>
  </si>
  <si>
    <t xml:space="preserve">ImB_COAs/GP082501-2 (P050322) 3.pdf ; ImB_QC_COAs/P050322 (GP082501-2)/GP082501-2 (P050322) 3.pdf</t>
  </si>
  <si>
    <t xml:space="preserve">АНОМАЛИЈА ВО ИМЕТО НА КЛИЕНТОТ: адресатот е печатен како 'ПЈУРЕЛИ ПЛАНТ ДООЕЛ НЕ ОВАА' (истиот додаток 'НЕ ОВАА' се појавува и кај 'Примерокот го доставува' и 'Примерокот е земен од'); Странка за наплата е само 'ПЈУРЕЛИ ПЛАНТ ДООЕЛ'. Тоа е сепак Пјурели Плант, но со сомнителен додаток во базата на клиенти - треба проверка. Сите 4 страни присутни и по ред. ПЕСТИЦИДИ: 29 реда, сите н.д.; полето Изработил е празно (несигнирано). ТЕШКИ МЕТАЛИ: сите 4 резултати мерливи и под MaxDK (арсен 0,02 наспроти MaxDK 0,2 - 10% од границата); Изработил има само рачен потпис без печатено име, а полето Раководител на Одделение за испитување на метали е ПРАЗНО (нема ни име ни потпис). Производител и Произведен на не се пополнети.</t>
  </si>
  <si>
    <t xml:space="preserve">IJZ|750/2025</t>
  </si>
  <si>
    <t xml:space="preserve">750/2025</t>
  </si>
  <si>
    <t xml:space="preserve">27.02.2025</t>
  </si>
  <si>
    <t xml:space="preserve">13.02.2025</t>
  </si>
  <si>
    <t xml:space="preserve">CJ 1024</t>
  </si>
  <si>
    <t xml:space="preserve">ImB_COAs/CJ1024 3.pdf ; ImB_QC_COAs/CJ1024/CJ1024 3.pdf</t>
  </si>
  <si>
    <t xml:space="preserve">Pages 1-4 present and in correct image order. Client is ПЈУРЕЛИ ПЛАНТ ДООЕЛ (expected). All 29 pesticide rows (incl. Пиретроиди: Deltamethrin) read н.д. All heavy-metal and aflatoxin results well below MaxDK. Pesticide table on this report is uniquely split into subsections Органофосфорни пестициди / Органохлорни инсектициди / Пиретроиди. 'Изработил' line is blank (no name printed) in the ПЕСТИЦИДИ and ТЕШКИ МЕТАЛИ sections; both sections are signed by the department head. Производител, Произведен на, Употреблив до, Увозник, Земја на потекло and Шпедитер are blank on the cover page. Микотоксини section Датум на завршување 14.02.2025.</t>
  </si>
  <si>
    <t xml:space="preserve">IJZ|751/2025</t>
  </si>
  <si>
    <t xml:space="preserve">751/2025</t>
  </si>
  <si>
    <t xml:space="preserve">BSS 1024</t>
  </si>
  <si>
    <t xml:space="preserve">ImB_COAs/BSS1024 3.pdf ; ImB_QC_COAs/BSS1024/BSS1024 3.pdf</t>
  </si>
  <si>
    <t xml:space="preserve">Pages in correct order (1-4 of 4), none missing. Client is ПЈУРЕЛИ ПЛАНТ ДООЕЛ; the payer line is printed as 'ПЈУРЕЛИ ПЛАНТ' without 'ДООЕЛ'. MISSING DATA: the 'Метода' cell for the олово (lead) row in the ТЕШКИ МЕТАЛИ table is BLANK - no method is stated for the lead result 0,071 mg/kg(l); recorded as ILLEGIBLE/absent rather than guessed. The pesticide table is laid out differently from the other reports, split into Органофосфорни пестициди (3 rows), Органохлорни инсектициди (25 rows) and Пиретроиди (1 row, Deltamethrin) = 29 rows, all н.д.; every row is '*' flagged (non-accredited method). All metals and aflatoxins below MaxDK. 'Произведен на' blank; 'Изработил' blank for ПЕСТИЦИДИ and ТЕШКИ МЕТАЛИ.</t>
  </si>
  <si>
    <t xml:space="preserve">IJZ|752/2025</t>
  </si>
  <si>
    <t xml:space="preserve">752/2025</t>
  </si>
  <si>
    <t xml:space="preserve">BG 1024</t>
  </si>
  <si>
    <t xml:space="preserve">ImB_COAs/BG1024 2.pdf ; ImB_QC_COAs/BG1024/BG1024 2.pdf</t>
  </si>
  <si>
    <t xml:space="preserve">Сите 4 страни присутни и по ред. ПЕСТИЦИДИ се поделени во подгрупи: Органофосфорни пестициди (3 реда), Органохлорни инсектициди (25 реда) и Пиретроиди (1 ред, Deltamethrin) - вкупно 29 реда, сите н.д. и сите означени со * (неакредитирани методи). Полето Изработил кај ПЕСТИЦИДИ е празно (несигнирано). ТЕШКИ МЕТАЛИ: сите 4 реда со мерливи вредности под MaxDK, сите означени со *; полето Изработил е празно (несигнирано). Клиент е ПЈУРЕЛИ ПЛАНТ ДООЕЛ (во ред). Производител и Произведен на не се пополнети.</t>
  </si>
  <si>
    <t xml:space="preserve">IJZ|80/2026</t>
  </si>
  <si>
    <t xml:space="preserve">80/2026</t>
  </si>
  <si>
    <t xml:space="preserve">02.02.2026</t>
  </si>
  <si>
    <t xml:space="preserve">08.01.2026</t>
  </si>
  <si>
    <t xml:space="preserve">WC082501</t>
  </si>
  <si>
    <t xml:space="preserve">ImB_COAs/WC082501 (P060012) 3.pdf ; ImB_QC_COAs/P060012 (WC082501)/WC082501 (P060012) 3.pdf</t>
  </si>
  <si>
    <t xml:space="preserve">Pages 1-4 present and in correct image order. Client ПЈУРЕЛИ ПЛАНТ ДООЕЛ (expected). All 29 pesticide rows н.д.; all four heavy metals н.д. ILLEGIBLE FIELDS: ТЕШКИ МЕТАЛИ 'Изработил' is a handwritten cursive signature that cannot be read reliably (ILLEGIBLE), and the metals department head line carries ink initials only with NO printed name (ILLEGIBLE). Copper (бакар) 1,859 mg/kg(l) reported with MinDK 0 and NO MaxDK - no limit to compare against. Производител / Произведен на blank.</t>
  </si>
  <si>
    <t xml:space="preserve">IJZ|81/2026</t>
  </si>
  <si>
    <t xml:space="preserve">81/2026</t>
  </si>
  <si>
    <t xml:space="preserve">CJ082501/1</t>
  </si>
  <si>
    <t xml:space="preserve">ImB_COAs/CJ082501-1 (P060022) 1.pdf ; ImB_QC_COAs/P060022 (CJ082501-1)/CJ082501-1 (P060022) 1.pdf</t>
  </si>
  <si>
    <t xml:space="preserve">Pages in correct order (1-4 of 4), none missing. Client is ПЈУРЕЛИ ПЛАНТ ДООЕЛ. All 29 pesticide rows н.д.; all metals and aflatoxins below MaxDK. Anomalies: heavy-metals table carries a FIFTH row, бакар (copper) = 2,55 mg/kg(l), whose MaxDK cell is EMPTY, so conformity for copper cannot be assessed; the ТЕШКИ МЕТАЛИ 'Изработил' entry is a handwritten signature with no printed name - ILLEGIBLE - and the 'Раководител на Одделение за испитување на метали' has only an initialled scrawl with NO printed name (unlike other reports which print Дипл.инг.спец. Билјана Маневска); the ПЕСТИЦИДИ 'Изработил' line is blank; 'Произведен на' (manufactured on) is blank on the cover page; MaxDK limits for lead/arsenic/cadmium are much tighter here (0,5 / 0,2 / 0,3) than in the 2025 reports (5 / 2 / 1).</t>
  </si>
  <si>
    <t xml:space="preserve">IJZ|82/2026</t>
  </si>
  <si>
    <t xml:space="preserve">82/2026</t>
  </si>
  <si>
    <t xml:space="preserve">CJ082501/2</t>
  </si>
  <si>
    <t xml:space="preserve">ImB_COAs/CJ082501-2 (P060032) 3.pdf ; ImB_QC_COAs/P060032 (CJ082501-2)/CJ082501-2 (P060032) 3.pdf</t>
  </si>
  <si>
    <t xml:space="preserve">Pages 1-4 present, in order. HEAVY-METALS SECTION HAS NO PRINTED SIGNATORY NAMES: 'Изработил' is an illegible handwritten signature and the metals head line carries only initials with no typed name - both recorded as ILLEGIBLE. Copper (бакар) 3,661 mg/kg(l) has NO MaxDK printed (MinDK 0), so that row cannot be assessed against a specification. Lead limit here is 0,5 (tighter than the 5 used in several other reports in this batch); result 0,073 is compliant. Arsenic row marked *.</t>
  </si>
  <si>
    <t xml:space="preserve">IJZ|83/2026</t>
  </si>
  <si>
    <t xml:space="preserve">83/2026</t>
  </si>
  <si>
    <t xml:space="preserve">PM092501</t>
  </si>
  <si>
    <t xml:space="preserve">ImB_COAs/PM092501 (P060062) 3.pdf ; ImB_QC_COAs/P060062 (PM092501)/PM092501 (P060062) 3.pdf</t>
  </si>
  <si>
    <t xml:space="preserve">Сите 4 страни присутни и по ред. ПЕСТИЦИДИ: полето Изработил е празно (без име и без потпис) - несигниран дел; сите 29 реда н.д. ТЕШКИ МЕТАЛИ: полињата Изработил и Раководител имаат само рачен потпис без печатено име; редот бакар има MinDK 0 и нема MaxDK (без граница); арсен е означен со * (неакредитиран метод). Клиент е ПЈУРЕЛИ ПЛАНТ ДООЕЛ (во ред). Производител, Произведен на не се пополнети во оригиналот.</t>
  </si>
  <si>
    <t xml:space="preserve">IJZ|84/2026</t>
  </si>
  <si>
    <t xml:space="preserve">84/2026</t>
  </si>
  <si>
    <t xml:space="preserve">AB092501</t>
  </si>
  <si>
    <t xml:space="preserve">ImB_COAs/AB092501 (P060052) 2.pdf ; ImB_QC_COAs/P060052 (AB092501)/AB092501 (P060052) 2.pdf</t>
  </si>
  <si>
    <t xml:space="preserve">Pages 1-4 present, in order. HEAVY-METALS SECTION HAS NO PRINTED SIGNATORY NAMES: 'Изработил' carries only an illegible handwritten signature and 'Раководител на Одделение за испитување на метали' carries only initials, no typed name - both recorded as ILLEGIBLE. Lead 0,05 mg/kg(l) against a MaxDK of only 0,5 (10% of limit) - note this report uses a tighter lead limit than most others in the batch (5). Copper (бакар) 3,101 mg/kg(l) has NO MaxDK printed (MinDK column shows 0), so no specification could be checked for that row. Arsenic row marked * (non-accredited).</t>
  </si>
  <si>
    <t xml:space="preserve">IJZ|85/2026</t>
  </si>
  <si>
    <t xml:space="preserve">85/2026</t>
  </si>
  <si>
    <t xml:space="preserve">SJ092501</t>
  </si>
  <si>
    <t xml:space="preserve">ImB_COAs/SJ092501 (P060082) 3.pdf ; ImB_QC_COAs/P060082 (SJ092501)/SJ092501 (P060082) 3.pdf</t>
  </si>
  <si>
    <t xml:space="preserve">Pages 1-4 present and in correct image order. Client ПЈУРЕЛИ ПЛАНТ ДООЕЛ (expected). All 29 pesticide rows н.д. ILLEGIBLE FIELDS: in ТЕШКИ МЕТАЛИ the 'Изработил' entry is a handwritten cursive signature that cannot be read reliably (recorded ILLEGIBLE), and the 'Раководител на Одделение за испитување на метали' line carries only initials in ink with NO printed name (recorded ILLEGIBLE). Copper (бакар) 3,341 mg/kg(l) is reported with MinDK 0 and NO MaxDK specified - no limit to compare against. Heavy-metal MaxDK values on this report are the tighter medical-cannabis set (Pb 0,5 / As 0,2 / Cd 0,3). Aflatoxins 2 µg/kg vs MaxDK 4 - measurable positive, below limit. Производител / Произведен на blank.</t>
  </si>
  <si>
    <t xml:space="preserve">IJZ|86/2026</t>
  </si>
  <si>
    <t xml:space="preserve">86/2026</t>
  </si>
  <si>
    <t xml:space="preserve">CJ092501</t>
  </si>
  <si>
    <t xml:space="preserve">ImB_COAs/CJ092501 (P060072) 3.pdf ; ImB_QC_COAs/P060072 (CJ092501)/CJ092501 (P060072) 3.pdf</t>
  </si>
  <si>
    <t xml:space="preserve">Сите 4 страни присутни и по ред. ПЕСТИЦИДИ: 29 реда, сите н.д.; полето Изработил е празно (несигнирано). ТЕШКИ МЕТАЛИ: полињата Изработил и Раководител имаат само рачен потпис без печатено име; редот бакар има MinDK 0 и нема MaxDK; арсен означен со * (неакредитиран метод). Микотоксини: датум на завршување 14.01.2026. Клиент е ПЈУРЕЛИ ПЛАНТ ДООЕЛ (во ред). Производител и Произведен на не се пополнети.</t>
  </si>
  <si>
    <t xml:space="preserve">IJZ|87/2026</t>
  </si>
  <si>
    <t xml:space="preserve">87/2026</t>
  </si>
  <si>
    <t xml:space="preserve">03.02.2026</t>
  </si>
  <si>
    <t xml:space="preserve">OPM092501</t>
  </si>
  <si>
    <t xml:space="preserve">ImB_COAs/OPM092501 (P060042) 3.pdf ; ImB_QC_COAs/P060042 (OPM092501)/OPM092501 (P060042) 3.pdf</t>
  </si>
  <si>
    <t xml:space="preserve">Pages 1-4 present and in correct image order. Client ПЈУРЕЛИ ПЛАНТ ДООЕЛ (expected). All 29 pesticide rows н.д. ILLEGIBLE FIELD: the 'Раководител на Одделение за испитување на метали' line bears ink initials only with NO printed name (recorded ILLEGIBLE); its 'Изработил' line is blank. UNIT ANOMALY: the МЕТАЛИ block carries an extra 'МИНЕРАЛИ' sub-table with бакар 3,153 reported in mg/tableta (a tablet-dosage unit on a dried-flower sample), with MinDK 0 and NO MaxDK. Aflatoxins 2,2 µg/kg vs MaxDK 4 - measurable positive, below limit. Производител / Произведен на blank.</t>
  </si>
  <si>
    <t xml:space="preserve">IJZ|88/2026</t>
  </si>
  <si>
    <t xml:space="preserve">88/2026</t>
  </si>
  <si>
    <t xml:space="preserve">GP092501</t>
  </si>
  <si>
    <t xml:space="preserve">ImB_COAs/GP092501 (P060092) 3.pdf ; ImB_QC_COAs/P060092 (GP092501)/GP092501 (P060092) 3.pdf</t>
  </si>
  <si>
    <t xml:space="preserve">Сите 4 страни присутни и по ред. ПЕСТИЦИДИ: 29 реда, сите н.д.; полето Изработил е празно (несигнирано). ТЕШКИ МЕТАЛИ: полето Изработил е празно (несигнирано), Раководител има само рачен потпис без печатено име; редот бакар има MinDK 0 и нема MaxDK; арсен означен со * (неакредитиран метод). Микотоксини завршени на 14.01.2026. Клиент е ПЈУРЕЛИ ПЛАНТ ДООЕЛ (во ред). Производител и Произведен на не се пополнети.</t>
  </si>
  <si>
    <t xml:space="preserve">IJZ_MICRO|10/0013/26</t>
  </si>
  <si>
    <t xml:space="preserve">Institute of Public Health RNM – microbiology (ЛТ-005)</t>
  </si>
  <si>
    <t xml:space="preserve">IJZ_MICRO</t>
  </si>
  <si>
    <t xml:space="preserve">10/0013/26</t>
  </si>
  <si>
    <t xml:space="preserve">Microbiological quality (Ph. Eur. 5.1.8, Cat. C; 2.6.12 / 2.6.31)</t>
  </si>
  <si>
    <t xml:space="preserve">20.01.2026</t>
  </si>
  <si>
    <t xml:space="preserve">12.01.2025</t>
  </si>
  <si>
    <t xml:space="preserve">ПЈУРЕЛИ ПЛАНТ ДООЕЛ – с.Ќојлија, Петровец, РС Македонија</t>
  </si>
  <si>
    <t xml:space="preserve">0101 ОБ 7.8.3 216 Верзија 2</t>
  </si>
  <si>
    <t xml:space="preserve">ImB_COAs/CJ092501 (P060072) 3.pdf ; ImB_COAs/P060072/P060072 Annex 1.pdf ; ImB_QC_COAs/P060072 (CJ092501)/CJ092501 (P060072) 3.pdf</t>
  </si>
  <si>
    <t xml:space="preserve">2</t>
  </si>
  <si>
    <t xml:space="preserve">Date-of-receipt year appears mis-typed: 'Дата на прием: 12.01.2025' precedes the request letter (08.01.2026) and the report date (20.01.2026); most likely should read 12.01.2026. All results within specification.</t>
  </si>
  <si>
    <t xml:space="preserve">IJZ_MICRO|1009/1813/25</t>
  </si>
  <si>
    <t xml:space="preserve">1009/1813/25</t>
  </si>
  <si>
    <t xml:space="preserve">02.10.2025</t>
  </si>
  <si>
    <t xml:space="preserve">GP062501</t>
  </si>
  <si>
    <t xml:space="preserve">1</t>
  </si>
  <si>
    <t xml:space="preserve">No out-of-spec results. Note: the same batch number GP062501 is also reported under lab no. 1155/2056/25 (cid IJZ_MICRO_1155-2056-25) but with a different manufacturer (ЊУ ГАРДЕН ФАРМА instead of ПЈУРЕЛИ ПЛАНТ) and different counts - the two records should be reconciled. Manifest lists source_pages [1] for this cid and [7] for 1155/2056/25 from the same PDF.</t>
  </si>
  <si>
    <t xml:space="preserve">IJZ_MICRO|1032/1851/25</t>
  </si>
  <si>
    <t xml:space="preserve">1032/1851/25</t>
  </si>
  <si>
    <t xml:space="preserve">17.10.2025</t>
  </si>
  <si>
    <t xml:space="preserve">13.10.2025</t>
  </si>
  <si>
    <t xml:space="preserve">CJ062501/2</t>
  </si>
  <si>
    <t xml:space="preserve">6</t>
  </si>
  <si>
    <t xml:space="preserve">OUT-OF-SPEC vs PRINTED LIMIT: TYMC result 4,9 x 10^4 CFU/g EXCEEDS the printed specification of - 10^4 CFU/g (nearly 5x the stated limit), yet the conclusion states ОДГОВАРА. Requires QA review before batch release. Bile-tolerant gram-negative reported as a range '&lt; 10^4 и &gt;10^3 CFU/g' - at the top of its ≤ 10^4 CFU/g band. Manifest source_file is named CJ0602501-2 while the printed batch is CJ062501/2 (filename appears to carry an extra 0).</t>
  </si>
  <si>
    <t xml:space="preserve">IJZ_MICRO|1155/2056/25</t>
  </si>
  <si>
    <t xml:space="preserve">1155/2056/25</t>
  </si>
  <si>
    <t xml:space="preserve">17.11.2025</t>
  </si>
  <si>
    <t xml:space="preserve">ЊУ ГАРДЕН ФАРМА ДООЕЛ - Скопје, Република Северна Македонија</t>
  </si>
  <si>
    <t xml:space="preserve">7</t>
  </si>
  <si>
    <t xml:space="preserve">Different manufacturer/supplier from the rest of this batch set: ЊУ ГАРДЕН ФАРМА ДООЕЛ - Скопје (not ПЈУРЕЛИ ПЛАНТ). Sample is an Alu bag repack. Batch number GP062501 is identical to that on lab no. 1009/1813/25 (cid IJZ_MICRO_1009-1813-25) which names ПЈУРЕЛИ ПЛАНТ as manufacturer and reports different counts - reconcile. All results well within specification. Conclusion has a stray space before the closing period.</t>
  </si>
  <si>
    <t xml:space="preserve">IJZ_MICRO|1157/2058/25</t>
  </si>
  <si>
    <t xml:space="preserve">1157/2058/25</t>
  </si>
  <si>
    <t xml:space="preserve">12</t>
  </si>
  <si>
    <t xml:space="preserve">Different manufacturer/supplier from the rest of this batch set: ЊУ ГАРДЕН ФАРМА ДООЕЛ - Скопје (not ПЈУРЕЛИ ПЛАНТ). Sample is an Alu bag repack. Batch printed with internal space: 'BSS 052501'. All results well within specification. Conclusion has a stray space before the closing period.</t>
  </si>
  <si>
    <t xml:space="preserve">IJZ_MICRO|1217/2168/25</t>
  </si>
  <si>
    <t xml:space="preserve">1217/2168/25</t>
  </si>
  <si>
    <t xml:space="preserve">26.11.2025</t>
  </si>
  <si>
    <t xml:space="preserve">CJ062501/1</t>
  </si>
  <si>
    <t xml:space="preserve">None. All results within specification.</t>
  </si>
  <si>
    <t xml:space="preserve">IJZ_MICRO|1218/2169/25</t>
  </si>
  <si>
    <t xml:space="preserve">1218/2169/25</t>
  </si>
  <si>
    <t xml:space="preserve">CJ072501</t>
  </si>
  <si>
    <t xml:space="preserve">No anomaly. All results within specification.</t>
  </si>
  <si>
    <t xml:space="preserve">IJZ_MICRO|1219/2170/25</t>
  </si>
  <si>
    <t xml:space="preserve">1219/2170/25</t>
  </si>
  <si>
    <t xml:space="preserve">No anomaly. All counts below the limit of detection (&lt; 10 CFU/g).</t>
  </si>
  <si>
    <t xml:space="preserve">IJZ_MICRO|1220/2171/25</t>
  </si>
  <si>
    <t xml:space="preserve">1220/2171/25</t>
  </si>
  <si>
    <t xml:space="preserve">0101 ОБ 7.8.3 218 Верзија 2</t>
  </si>
  <si>
    <t xml:space="preserve">OUT-OF-SPEC vs PRINTED LIMIT: TYMC result 200 CFU/g (= 2 x 10^2) EXCEEDS the printed specification of - 10^2 CFU/g, yet the conclusion states ОДГОВАРА against both the Ph.Eur. monograph and the manufacturer specification. Requires QA review before batch release. Tighter manufacturer spec (TAMC 10^4, TYMC 10^2), 7-row table incl. S. aureus / P. aeruginosa, footnote on non-accredited methods. Footer form code is 218, not 216.</t>
  </si>
  <si>
    <t xml:space="preserve">IJZ_MICRO|1221/2172/25</t>
  </si>
  <si>
    <t xml:space="preserve">1221/2172/25</t>
  </si>
  <si>
    <t xml:space="preserve">Manifest doc_no 1221/2172/25 matches printed lab no. Tighter manufacturer specification used (TAMC 10^4, TYMC 10^2) with 7-row table incl. S. aureus / P. aeruginosa. TYMC result 90 CFU/g is just below the printed 10^2 CFU/g limit (90% of limit) - borderline. Footnote: '* Параметри кои се испитуваат со методи кои не се опфатени со опсегот на акредитација добиена од ИАРМ.' Footer form code is 218, not 216. Both signatures present with stamp; scan clean.</t>
  </si>
  <si>
    <t xml:space="preserve">IJZ_MICRO|1226/2192/25</t>
  </si>
  <si>
    <t xml:space="preserve">1226/2192/25</t>
  </si>
  <si>
    <t xml:space="preserve">05.12.2025</t>
  </si>
  <si>
    <t xml:space="preserve">GP082501/1</t>
  </si>
  <si>
    <t xml:space="preserve">Bile-tolerant gram-negative result is reported as a range '&lt; 10^3 и &gt; 10^2 CFU/g' rather than a single value; still within the ≤ 10^4 CFU/g limit. Otherwise no anomaly.</t>
  </si>
  <si>
    <t xml:space="preserve">IJZ_MICRO|1227/2193/25</t>
  </si>
  <si>
    <t xml:space="preserve">1227/2193/25</t>
  </si>
  <si>
    <t xml:space="preserve">GP082501/2</t>
  </si>
  <si>
    <t xml:space="preserve">Bile-tolerant gram-negative bacteria reported as an interval '&lt; 10^4 и &gt; 10^3 CFU/g' whose upper bound touches the specification limit of ≤ 10^4 CFU/g — within spec as printed, but the highest bile-tolerant value in this batch of reports.</t>
  </si>
  <si>
    <t xml:space="preserve">IJZ_MICRO|1228/2194/25</t>
  </si>
  <si>
    <t xml:space="preserve">1228/2194/25</t>
  </si>
  <si>
    <t xml:space="preserve">GP072501/1</t>
  </si>
  <si>
    <t xml:space="preserve">No out-of-spec results, though TYMC 6,5 x 10^3 CFU/g is at 65% of the 10^4 CFU/g limit.</t>
  </si>
  <si>
    <t xml:space="preserve">IJZ_MICRO|1229/2195/25</t>
  </si>
  <si>
    <t xml:space="preserve">1229/2195/25</t>
  </si>
  <si>
    <t xml:space="preserve">GP072501/2</t>
  </si>
  <si>
    <t xml:space="preserve">No anomaly. All results well within specification. Manifest doc_no matches printed lab no.</t>
  </si>
  <si>
    <t xml:space="preserve">IJZ_MICRO|161/0269/25</t>
  </si>
  <si>
    <t xml:space="preserve">161/0269/25</t>
  </si>
  <si>
    <t xml:space="preserve">24.02.2025</t>
  </si>
  <si>
    <t xml:space="preserve">17.02.2025</t>
  </si>
  <si>
    <t xml:space="preserve">ANOMALY - incomplete signatory block: the 'РАКОВОДИТЕЛ на Оддел за микробиологија' block carries NO printed name or title of the signer, only the institute stamp and a handwritten mark (the name line that appears on every other report in this batch is absent). Sample line has a doubled dash: 'Blue Sunset Sherbet - - сув цвет...'. 'Произведено' is given as month/year only (10.2024). Batch printed with internal space: 'BSS 1024'. Results within specification.</t>
  </si>
  <si>
    <t xml:space="preserve">IJZ_MICRO|163/0271/25</t>
  </si>
  <si>
    <t xml:space="preserve">163/0271/25</t>
  </si>
  <si>
    <t xml:space="preserve">TWO ISSUES: (1) TYMC result 1 x 10^4 CFU/g is exactly AT the specification limit of 10^4 CFU/g. (2) The РАКОВОДИТЕЛ block carries no printed name and no handwritten signature on the signature line — only the institute stamp; only the left-hand signatory (Д-р Татјана Цуцуловска) actually signed.</t>
  </si>
  <si>
    <t xml:space="preserve">IJZ_MICRO|164/0272/25</t>
  </si>
  <si>
    <t xml:space="preserve">164/0272/25</t>
  </si>
  <si>
    <t xml:space="preserve">The РАКОВОДИТЕЛ на Оддел за микробиологија block carries no printed name — only the title, a handwritten signature and the institute stamp, so the second signatory cannot be identified from the document. All results within specification.</t>
  </si>
  <si>
    <t xml:space="preserve">IJZ_MICRO|2/0005/26</t>
  </si>
  <si>
    <t xml:space="preserve">2/0005/26</t>
  </si>
  <si>
    <t xml:space="preserve">ImB_COAs/OPM092501 (P060042) 3.pdf ; ImB_COAs/P060042/P060042 Annex 1.pdf ; ImB_QC_COAs/P060042 (OPM092501)/OPM092501 (P060042) 3.pdf</t>
  </si>
  <si>
    <t xml:space="preserve">IJZ_MICRO|229/0392/26</t>
  </si>
  <si>
    <t xml:space="preserve">229/0392/26</t>
  </si>
  <si>
    <t xml:space="preserve">07.04.2026</t>
  </si>
  <si>
    <t xml:space="preserve">0101 ОБ 7.8.3 216 Верзија 3</t>
  </si>
  <si>
    <t xml:space="preserve">10</t>
  </si>
  <si>
    <t xml:space="preserve">Newer form revision (Верзија 3): conclusion is worded 'СЕ ВО СОГЛАСНОСТ' rather than 'ОДГОВАРА' (same PASS meaning, same Ph.Eur monograph 04/2019:50108), with additional Напомена / impartiality-declaration paragraphs. Sample name is printed with a stray space before the comma ('Orange Punch Mimosa , 38 g'). Signatures are initial-style. All results within specification.</t>
  </si>
  <si>
    <t xml:space="preserve">IJZ_MICRO|230/0393/26</t>
  </si>
  <si>
    <t xml:space="preserve">230/0393/26</t>
  </si>
  <si>
    <t xml:space="preserve">5</t>
  </si>
  <si>
    <t xml:space="preserve">Newer form revision (Верзија 3): conclusion is worded 'СЕ ВО СОГЛАСНОСТ' rather than 'ОДГОВАРА' (same PASS meaning, same Ph.Eur monograph 04/2019:50108), and the page carries additional Напомена / impartiality-declaration paragraphs. Signatures are initial-style rather than the usual full signatures. All results within specification.</t>
  </si>
  <si>
    <t xml:space="preserve">IJZ_MICRO|231/0394/26</t>
  </si>
  <si>
    <t xml:space="preserve">231/0394/26</t>
  </si>
  <si>
    <t xml:space="preserve">9</t>
  </si>
  <si>
    <t xml:space="preserve">Newer form revision (Верзија 3): conclusion is worded 'СЕ ВО СОГЛАСНОСТ' rather than 'ОДГОВАРА' (same PASS meaning, same Ph.Eur monograph 04/2019:50108), with additional Напомена / impartiality-declaration paragraphs. Same Серија J31122501 and same request letter 086/2026 as report 230/0393/26 (different sample: hand-trimmed vs trimmed flower). Signatures are initial-style. All results within specification.</t>
  </si>
  <si>
    <t xml:space="preserve">IJZ_MICRO|3/0006/26</t>
  </si>
  <si>
    <t xml:space="preserve">3/0006/26</t>
  </si>
  <si>
    <t xml:space="preserve">ImB_COAs/P060012/P060012 Annex 1.pdf ; ImB_COAs/WC082501 (P060012) 3.pdf ; ImB_QC_COAs/P060012 (WC082501)/WC082501 (P060012) 3.pdf</t>
  </si>
  <si>
    <t xml:space="preserve">IJZ_MICRO|318/0585/25</t>
  </si>
  <si>
    <t xml:space="preserve">318/0585/25</t>
  </si>
  <si>
    <t xml:space="preserve">14.04.2025</t>
  </si>
  <si>
    <t xml:space="preserve">GP0824-01</t>
  </si>
  <si>
    <t xml:space="preserve">IJZ_MICRO|319/0586/25</t>
  </si>
  <si>
    <t xml:space="preserve">319/0586/25</t>
  </si>
  <si>
    <t xml:space="preserve">TYMC 8,8 x 10^3 CFU/g is close to (88% of) the 10^4 CFU/g limit but within specification. Same batch GP0824-01 as report 318/0585/25.</t>
  </si>
  <si>
    <t xml:space="preserve">IJZ_MICRO|320/0587/25</t>
  </si>
  <si>
    <t xml:space="preserve">320/0587/25</t>
  </si>
  <si>
    <t xml:space="preserve">GG1024-01</t>
  </si>
  <si>
    <t xml:space="preserve">OUT OF SPECIFICATION vs printed limit: TYMC result 4,2 x 10^4 CFU/g exceeds the stated specification of 10^4 CFU/g, yet the conclusion states ОДГОВАРА (PASS). Exponents verified at high magnification. Requires QA review.</t>
  </si>
  <si>
    <t xml:space="preserve">IJZ_MICRO|4/0007/26</t>
  </si>
  <si>
    <t xml:space="preserve">4/0007/26</t>
  </si>
  <si>
    <t xml:space="preserve">ImB_COAs/CJ082501-2 (P060032) 3.pdf ; ImB_COAs/P060032/P060032 Annex 1.pdf ; ImB_QC_COAs/P060032 (CJ082501-2)/CJ082501-2 (P060032) 3.pdf</t>
  </si>
  <si>
    <t xml:space="preserve">ANOMALY - internally inconsistent date: 'Дата на прием' is printed 12.01.2025, but the lab number is 4/0007/26 (year 2026), the covering letter is dated 08.01.2026 and the report date is 20.01.2026. The receipt year is almost certainly a typo for 2026; transcribed verbatim as printed. Results within specification.</t>
  </si>
  <si>
    <t xml:space="preserve">IJZ_MICRO|406/0744/25</t>
  </si>
  <si>
    <t xml:space="preserve">406/0744/25</t>
  </si>
  <si>
    <t xml:space="preserve">05.05.2025</t>
  </si>
  <si>
    <t xml:space="preserve">29.04.2025</t>
  </si>
  <si>
    <t xml:space="preserve">MB0824-04</t>
  </si>
  <si>
    <t xml:space="preserve">No anomaly. All counts below the limit of detection (&lt; 10 CFU/g). Scan slightly faint but fully legible.</t>
  </si>
  <si>
    <t xml:space="preserve">IJZ_MICRO|407/0745/25</t>
  </si>
  <si>
    <t xml:space="preserve">407/0745/25</t>
  </si>
  <si>
    <t xml:space="preserve">OPM 1024-01</t>
  </si>
  <si>
    <t xml:space="preserve">IJZ_MICRO|471/0862/25</t>
  </si>
  <si>
    <t xml:space="preserve">471/0862/25</t>
  </si>
  <si>
    <t xml:space="preserve">22.05.2025</t>
  </si>
  <si>
    <t xml:space="preserve">16.05.2025</t>
  </si>
  <si>
    <t xml:space="preserve">GP0824-02</t>
  </si>
  <si>
    <t xml:space="preserve">Scan is faded/low-contrast in the header (institute logo and accreditation mark washed out) but all data fields are legible. All results within specification.</t>
  </si>
  <si>
    <t xml:space="preserve">IJZ_MICRO|472/0863/25</t>
  </si>
  <si>
    <t xml:space="preserve">472/0863/25</t>
  </si>
  <si>
    <t xml:space="preserve">GG1024-02</t>
  </si>
  <si>
    <t xml:space="preserve">OUT OF SPECIFICATION vs printed limit: TYMC result 1,9 x 10^4 CFU/g exceeds the stated specification of 10^4 CFU/g, yet the conclusion states ОДГОВАРА (PASS). Exponents verified at high magnification. Requires QA review.</t>
  </si>
  <si>
    <t xml:space="preserve">IJZ_MICRO|5/0008/26</t>
  </si>
  <si>
    <t xml:space="preserve">5/0008/26</t>
  </si>
  <si>
    <t xml:space="preserve">ImB_COAs/GP092501 (P060092) 3.pdf ; ImB_COAs/P060092/P060092 Annex 1.pdf ; ImB_QC_COAs/P060092 (GP092501)/GP092501 (P060092) 3.pdf</t>
  </si>
  <si>
    <t xml:space="preserve">IJZ_MICRO|587/1066/25</t>
  </si>
  <si>
    <t xml:space="preserve">587/1066/25</t>
  </si>
  <si>
    <t xml:space="preserve">18.06.2025</t>
  </si>
  <si>
    <t xml:space="preserve">13.06.2025</t>
  </si>
  <si>
    <t xml:space="preserve">OUT-OF-SPEC vs PRINTED LIMIT: TYMC result 1,5 x 10^4 CFU/g EXCEEDS the printed specification of - 10^4 CFU/g, yet the conclusion states ОДГОВАРА. (Under Ph.Eur. 5.1.8 rounding the acceptance criterion for a 10^4 limit is 5 x 10^4, which would pass, but the value is over the limit as printed on this report.) Requires QA review before batch release. Batch printed with internal space: 'HPA 1024-01'. Letter ref has no request number.</t>
  </si>
  <si>
    <t xml:space="preserve">IJZ_MICRO|588/1067/25</t>
  </si>
  <si>
    <t xml:space="preserve">588/1067/25</t>
  </si>
  <si>
    <t xml:space="preserve">OPM 1024-02</t>
  </si>
  <si>
    <t xml:space="preserve">No out-of-spec results. Batch printed with internal space: 'OPM 1024-02'. Letter ref carries no request number. Scan slightly faint but fully legible.</t>
  </si>
  <si>
    <t xml:space="preserve">IJZ_MICRO|6/0009/26</t>
  </si>
  <si>
    <t xml:space="preserve">6/0009/26</t>
  </si>
  <si>
    <t xml:space="preserve">ImB_COAs/P060062/P060062 Annex 1.pdf ; ImB_COAs/PM092501 (P060062) 3.pdf ; ImB_QC_COAs/P060062 (PM092501)/PM092501 (P060062) 3.pdf</t>
  </si>
  <si>
    <t xml:space="preserve">IJZ_MICRO|626/1127/25</t>
  </si>
  <si>
    <t xml:space="preserve">626/1127/25</t>
  </si>
  <si>
    <t xml:space="preserve">02.07.2025</t>
  </si>
  <si>
    <t xml:space="preserve">24.06.2025</t>
  </si>
  <si>
    <t xml:space="preserve">The 'Со писмо бр.' entry carries no request number, only 'Сл. од 23.06.2025 година'. All results within specification.</t>
  </si>
  <si>
    <t xml:space="preserve">IJZ_MICRO|627/1</t>
  </si>
  <si>
    <t xml:space="preserve">627/1</t>
  </si>
  <si>
    <t xml:space="preserve">627/1128/25</t>
  </si>
  <si>
    <t xml:space="preserve">GP 0824-02</t>
  </si>
  <si>
    <t xml:space="preserve">MANIFEST MISMATCH: manifest doc_no is '627/1' but the printed Лабораториски број is '627/1128/25' (verified at high magnification). Also: the 'Произведено:' field is left completely blank (no date, not even a dash), and the 'Со писмо бр.' entry carries no request number, only 'Сл. од 23.06.2025 година'. Serial is printed with an internal space: 'GP 0824-02'. All results within specification.</t>
  </si>
  <si>
    <t xml:space="preserve">IJZ_MICRO|628/1129/25</t>
  </si>
  <si>
    <t xml:space="preserve">628/1129/25</t>
  </si>
  <si>
    <t xml:space="preserve">OUT-OF-SPEC vs PRINTED LIMIT: TYMC result 1,2 x 10^4 CFU/g EXCEEDS the printed specification of - 10^4 CFU/g, yet the conclusion states ОДГОВАРА. Requires QA review before batch release. Bile-tolerant gram-negative reported as a range '&lt; 10^4 и &gt; 10^3 CFU/g' - at the top of its ≤ 10^4 CFU/g band. Batch printed with internal space: 'GP 0824-03'. Letter ref has no request number. Scan is faint/washed out but legible.</t>
  </si>
  <si>
    <t xml:space="preserve">IJZ_MICRO|7/0010/26</t>
  </si>
  <si>
    <t xml:space="preserve">7/0010/26</t>
  </si>
  <si>
    <t xml:space="preserve">ImB_COAs/AB092501 (P060052) 2.pdf ; ImB_COAs/P060052/P060052 Annex1.pdf ; ImB_QC_COAs/P060052 (AB092501)/AB092501 (P060052) 2.pdf</t>
  </si>
  <si>
    <t xml:space="preserve">IJZ_MICRO|766/1375/25</t>
  </si>
  <si>
    <t xml:space="preserve">766/1375/25</t>
  </si>
  <si>
    <t xml:space="preserve">29.07.2025</t>
  </si>
  <si>
    <t xml:space="preserve">OPM 1024-03</t>
  </si>
  <si>
    <t xml:space="preserve">Signature appearance: the handwriting on the Д-р Дугаѓин Османи line looks like the same signature as the one on the Д-р Татјана Цуцуловска line (both read as 'Цуцуловска'); worth verifying against the original before use as a release record. All results within specification.</t>
  </si>
  <si>
    <t xml:space="preserve">IJZ_MICRO|767/1376/25</t>
  </si>
  <si>
    <t xml:space="preserve">767/1376/25</t>
  </si>
  <si>
    <t xml:space="preserve">MB 0824-05</t>
  </si>
  <si>
    <t xml:space="preserve">ANOMALY - signature integrity: the handwritten signature placed over the line for Д-р Дугаѓин Османи is visually identical to the Цуцуловска signature in the left block (same hand, same glyph shapes), i.e. one person appears to have signed both blocks. Scan is somewhat faint/low-contrast overall. Batch printed with an internal space: 'MB 0824-05' (manifest source file names it MB0824_05). Results all within specification.</t>
  </si>
  <si>
    <t xml:space="preserve">IJZ_MICRO|8/001</t>
  </si>
  <si>
    <t xml:space="preserve">8/001</t>
  </si>
  <si>
    <t xml:space="preserve">8/0011/26</t>
  </si>
  <si>
    <t xml:space="preserve">ImB_COAs/P060022/P060022 Annex 1.pdf</t>
  </si>
  <si>
    <t xml:space="preserve">MANIFEST MISMATCH: manifest doc_no is '8/001' but the printed Лабораториски број is '8/0011/26' - the manifest value is a truncation. DUPLICATE: this is a second scan of the same report already captured as cid IJZ_MICRO_8-0011-26 (identical lab no., batch, dates, values); the two should be de-duplicated in the database. ANOMALY - internally inconsistent date: 'Дата на прием' printed 12.01.2025 while the lab number is /26, the letter is dated 08.01.2026 and the report 20.01.2026. Results within specification.</t>
  </si>
  <si>
    <t xml:space="preserve">IJZ_MICRO|8/0011/26</t>
  </si>
  <si>
    <t xml:space="preserve">ANOMALY - internally inconsistent date: 'Дата на прием' is printed 12.01.2025, but the lab number is 8/0011/26 (year 2026), the covering letter is dated 08.01.2026 and the report date is 20.01.2026. Receipt year is almost certainly a typo for 2026; transcribed verbatim. ANOMALY - duplicate: the manifest entry cid IJZ_MICRO_8-001 (source ImB_COAs/P060022/P060022 Annex 1.pdf) is a second scan of this same report (same lab no. 8/0011/26, same batch, same values). Results within specification.</t>
  </si>
  <si>
    <t xml:space="preserve">IJZ_MICRO|9/0012/26</t>
  </si>
  <si>
    <t xml:space="preserve">9/0012/26</t>
  </si>
  <si>
    <t xml:space="preserve">ImB_COAs/P060082/P060082 Annex1.pdf ; ImB_COAs/SJ092501 (P060082) 3.pdf ; ImB_QC_COAs/P060082 (SJ092501)/SJ092501 (P060082) 3.pdf</t>
  </si>
  <si>
    <t xml:space="preserve">IJZ_MICRO|904/1589/25</t>
  </si>
  <si>
    <t xml:space="preserve">904/1589/25</t>
  </si>
  <si>
    <t xml:space="preserve">02.09.2025</t>
  </si>
  <si>
    <t xml:space="preserve">27.08.2025</t>
  </si>
  <si>
    <t xml:space="preserve">OUT-OF-SPEC vs PRINTED LIMIT: TYMC result 3,3 x 10^4 CFU/g EXCEEDS the printed specification of - 10^4 CFU/g, yet the conclusion states ОДГОВАРА. Requires QA review before batch release. Batch printed with internal space: 'OPM 052501'.</t>
  </si>
  <si>
    <t xml:space="preserve">IJZ_MICRO|946/1684/25</t>
  </si>
  <si>
    <t xml:space="preserve">946/1684/25</t>
  </si>
  <si>
    <t xml:space="preserve">17.09.2025</t>
  </si>
  <si>
    <t xml:space="preserve">11.09.2025</t>
  </si>
  <si>
    <t xml:space="preserve">OUT-OF-SPEC vs PRINTED LIMIT: TYMC result 3,6 x 10^4 CFU/g EXCEEDS the printed specification of - 10^4 CFU/g, yet the conclusion states ОДГОВАРА. Requires QA review before batch release. Batch printed with internal space: 'GP 052501'.</t>
  </si>
  <si>
    <t xml:space="preserve">IJZ_MICRO|947/1685/25</t>
  </si>
  <si>
    <t xml:space="preserve">947/1685/25</t>
  </si>
  <si>
    <t xml:space="preserve">No out-of-spec results, though TAMC 9 x 10^3 and TYMC 6,3 x 10^3 CFU/g are elevated. Batch printed with internal space: 'CJ 052501/2'.</t>
  </si>
  <si>
    <t xml:space="preserve">IJZ_MICRO|948/1686/25</t>
  </si>
  <si>
    <t xml:space="preserve">948/1686/25</t>
  </si>
  <si>
    <t xml:space="preserve">HPA052501</t>
  </si>
  <si>
    <t xml:space="preserve">OUT OF SPECIFICATION vs printed limit: TYMC result 2,6 x 10^4 CFU/g exceeds the stated specification of 10^4 CFU/g, yet the conclusion states ОДГОВАРА (PASS). Exponents verified at high magnification. Requires QA review.</t>
  </si>
  <si>
    <t xml:space="preserve">IJZ_MICRO|949/1687/25</t>
  </si>
  <si>
    <t xml:space="preserve">949/1687/25</t>
  </si>
  <si>
    <t xml:space="preserve">OUT-OF-SPEC vs PRINTED LIMIT: TYMC result 1,7 x 10^4 CFU/g EXCEEDS the printed specification of - 10^4 CFU/g, yet the conclusion states ОДГОВАРА. Requires QA review before batch release. Product name printed 'Cup Jankie' - a third spelling of this strain (elsewhere in the same batch set it appears as 'Cup Junkie' and 'Cup Junky'). Batch printed with internal space: 'CJ 052501/1'.</t>
  </si>
  <si>
    <t xml:space="preserve">MAFWE_SPL|108022845/2</t>
  </si>
  <si>
    <t xml:space="preserve">MAFWE State Phytosanitary Laboratory (ЛТ-036)</t>
  </si>
  <si>
    <t xml:space="preserve">MAFWE_SPL</t>
  </si>
  <si>
    <t xml:space="preserve">108022845/2</t>
  </si>
  <si>
    <t xml:space="preserve">Pesticide residue screen LC-MS/MS + GC-MS/MS</t>
  </si>
  <si>
    <t xml:space="preserve">Државна фитосанитарна лабораторија (State Phytosanitary Laboratory), Ministry of Agriculture, Forestry and Water Economy, Republic of North Macedonia; Државна фитосанитарна лабораторија, Министерство за земјоделство, шумарство и водостопанство, Република Северна Македонија (accredited by IARNM to MKC EN ISO/IEC 17025:2018 under LT-036)</t>
  </si>
  <si>
    <t xml:space="preserve">3,4,2</t>
  </si>
  <si>
    <t xml:space="preserve">Do not file under Purely Plant. These three pages are the Macedonian-language version of State Phytosanitary Laboratory Report of Analysis No. 10802_2845/2 dated 17.11.2025, issued to NEW GARDEN PHARMA (ЊУ ГАРДЕН ФАРМА), and they must be kept together as one indivisible three-page record (cover + Annex 1 + Annex 2) in the source page order 2,3,4, not 3,4,2. Raise a document-control deviation / QA notification for the client mismatch before any further processing: establish with QA and the sponsor whether Purely Plant is a contract partner, tolling customer or renamed entity of New Garden Pharma for batch BSS052501, and obtain documented evidence of that relationship. If no such link is confirmed, quarantine the entire source bundle ImB_COAs/BSS052501 (P050192) 3.pdf, remove it from the Purely Plant COA file, and treat it as another company's confidential record with restricted access. If the link is confirmed, file it as a third-party pesticide-residue test report (not a COA) supporting batch BSS052501, index it against report number 10802_2845/2 and request-for-analysis 10802-2845/1, and record it as a duplicate-language copy cross-referenced to the English set (cid MAFWE_SPL_10802_2845-2) so the same result is not counted twice. Correct the stored document number to the printed 10802_2845/2 and log the issuer's page-numbering and form-revision inconsistencies as an observation on the supplier.</t>
  </si>
  <si>
    <t xml:space="preserve">MAFWE_SPL|10802_2845/2</t>
  </si>
  <si>
    <t xml:space="preserve">10802_2845/2</t>
  </si>
  <si>
    <t xml:space="preserve">STATE PHYTOSANITARY LABORATORY (accredited body by the IARNM for MKC EN ISO/IEC 17025:2018 under LT-036); footer: State Phytosanitary Laboratory, Aleksandar the Great bb, 1130 1000 Skopje; STATE PHYTOSANITARY LABORATORY, Ministry of Agriculture, Forestry and Water Economy, Republic of North Macedonia (accredited body by the IARNM for MKC EN ISO/IEC 17025:2018 under LT-036)</t>
  </si>
  <si>
    <t xml:space="preserve">5,6,7</t>
  </si>
  <si>
    <t xml:space="preserve">Do not file under Purely Plant. These three pages are the complete, correctly ordered English-language version of State Phytosanitary Laboratory Report of Analysis No. 10802_2845/2 dated 17.11.2025, issued to NEW GARDEN PHARMA. Handle under the same QA deviation raised for cid MAFWE_SPL_108022845-2: confirm in writing whether any Purely Plant / New Garden Pharma relationship exists for batch BSS052501, and quarantine the record if it does not. If retained, file this English set as the primary third-party pesticide-residue test report for batch BSS052501 (it is the complete and correctly paginated version), cross-reference the Macedonian set as the duplicate-language copy of the same report number, and de-duplicate the two cids so a single test result is not recorded twice in the QC database. Keep cover page and both appendices as one indivisible record - the appendices are declared an integral part of the report and are untraceable if separated. Index by report number 10802_2845/2, request number 10802-2845/1 and laboratory code 936, and record the scope as pesticide residues only, so it is not mistaken for a full release COA.</t>
  </si>
  <si>
    <t xml:space="preserve">PURELYPLANT|None</t>
  </si>
  <si>
    <t xml:space="preserve">Purely Plant DOOEL – in-house release CoA</t>
  </si>
  <si>
    <t xml:space="preserve">PURELYPLANT</t>
  </si>
  <si>
    <t xml:space="preserve">QCCoA 001v02</t>
  </si>
  <si>
    <t xml:space="preserve">Finished-product release Certificate of Analysis</t>
  </si>
  <si>
    <t xml:space="preserve">21.01.2026</t>
  </si>
  <si>
    <t xml:space="preserve">P050212</t>
  </si>
  <si>
    <t xml:space="preserve">Cap Junkie</t>
  </si>
  <si>
    <t xml:space="preserve">Purely Plant DOOEL</t>
  </si>
  <si>
    <t xml:space="preserve">CONCLUSION: From the above stated results, the batch P050212 CONFORMS/DOES NOT CONFORM according to Ph. Eur. and DAB. — “CONFORMS” is marked as the selected option.</t>
  </si>
  <si>
    <t xml:space="preserve">yes — handwritten signatures on both the Prepared by and Approved by lines; no stamp</t>
  </si>
  <si>
    <t xml:space="preserve">ImB_COAs/BG1024_CoA.pdf ; ImB_COAs/BSS1024_CoA.pdf ; ImB_COAs/CJ1024_CoA.pdf ; ImB_COAs/GG1024.pdf ; ImB_COAs/GP0824_02_bulk_CoA.pdf ; ImB_COAs/HPA1024.pdf ; ImB_COAs/OPM1024.pdf ; ImB_COAs/P050042.pdf ; ImB_COAs/P050052.pdf ; ImB_COAs/P050212.pdf ; ImB_QC_COAs/GG1024/GG1024.pdf ; ImB_QC_COAs/HPA1024/HPA1024.pdf ; ImB_QC_COAs/OPM1024/OPM1024.pdf</t>
  </si>
  <si>
    <t xml:space="preserve">MANIFEST MISMATCH: manifest cid is 'PURELYPLANT_None' with doc_no null, but the document itself carries Certificate number 028 and Batch No P050212 (source file ImB_COAs/P050212.pdf) — the record should be keyed to P050212. SIGNED: yes — signatures on both 'Prepared by' and 'Approved by: Head of QC'; NEITHER signatory's name is printed or legible. OUT-OF-SPEC / borderline: TYMC result 4.9 x 10⁴ CFU/g against '&lt; 10⁴, max 50 000 CFU/g' — far above the 10⁴ limit and only just under the 50 000 alternative; TAMC 2.2 x 10⁴ CFU/g is within &lt; 10⁵; bile-tolerant reported as a range '&lt; 10⁴ and &gt;10³ CFU/g', i.e. at the stated &lt; 10⁴ limit. Conclusion nevertheless marks CONFORMS. Strain printed 'Cap Junkie' here but 'Cap Junky' on batches P050172 and P060072. Microbiological Result cell is vertically offset relative to its parameter rows; mapping follows the standard column order. Form spells 'Micotoxines', 'Lindan', 'Metoxychlor' — transcribed as printed.</t>
  </si>
  <si>
    <t xml:space="preserve">PURELYPLANT|P050012</t>
  </si>
  <si>
    <t xml:space="preserve">P050012</t>
  </si>
  <si>
    <t xml:space="preserve">QCCoA 001</t>
  </si>
  <si>
    <t xml:space="preserve">10/07/2025</t>
  </si>
  <si>
    <t xml:space="preserve">Gorilla Glue</t>
  </si>
  <si>
    <t xml:space="preserve">CONCLUSION: From the above stated results, the batch P050012 CONFORMS/DOES NOT CONFORM according to Ph. Eur. and DAB. — “CONFORMS” is marked as the selected option.</t>
  </si>
  <si>
    <t xml:space="preserve">yes — handwritten name, signature and a faint blue company stamp above the signature line</t>
  </si>
  <si>
    <t xml:space="preserve">ImB_COAs/P050012.pdf</t>
  </si>
  <si>
    <t xml:space="preserve">SIGNED: yes — Head of QC handwritten name 'Filip Butikoski', signature and company stamp. OUT-OF-SPEC / borderline: TYMC result 1.9·10⁴ CFU/g against acceptance criteria '&lt;10⁴, max 50 000 CFU/g' — exceeds the 10⁴ limit (meets only the 50 000 alternative); TAMC 2.1·10⁴ CFU/g is within &lt; 10⁵. Conclusion has CONFORMS hand-circled despite the TYMC value. Form spells 'Micotoxines', 'Lindan', 'Metoxychlor' — transcribed as printed. No 'Certificate number' or 'Prepared by' field on this QCCoA 001 version.</t>
  </si>
  <si>
    <t xml:space="preserve">PURELYPLANT|P050022</t>
  </si>
  <si>
    <t xml:space="preserve">P050022</t>
  </si>
  <si>
    <t xml:space="preserve">17/07/2025</t>
  </si>
  <si>
    <t xml:space="preserve">CONCLUSION: From the above stated results, the batch P050022 CONFORMS/DOES NOT CONFORM according to Ph. Eur. and DAB. — “CONFORMS” is marked as the selected option.</t>
  </si>
  <si>
    <t xml:space="preserve">yes — handwritten name, signature and a blue company stamp (ПУРЕЛИ ПЛАНТ ДООЕЛ) over the signature area</t>
  </si>
  <si>
    <t xml:space="preserve">ImB_COAs/P050022.pdf</t>
  </si>
  <si>
    <t xml:space="preserve">SIGNED: yes — Head of QC handwritten name 'Filip Butikoski', signature and company stamp present. Form spells 'Micotoxines' (should be 'Mycotoxins') and 'Total aflatoxines'; 'Lindan' (Lindane), 'Metoxychlor' (Methoxychlor), 'Hexachlorbenzene' — all transcribed as printed. No 'Certificate number' and no 'Prepared by' field on this QCCoA 001 version. Microbiological method cites 'category B' here, whereas most other certificates in this batch cite 'category C'. Conclusion line has the word CONFORMS hand-circled. All results within stated acceptance criteria. No blank or illegible fields.</t>
  </si>
  <si>
    <t xml:space="preserve">PURELYPLANT|P050032</t>
  </si>
  <si>
    <t xml:space="preserve">P050032</t>
  </si>
  <si>
    <t xml:space="preserve">15/05/2025 (handwritten)</t>
  </si>
  <si>
    <t xml:space="preserve">Motor Breath</t>
  </si>
  <si>
    <t xml:space="preserve">CONCLUSION: From the above stated results, the batch P050032 CONFORMS/DOES NOT CONFORM according to Ph. Eur. and DAB.</t>
  </si>
  <si>
    <t xml:space="preserve">ImB_COAs/P050032.pdf</t>
  </si>
  <si>
    <t xml:space="preserve">SIGNED: handwritten name 'Filip Butikoski' plus signature on the 'Approved by: Head of QC' line, with a round blue company stamp applied below. Older form version QCCoA 001: NO 'Certificate number' header field and NO 'Prepared by:' block. 'CONFORMS' is circled by hand. All results within acceptance criteria. NOTE: microbiological method cell cites 'Ph. Eur. 5.1.8, category B' whereas most other certificates in this batch cite category C for the same acceptance limits. Retest date November 2025 is already past as of the transcription date. Spelling errors on the form: 'Micotoxines**', 'Total aflatoxines', 'Lindan', 'Metoxychlor'; garbled Identification criterion. Manifest cid/doc_no P050032 matches the printed Batch No.</t>
  </si>
  <si>
    <t xml:space="preserve">PURELYPLANT|P050062</t>
  </si>
  <si>
    <t xml:space="preserve">P050062</t>
  </si>
  <si>
    <t xml:space="preserve">Orange Punch Mimosa</t>
  </si>
  <si>
    <t xml:space="preserve">CONCLUSION: From the above stated results, the batch P050062 CONFORMS/DOES NOT CONFORM according to Ph. Eur. and DAB. — “CONFORMS” is marked as the selected option.</t>
  </si>
  <si>
    <t xml:space="preserve">yes — handwritten name, signature and a blue company stamp overlapping the conclusion line</t>
  </si>
  <si>
    <t xml:space="preserve">ImB_COAs/P050062.pdf</t>
  </si>
  <si>
    <t xml:space="preserve">SIGNED: yes — Head of QC handwritten name 'Filip Butikoski', signature and company stamp. Conclusion has CONFORMS hand-circled; the stamp partly overlaps the CONCLUSION text but it remains readable. All results within stated acceptance criteria (Mercury 0.061 mg/kg vs &lt; 0.1 mg/kg is the closest to limit). Form spells 'Micotoxines', 'Lindan', 'Metoxychlor' — transcribed as printed. No 'Certificate number' or 'Prepared by' field on this QCCoA 001 version.</t>
  </si>
  <si>
    <t xml:space="preserve">PURELYPLANT|P050072</t>
  </si>
  <si>
    <t xml:space="preserve">P050072</t>
  </si>
  <si>
    <t xml:space="preserve">17/07/2025 (handwritten)</t>
  </si>
  <si>
    <t xml:space="preserve">CONCLUSION: From the above stated results, the batch P050072 CONFORMS/DOES NOT CONFORM according to Ph. Eur. and DAB.</t>
  </si>
  <si>
    <t xml:space="preserve">ImB_COAs/P050072.pdf</t>
  </si>
  <si>
    <t xml:space="preserve">SIGNED: handwritten name 'Filip Butikoski' plus signature on the 'Approved by: Head of QC' line, with a round blue company stamp overlapping the conclusion line. Older form version QCCoA 001: NO 'Certificate number' header field and NO 'Prepared by:' block. 'CONFORMS' is circled by hand, but the stamp is printed over the words 'the batch P050072 CONFORMS', partially obscuring them. OUT-OF-SPEC / AMBIGUOUS: TYMC result 1.2·10⁴ CFU/g exceeds the stated '&lt;10⁴' limit (though below the alternative 'max 50 000 CFU/g' printed in the same cell); TAMC 1.1·10⁴ CFU/g is within limit. The bile-tolerant gram-negative bacteria result is expressed as a range, '&lt;10⁴ and &gt;10³ CFU/g'. Cannabinol result is 'BLQ'. Spelling errors on the form: 'Micotoxines**', 'Total aflatoxines', 'Lindan', 'Metoxychlor'; garbled Identification criterion. Manifest cid/doc_no P050072 matches the printed Batch No.</t>
  </si>
  <si>
    <t xml:space="preserve">PURELYPLANT|P050082</t>
  </si>
  <si>
    <t xml:space="preserve">P050082</t>
  </si>
  <si>
    <t xml:space="preserve">21.01.2026 (handwritten)</t>
  </si>
  <si>
    <t xml:space="preserve">CONCLUSION: From the above stated results, the batch P050082 CONFORMS/DOES NOT CONFORM according to Ph. Eur. and DAB.</t>
  </si>
  <si>
    <t xml:space="preserve">ImB_COAs/P050082.pdf</t>
  </si>
  <si>
    <t xml:space="preserve">SIGNED: handwritten signatures in both the 'Prepared by:' and 'Approved by: Head of QC' blocks; no typed or printed names. 'CONFORMS' underlined by hand. All results within acceptance criteria (Arsenic 0.135 mg/kg is close to but below the &lt; 0.2 mg/kg limit). LAYOUT DEFECT: in the Microbiological quality block the '&lt; 10 CFU/g', 'Absent' and 'Absent' results are printed slightly above their parameter lines, so the bile-tolerant / E. coli / Salmonella results are vertically offset from their labels; read in printed order they are &lt; 10 CFU/g, Absent, Absent. Approval date 21.01.2026 is later than the printed Retest date of January 2026. Spelling errors on the form: 'Micotoxines**', 'Total aflatoxines', 'Lindan', 'Metoxychlor'; garbled Identification criterion. Manifest cid/doc_no P050082 matches the printed Batch No.</t>
  </si>
  <si>
    <t xml:space="preserve">PURELYPLANT|P050092</t>
  </si>
  <si>
    <t xml:space="preserve">P050092</t>
  </si>
  <si>
    <t xml:space="preserve">31/07/2025 (handwritten)</t>
  </si>
  <si>
    <t xml:space="preserve">CONCLUSION: From the above stated results, the batch P050092 CONFORMS/DOES NOT CONFORM according to Ph. Eur. and DAB.</t>
  </si>
  <si>
    <t xml:space="preserve">ImB_COAs/P050092.pdf</t>
  </si>
  <si>
    <t xml:space="preserve">SIGNED: handwritten name 'Filip Butikoski' plus signature on the 'Approved by: Head of QC' line. This is the older form version QCCoA 001, which has NO 'Certificate number' header field and NO 'Prepared by:' block at all — only an approver. 'CONFORMS' is circled by hand on the conclusion line. Spelling errors on the form: 'Micotoxines**', 'Total aflatoxines', 'Lindan', 'Metoxychlor', and the garbled Identification criterion 'corresponds to its of the standard solution'. OUT-OF-SPEC / AMBIGUOUS: TYMC result 4.2·10⁴ CFU/g exceeds the stated '&lt;10⁴' limit although it is below the alternative 'max 50 000 CFU/g' allowance printed in the same cell — the acceptance criterion is self-contradictory and the result sits between the two values. TAMC 5.1·10⁴ CFU/g is within limit. Retest date October 2025 is already past as of the transcription date. Manifest cid/doc_no P050092 matches the printed Batch No.</t>
  </si>
  <si>
    <t xml:space="preserve">PURELYPLANT|P050102</t>
  </si>
  <si>
    <t xml:space="preserve">P050102</t>
  </si>
  <si>
    <t xml:space="preserve">06/08/2025</t>
  </si>
  <si>
    <t xml:space="preserve">CONCLUSION: From the above stated results, the batch P050102 CONFORMS/DOES NOT CONFORM according to Ph. Eur. and DAB. — “CONFORMS” is marked as the selected option.</t>
  </si>
  <si>
    <t xml:space="preserve">yes — handwritten name and signature; no stamp visible on this copy</t>
  </si>
  <si>
    <t xml:space="preserve">ImB_COAs/P050102.pdf</t>
  </si>
  <si>
    <t xml:space="preserve">SIGNED: yes — Head of QC handwritten name 'Filip Butikoski' and signature. Conclusion has CONFORMS hand-circled. Form spells 'Micotoxines', 'Lindan', 'Metoxychlor' — transcribed as printed. No 'Certificate number' or 'Prepared by' field on this QCCoA 001 version. All results within stated acceptance criteria. Approval date handwritten '06/08/2025' — day/month digits are cursive but legible.</t>
  </si>
  <si>
    <t xml:space="preserve">PURELYPLANT|P050112</t>
  </si>
  <si>
    <t xml:space="preserve">P050112</t>
  </si>
  <si>
    <t xml:space="preserve">CONCLUSION: From the above stated results, the batch P050112 CONFORMS/DOES NOT CONFORM according to Ph. Eur. and DAB. — “CONFORMS” is marked as the selected option.</t>
  </si>
  <si>
    <t xml:space="preserve">ImB_COAs/P050112.pdf</t>
  </si>
  <si>
    <t xml:space="preserve">SIGNED: yes — signatures on both 'Prepared by' and 'Approved by: Head of QC'; however NEITHER signatory's name is printed or legible, so no approver can be identified. CRITICAL DATE ERROR: Retest date 'February 2025' is EARLIER than the Manufacturing date 'July 2025' — the certificate is expired on its face / the dates are wrong. LAYOUT DEFECT on page 2: the Acceptance criteria and Result text in the Insecticides block is printed shifted UP by one row, so '&lt; 0.6 mg/kg' sits level with the 'Insecticides**' heading and 'Lindan' visually aligns with '&lt; 0.05 mg/kg'; the criteria have been mapped here to the standard order used on all other certificates of this form (Lindan &lt; 0.6, Aldrin &lt; 0.05, HCH &lt; 0.3, HCB &lt; 0.1, DDT &lt; 1, Heptachlor/Endrin/Chlordane/Metoxychlor &lt; 0.05) — row alignment as physically printed is ambiguous. Aflatoxin result is printed as '2 µg/kg' without a '&lt;' sign (all other certificates print '&lt; 2 µg/kg'). Cadmium and Lead results printed as 'N.D mg/kg' (missing full stop after D). Form spells 'Micotoxines', 'Lindan', 'Metoxychlor' — transcribed as printed. All numeric results within stated criteria.</t>
  </si>
  <si>
    <t xml:space="preserve">PURELYPLANT|P050122</t>
  </si>
  <si>
    <t xml:space="preserve">P050122</t>
  </si>
  <si>
    <t xml:space="preserve">22/09/2025 (handwritten)</t>
  </si>
  <si>
    <t xml:space="preserve">CONCLUSION: From the above stated results, the batch P050122 CONFORMS/DOES NOT CONFORM according to Ph. Eur. and DAB.</t>
  </si>
  <si>
    <t xml:space="preserve">ImB_COAs/P050122.pdf</t>
  </si>
  <si>
    <t xml:space="preserve">SIGNED: handwritten name 'Filip Butikoski' plus signature on the 'Approved by: Head of QC' line, with a round blue company stamp (Cyrillic, 'ПУРЕЛИ ПЛАНТ ДООЕЛ') applied below. Older form version QCCoA 001: NO 'Certificate number' header field and NO 'Prepared by:' block. 'CONFORMS' is circled by hand. All results within acceptance criteria. NOTE: the microbiological method cell cites 'Ph. Eur. 5.1.8, category B' whereas most other certificates in this batch cite category C for the same acceptance limits — category inconsistency across the series. Cannabinol result is 'BLQ' (below limit of quantitation) rather than a number or 'N.D.'. Spelling errors on the form: 'Micotoxines**', 'Total aflatoxines', 'Lindan', 'Metoxychlor'; garbled Identification criterion. Manifest cid/doc_no P050122 matches the printed Batch No.</t>
  </si>
  <si>
    <t xml:space="preserve">PURELYPLANT|P050132</t>
  </si>
  <si>
    <t xml:space="preserve">P050132</t>
  </si>
  <si>
    <t xml:space="preserve">CONCLUSION: From the above stated results, the batch P050132 CONFORMS/DOES NOT CONFORM according to Ph. Eur. and DAB.</t>
  </si>
  <si>
    <t xml:space="preserve">ImB_COAs/P050132.pdf</t>
  </si>
  <si>
    <t xml:space="preserve">SIGNED: handwritten signatures in both the 'Prepared by:' and 'Approved by: Head of QC' blocks; no typed or printed names. 'CONFORMS' underlined by hand on the conclusion line. OUT-OF-SPEC / AMBIGUOUS: TYMC result 3.3 x 10⁴ CFU/g exceeds the stated '&lt;10⁴' limit (it is below the alternative 'max 50 000 CFU/g' printed in the same cell); TAMC 1.2 x 10⁴ CFU/g is within limit. All heavy-metal results are printed as 'N.D mg/kg' — abbreviation without the final full stop and with a redundant unit after a non-detect. Spelling errors on the form: 'Micotoxines**', 'Total aflatoxines', 'Lindan', 'Metoxychlor'; garbled Identification criterion. Manifest cid/doc_no P050132 matches the printed Batch No.</t>
  </si>
  <si>
    <t xml:space="preserve">PURELYPLANT|P050162</t>
  </si>
  <si>
    <t xml:space="preserve">P050162</t>
  </si>
  <si>
    <t xml:space="preserve">22.09.2025 (handwritten)</t>
  </si>
  <si>
    <t xml:space="preserve">Cup Junkie</t>
  </si>
  <si>
    <t xml:space="preserve">CONCLUSION: From the above stated results, the batch P050162 CONFORMS/DOES NOT CONFORM according to Ph. Eur. and DAB.</t>
  </si>
  <si>
    <t xml:space="preserve">ImB_COAs/P050162.pdf</t>
  </si>
  <si>
    <t xml:space="preserve">SIGNED: a handwritten signature is present on the 'Approved by: Head of QC' line, but unlike the other QCCoA 001 certificates in this batch NO approver NAME is written or printed — the approver is identifiable only from the signature, so the released-by identity is effectively missing. Older form version QCCoA 001: NO 'Certificate number' header field and NO 'Prepared by:' block. 'CONFORMS' underlined by hand. OUT-OF-SPEC / AMBIGUOUS: TYMC result 1.7 x 10⁴ CFU/g exceeds the stated '&lt;10⁴' limit (though below the alternative 'max 50 000 CFU/g' printed in the same cell); TAMC 2.8 x 10⁴ CFU/g is within limit. LAYOUT DEFECT: the four Heavy metals results are printed one line higher than their labels — the first 'N.D.' sits on the 'Heavy metals**' header line and the Arsenic result cell appears empty. Read in printed order the values are N.D. (Cadmium), 0.085 mg/kg (Lead), N.D. (Mercury), N.D. (Arsenic); confirm against the original before relying on the assignment. The bile-tolerant gram-negative bacteria result is expressed as a range, '&lt; 10³ and &gt;10² CFU/g'. Strain is printed 'Cup Junkie' — note that batches P060022 and P060032 in this same batch file print the similar strain name 'Cap Junky'; possible naming inconsistency. Scan captured with CamScanner (watermark on both pages), sheet skewed with a paperclip shadow. Spelling errors on the form: 'Micotoxines**', 'Total aflatoxines', 'Lindan', 'Metoxychlor'; garbled Identification criterion. Manifest cid/doc_no P050162 matches the printed Batch No.</t>
  </si>
  <si>
    <t xml:space="preserve">PURELYPLANT|P050172</t>
  </si>
  <si>
    <t xml:space="preserve">P050172</t>
  </si>
  <si>
    <t xml:space="preserve">Cap Junky</t>
  </si>
  <si>
    <t xml:space="preserve">CONCLUSION: From the above stated results, the batch P050172 CONFORMS/DOES NOT CONFORM according to Ph. Eur. and DAB. — “CONFORMS” is marked as the selected option.</t>
  </si>
  <si>
    <t xml:space="preserve">ImB_COAs/P050172.pdf</t>
  </si>
  <si>
    <t xml:space="preserve">SIGNED: yes — signatures on both 'Prepared by' and 'Approved by: Head of QC'; NEITHER signatory's name is printed or legible, so no approver can be identified by name. All results within stated acceptance criteria. On page 2 the microbiological Result cell is vertically offset so the bile-tolerant result '&lt; 10 CFU/g' prints below its parameter row; mapping follows the standard column order. Form spells 'Micotoxines', 'Lindan', 'Metoxychlor' — transcribed as printed.</t>
  </si>
  <si>
    <t xml:space="preserve">PURELYPLANT|P050182</t>
  </si>
  <si>
    <t xml:space="preserve">P050182</t>
  </si>
  <si>
    <t xml:space="preserve">22.09.2025</t>
  </si>
  <si>
    <t xml:space="preserve">High Pro Amnesia</t>
  </si>
  <si>
    <t xml:space="preserve">CONCLUSION: From the above stated results, the batch P050182 CONFORMS/DOES NOT CONFORM according to Ph. Eur. and DAB. — “CONFORMS” is marked as the selected option.</t>
  </si>
  <si>
    <t xml:space="preserve">yes — handwritten signature on the Head of QC line; no stamp</t>
  </si>
  <si>
    <t xml:space="preserve">ImB_COAs/P050182.pdf</t>
  </si>
  <si>
    <t xml:space="preserve">SIGNED: yes — a handwritten signature is present on the 'Approved by: Head of QC' line, but the approver's NAME is not printed and the signature is not legible, so the approver cannot be identified from the document. OUT-OF-SPEC / borderline: TYMC result 2.6 x 10⁴ CFU/g against acceptance criteria '&lt; 10⁴, max 50 000 CFU/g' — exceeds the 10⁴ limit (meets only the 50 000 alternative); TAMC 2.7 x 10⁴ CFU/g is within &lt; 10⁵. Bile-tolerant result '&lt; 10⁴CFU/g' is printed equal to its own limit (superscript partly indistinct). Heavy-metal results are printed vertically offset within the merged cell (N.D. sits level with the 'Heavy metals**' header) so the Cd/Pb/Hg/As mapping is inferred from the standard column order: Cd N.D., Pb 0.034 mg/kg, Hg N.D., As N.D. Form spells 'Micotoxines', 'Lindan', 'Metoxychlor' — transcribed as printed. Scan is a CamScanner capture with a page-corner artefact; text legible. No 'Certificate number' or 'Prepared by' field on this QCCoA 001 version.</t>
  </si>
  <si>
    <t xml:space="preserve">PURELYPLANT|P050192</t>
  </si>
  <si>
    <t xml:space="preserve">P050192</t>
  </si>
  <si>
    <t xml:space="preserve">CONCLUSION: From the above stated results, the batch P050192 CONFORMS/DOES NOT CONFORM according to Ph. Eur. and DAB. — “CONFORMS” is marked as the selected option.</t>
  </si>
  <si>
    <t xml:space="preserve">ImB_COAs/P050192.pdf</t>
  </si>
  <si>
    <t xml:space="preserve">SIGNED: yes — signatures on both 'Prepared by' and 'Approved by: Head of QC'; NEITHER signatory's name is printed or legible. Handwritten approval date read as '04.12.2025'; the day digit is cursive and could conceivably be read as '06' — verify against the paper original before relying on it. Aflatoxin result reported 'N.D.' rather than the usual '&lt; 2 µg/kg'. Bile-tolerant result reported as a range '&lt; 10² and &gt; 10 CFU/g'. All results within stated acceptance criteria. Scan is a CamScanner capture with a page-corner artefact; text legible. Form spells 'Micotoxines', 'Lindan', 'Metoxychlor' — transcribed as printed.</t>
  </si>
  <si>
    <t xml:space="preserve">PURELYPLANT|P050202</t>
  </si>
  <si>
    <t xml:space="preserve">P050202</t>
  </si>
  <si>
    <t xml:space="preserve">04.12.2025 (handwritten)</t>
  </si>
  <si>
    <t xml:space="preserve">CONCLUSION: From the above stated results, the batch P050202 CONFORMS/DOES NOT CONFORM according to Ph. Eur. and DAB.</t>
  </si>
  <si>
    <t xml:space="preserve">ImB_COAs/P050202.pdf</t>
  </si>
  <si>
    <t xml:space="preserve">CRITICAL — OUT OF SPECIFICATION: Assay** Total Δ9-tetrahydrocannabinol result 24.89% is ABOVE the printed acceptance criterion '19.8 – 24.2% of the labelled amount'. CRITICAL — UNRESOLVED RELEASE DECISION: the CONCLUSION line prints 'CONFORMS/DOES NOT CONFORM' with NEITHER option underlined, circled or struck through, so the certificate states no release decision even though it carries an approval signature. SIGNED: handwritten signatures in both the 'Prepared by:' and 'Approved by: Head of QC' blocks; no typed or printed names. Scan quality: page captured with CamScanner (watermark on both pages), sheet skewed with a paperclip shadow at the top-left; the QCCoA 001v02 form code sits lower on the page than on the other v02 certificates. All other results within acceptance criteria. Spelling errors on the form: 'Micotoxines**', 'Total aflatoxines', 'Lindan', 'Metoxychlor'; garbled Identification criterion. Manifest cid/doc_no P050202 matches the printed Batch No.</t>
  </si>
  <si>
    <t xml:space="preserve">PURELYPLANT|P050272</t>
  </si>
  <si>
    <t xml:space="preserve">P050272</t>
  </si>
  <si>
    <t xml:space="preserve">Permanent Market</t>
  </si>
  <si>
    <t xml:space="preserve">CONCLUSION: From the above stated results, the batch P050272 CONFORMS/DOES NOT CONFORM according to Ph. Eur. and DAB.</t>
  </si>
  <si>
    <t xml:space="preserve">ImB_COAs/P050272.pdf</t>
  </si>
  <si>
    <t xml:space="preserve">SIGNED: handwritten signatures in both the 'Prepared by:' and 'Approved by: Head of QC' blocks; no typed or printed names. 'CONFORMS' underlined by hand. All results within acceptance criteria. Cannabinol result printed as 'N.D' (no final full stop) whereas the pesticide/insecticide rows on the same document use 'N.D.'. Spelling errors on the form: 'Micotoxines**', 'Total aflatoxines', 'Lindan', 'Metoxychlor'; garbled Identification criterion. Manifest cid/doc_no P050272 matches the printed Batch No.</t>
  </si>
  <si>
    <t xml:space="preserve">PURELYPLANT|P050282</t>
  </si>
  <si>
    <t xml:space="preserve">P050282</t>
  </si>
  <si>
    <t xml:space="preserve">Clemosa a Bud</t>
  </si>
  <si>
    <t xml:space="preserve">CONCLUSION: From the above stated results, the batch P050282 CONFORMS/DOES NOT CONFORM according to Ph. Eur. and DAB.</t>
  </si>
  <si>
    <t xml:space="preserve">ImB_COAs/P050282.pdf</t>
  </si>
  <si>
    <t xml:space="preserve">SIGNED: handwritten signatures in both the 'Prepared by:' and 'Approved by: Head of QC' blocks; no typed or printed names. 'CONFORMS' underlined by hand. All results within acceptance criteria. Strain is printed as 'Clemosa a Bud' — unusual wording, transcribed verbatim. Cannabinol result is 'BLQ'. Spelling errors on the form: 'Micotoxines**', 'Total aflatoxines', 'Lindan', 'Metoxychlor'; garbled Identification criterion. Manifest cid/doc_no P050282 matches the printed Batch No.</t>
  </si>
  <si>
    <t xml:space="preserve">PURELYPLANT|P050292</t>
  </si>
  <si>
    <t xml:space="preserve">P050292</t>
  </si>
  <si>
    <t xml:space="preserve">CONCLUSION: From the above stated results, the batch P050292 CONFORMS/DOES NOT CONFORM according to Ph. Eur. and DAB. — “CONFORMS” is marked as the selected option.</t>
  </si>
  <si>
    <t xml:space="preserve">ImB_COAs/P050292.pdf</t>
  </si>
  <si>
    <t xml:space="preserve">SIGNED: yes — signatures on both 'Prepared by' and 'Approved by: Head of QC'; NEITHER signatory's name is printed or legible. TYPO ON FORM: Loss on drying result printed as '6.62.%' with a stray full stop before the percent sign — transcribed verbatim. All results within stated acceptance criteria. Microbiological Result cell is vertically offset relative to its parameter rows; mapping follows the standard column order. Form spells 'Micotoxines', 'Lindan', 'Metoxychlor' — transcribed as printed.</t>
  </si>
  <si>
    <t xml:space="preserve">PURELYPLANT|P050302</t>
  </si>
  <si>
    <t xml:space="preserve">P050302</t>
  </si>
  <si>
    <t xml:space="preserve">CONCLUSION: From the above stated results, the batch P050302 CONFORMS/DOES NOT CONFORM according to Ph. Eur. and DAB. — “CONFORMS” is marked as the selected option.</t>
  </si>
  <si>
    <t xml:space="preserve">ImB_COAs/P050302.pdf</t>
  </si>
  <si>
    <t xml:space="preserve">SIGNED: yes — signatures on both 'Prepared by' and 'Approved by: Head of QC'; NEITHER signatory's name is printed or legible. All results within stated acceptance criteria. Mercury result printed '0.019mg/kg' with no space before the unit. Form spells 'Micotoxines', 'Lindan', 'Metoxychlor' — transcribed as printed.</t>
  </si>
  <si>
    <t xml:space="preserve">PURELYPLANT|P050312</t>
  </si>
  <si>
    <t xml:space="preserve">P050312</t>
  </si>
  <si>
    <t xml:space="preserve">CONCLUSION: From the above stated results, the batch P050312 CONFORMS/DOES NOT CONFORM according to Ph. Eur. and DAB.</t>
  </si>
  <si>
    <t xml:space="preserve">ImB_COAs/P050312.pdf</t>
  </si>
  <si>
    <t xml:space="preserve">SIGNED: handwritten signatures in both the 'Prepared by:' and 'Approved by: Head of QC' blocks; no typed or printed names. 'CONFORMS' underlined by hand. All results within acceptance criteria. Mercury result printed without a space before the unit ('0.017mg/kg'). The bile-tolerant gram-negative bacteria result is expressed as a range, '&lt; 10³ and &gt;10² CFU/g', rather than a single value. Spelling errors on the form: 'Micotoxines**', 'Total aflatoxines', 'Lindan', 'Metoxychlor'; garbled Identification criterion. Manifest cid/doc_no P050312 matches the printed Batch No.</t>
  </si>
  <si>
    <t xml:space="preserve">PURELYPLANT|P050322</t>
  </si>
  <si>
    <t xml:space="preserve">P050322</t>
  </si>
  <si>
    <t xml:space="preserve">CONCLUSION: From the above stated results, the batch P050322 CONFORMS/DOES NOT CONFORM according to Ph. Eur. and DAB.</t>
  </si>
  <si>
    <t xml:space="preserve">ImB_COAs/P050322.pdf</t>
  </si>
  <si>
    <t xml:space="preserve">SIGNED: handwritten signatures in both the 'Prepared by:' and 'Approved by: Head of QC' blocks; no typed or printed names. 'CONFORMS' underlined by hand. All results within acceptance criteria. The bile-tolerant gram-negative bacteria result is expressed as a range, '&lt; 10⁴ and &gt;10³ CFU/g', rather than a single value. Spelling errors on the form: 'Micotoxines**', 'Total aflatoxines', 'Lindan', 'Metoxychlor'; garbled Identification criterion. Manifest cid/doc_no P050322 matches the printed Batch No.</t>
  </si>
  <si>
    <t xml:space="preserve">PURELYPLANT|P060012</t>
  </si>
  <si>
    <t xml:space="preserve">P060012</t>
  </si>
  <si>
    <t xml:space="preserve">20.02.2026 (handwritten)</t>
  </si>
  <si>
    <t xml:space="preserve">Wedding Crasher</t>
  </si>
  <si>
    <t xml:space="preserve">CONCLUSION: From the above stated results, the batch P060012 CONFORMS/DOES NOT CONFORM according to Ph. Eur. and DAB.</t>
  </si>
  <si>
    <t xml:space="preserve">ImB_COAs/P060012/P060012 CoA.pdf</t>
  </si>
  <si>
    <t xml:space="preserve">CRITICAL — IMPOSSIBLE DATES: the header prints 'Manufacturing date: December 2026' and 'Retest date: July 2026', i.e. the retest date precedes the manufacturing date, and the manufacturing date is in the future relative to the handwritten approval date of 20.02.2026. Transcribed exactly as printed; almost certainly a typing error for December 2025 (the sister batches P060022/P060032/P060092 in this same series all print December 2025 / July 2026), but it must be corrected at source, not assumed. SIGNED: handwritten signatures in both the 'Prepared by:' and 'Approved by: Head of QC' blocks; no typed or printed names. 'CONFORMS' underlined by hand. LAYOUT DEFECT: in the Microbiological quality block the '&lt; 10 CFU/g', 'Absent' and 'Absent' results are vertically offset from their parameter labels; read in printed order they are &lt; 10 CFU/g (bile-tolerant), Absent (E. coli), Absent (Salmonella). All results within acceptance criteria. Spelling errors on the form: 'Micotoxines**', 'Total aflatoxines', 'Lindan', 'Metoxychlor'; garbled Identification criterion. Manifest cid/doc_no P060012 matches the printed Batch No.</t>
  </si>
  <si>
    <t xml:space="preserve">PURELYPLANT|P060022</t>
  </si>
  <si>
    <t xml:space="preserve">P060022</t>
  </si>
  <si>
    <t xml:space="preserve">CONCLUSION: From the above stated results, the batch P060022 CONFORMS/DOES NOT CONFORM according to Ph. Eur. and DAB.</t>
  </si>
  <si>
    <t xml:space="preserve">ImB_COAs/P060022/P060022 CoA.pdf</t>
  </si>
  <si>
    <t xml:space="preserve">SIGNED: handwritten signatures present in both the 'Prepared by:' and 'Approved by: Head of QC' blocks; no typed or printed names of either signatory. Form spells the parameter 'Micotoxines**' (should be 'Mycotoxins') and lists 'Total aflatoxines'; insecticide row spells 'Lindan' and 'Metoxychlor'; the Identification acceptance criterion reads 'corresponds to its of the standard solution' (garbled English). CONCLUSION line prints both options 'CONFORMS/DOES NOT CONFORM' with 'CONFORMS' underlined by hand. All results within acceptance criteria. Approval date is handwritten and of poor legibility on the scan; read as 20.02.2026 — verify against the original. Manifest cid/doc_no P060022 matches the printed Batch No.</t>
  </si>
  <si>
    <t xml:space="preserve">PURELYPLANT|P060032</t>
  </si>
  <si>
    <t xml:space="preserve">P060032</t>
  </si>
  <si>
    <t xml:space="preserve">CONCLUSION: From the above stated results, the batch P060032 CONFORMS/DOES NOT CONFORM according to Ph. Eur. and DAB.</t>
  </si>
  <si>
    <t xml:space="preserve">ImB_COAs/P060032/P060032 CoA.pdf</t>
  </si>
  <si>
    <t xml:space="preserve">SIGNED: handwritten signatures in both the 'Prepared by:' and 'Approved by: Head of QC' blocks; no typed or printed names. 'CONFORMS' underlined by hand. All results within acceptance criteria. Three of four heavy-metal results are printed as 'N.D. mg/kg' — a unit appended to a non-detect. Spelling errors on the form: 'Micotoxines**', 'Total aflatoxines', 'Lindan', 'Metoxychlor'; garbled Identification criterion. Manifest cid/doc_no P060032 matches the printed Batch No.</t>
  </si>
  <si>
    <t xml:space="preserve">PURELYPLANT|P060042</t>
  </si>
  <si>
    <t xml:space="preserve">P060042</t>
  </si>
  <si>
    <t xml:space="preserve">20.02.2026</t>
  </si>
  <si>
    <t xml:space="preserve">CONCLUSION: From the above stated results, the batch P060042 CONFORMS/DOES NOT CONFORM according to Ph. Eur. and DAB. — “CONFORMS” is marked as the selected option.</t>
  </si>
  <si>
    <t xml:space="preserve">ImB_COAs/P060042/P060042 CoA.pdf</t>
  </si>
  <si>
    <t xml:space="preserve">SIGNED: yes — signatures on both 'Prepared by' and 'Approved by: Head of QC'; NEITHER signatory's name is printed or legible. CRITICAL DATE ERROR: Manufacturing date 'December 2026' is LATER than the Retest date 'July 2026', and is also in the future relative to the handwritten approval date 20.02.2026 — the header dates are wrong. LAYOUT DEFECT: in the microbiological Result cell the two 'Absent' entries print level with the Salmonella row and below it, leaving the 'Escherichia coli / g' result row visually blank; the two Absent values have been mapped to E. coli and Salmonella in the standard column order. Bile-tolerant result reported as a range '&lt; 10² and &gt; 10 CFU/g'. Aflatoxin result '2.2 µg/kg' printed without a '&lt;'. Form spells 'Micotoxines', 'Lindan', 'Metoxychlor' — transcribed as printed. All numeric results within stated criteria.</t>
  </si>
  <si>
    <t xml:space="preserve">PURELYPLANT|P060052</t>
  </si>
  <si>
    <t xml:space="preserve">P060052</t>
  </si>
  <si>
    <t xml:space="preserve">Apple and Banana</t>
  </si>
  <si>
    <t xml:space="preserve">CONCLUSION: From the above stated results, the batch P060052 CONFORMS/DOES NOT CONFORM according to Ph. Eur. and DAB. — “CONFORMS” is marked as the selected option.</t>
  </si>
  <si>
    <t xml:space="preserve">ImB_COAs/P060052/P060052 CoA.pdf</t>
  </si>
  <si>
    <t xml:space="preserve">SIGNED: yes — signatures on both 'Prepared by' and 'Approved by: Head of QC'; NEITHER signatory's name is printed or legible, so no approver can be identified by name. All results within stated acceptance criteria. Assay criteria printed '15.23 –18.62%' with no space before the en dash. Form spells 'Micotoxines', 'Lindan', 'Metoxychlor' — transcribed as printed. Approval date is handwritten across the signature; read as '20.02.2026'.</t>
  </si>
  <si>
    <t xml:space="preserve">PURELYPLANT|P060062</t>
  </si>
  <si>
    <t xml:space="preserve">P060062</t>
  </si>
  <si>
    <t xml:space="preserve">CONCLUSION: From the above stated results, the batch P060062 CONFORMS/DOES NOT CONFORM according to Ph. Eur. and DAB. — “CONFORMS” is marked as the selected option.</t>
  </si>
  <si>
    <t xml:space="preserve">ImB_COAs/P060062/P060062 CoA ..pdf</t>
  </si>
  <si>
    <t xml:space="preserve">SIGNED: yes — signatures on both 'Prepared by' and 'Approved by: Head of QC'; NEITHER signatory's name is printed or legible. CRITICAL DATE ERROR: Manufacturing date 'December 2026' is LATER than the Retest date 'July 2026' and later than the handwritten approval date 20.02.2026 — the header dates are wrong. All results within stated acceptance criteria. Form spells 'Micotoxines', 'Lindan', 'Metoxychlor' — transcribed as printed. Approval date handwritten over the signature; the day digits are partly overwritten by the signature but read as '20.02.2026'.</t>
  </si>
  <si>
    <t xml:space="preserve">PURELYPLANT|P060072</t>
  </si>
  <si>
    <t xml:space="preserve">P060072</t>
  </si>
  <si>
    <t xml:space="preserve">CONCLUSION: From the above stated results, the batch P060072 CONFORMS/DOES NOT CONFORM according to Ph. Eur. and DAB. — “CONFORMS” is marked as the selected option.</t>
  </si>
  <si>
    <t xml:space="preserve">ImB_COAs/P060072/P060072 CoA.pdf</t>
  </si>
  <si>
    <t xml:space="preserve">SIGNED: yes — signatures on both 'Prepared by' and 'Approved by: Head of QC'; NEITHER signatory's name is printed or legible. CRITICAL DATE ERROR: Manufacturing date 'December 2026' is LATER than the Retest date 'July 2026' and later than the handwritten approval date 20.02.2026 — the header dates are wrong. All results within stated acceptance criteria. Form spells 'Micotoxines', 'Lindan', 'Metoxychlor' — transcribed as printed. Approval date handwritten across the signature; read as '20.02.2026'.</t>
  </si>
  <si>
    <t xml:space="preserve">PURELYPLANT|P060082</t>
  </si>
  <si>
    <t xml:space="preserve">P060082</t>
  </si>
  <si>
    <t xml:space="preserve">Sleepy Joy</t>
  </si>
  <si>
    <t xml:space="preserve">CONCLUSION: From the above stated results, the batch P060082 CONFORMS/DOES NOT CONFORM according to Ph. Eur. and DAB. — “CONFORMS” is marked as the selected option.</t>
  </si>
  <si>
    <t xml:space="preserve">ImB_COAs/P060082/P060082 CoA.pdf</t>
  </si>
  <si>
    <t xml:space="preserve">SIGNED: yes — signatures on both 'Prepared by' and 'Approved by: Head of QC'; NEITHER signatory's name is printed or legible. All results within stated acceptance criteria. Aflatoxin result printed '2 µg/kg' without a '&lt;'. Assay criteria printed '9.86 –12.05%' with no space before the en dash. Form spells 'Micotoxines', 'Lindan', 'Metoxychlor' — transcribed as printed. Approval date handwritten over the signature; read as '20.02.2026'.</t>
  </si>
  <si>
    <t xml:space="preserve">PURELYPLANT|P060092</t>
  </si>
  <si>
    <t xml:space="preserve">P060092</t>
  </si>
  <si>
    <t xml:space="preserve">CONCLUSION: From the above stated results, the batch P060092 CONFORMS/DOES NOT CONFORM according to Ph. Eur. and DAB.</t>
  </si>
  <si>
    <t xml:space="preserve">ImB_COAs/P060092/P060092 CoA.pdf</t>
  </si>
  <si>
    <t xml:space="preserve">SIGNED: handwritten signatures in both the 'Prepared by:' and 'Approved by: Head of QC' blocks; no typed or printed names. 'CONFORMS' underlined by hand. LAYOUT DEFECT: in the Microbiological quality block the two 'Absent' results are printed one line lower than their parameter labels — the first 'Absent' sits on the Salmonella/25g line and the second sits below the table row, leaving the Escherichia coli/g result cell visually empty. Read in printed order the two values are Absent (E. coli) and Absent (Salmonella); this misalignment should be confirmed against the original before the data are relied on. The bile-tolerant gram-negative bacteria result is expressed as a range, '&lt;10² and &gt;10 CFU/g', rather than a single value. All results within acceptance criteria. Spelling errors on the form: 'Micotoxines**', 'Total aflatoxines', 'Lindan', 'Metoxychlor'; garbled Identification criterion. Manifest cid/doc_no P060092 matches the printed Batch No.</t>
  </si>
  <si>
    <t xml:space="preserve">UKIM_CNP|None</t>
  </si>
  <si>
    <t xml:space="preserve">UKIM Faculty of Pharmacy – Centre for Natural Products (ЛТ-083)</t>
  </si>
  <si>
    <t xml:space="preserve">UKIM_CNP</t>
  </si>
  <si>
    <t xml:space="preserve">ППК25139</t>
  </si>
  <si>
    <t xml:space="preserve">Cannabinoid assay + Loss on drying (DAB monograph; Ph. Eur. 2.2.29 / 2.2.32)</t>
  </si>
  <si>
    <t xml:space="preserve">20.05.2025</t>
  </si>
  <si>
    <t xml:space="preserve">GP0824_02</t>
  </si>
  <si>
    <t xml:space="preserve">ПЈУРЕЛИ ПЛАНТ ДООЕЛ, с. Ќојлија, Петровец</t>
  </si>
  <si>
    <t xml:space="preserve">ОБ 01/7.8_01 Верзија ILLEGIBLE</t>
  </si>
  <si>
    <t xml:space="preserve">ImB_COAs/GP0824_02 - (samo rezultat bez sertifikat) 2.pdf ; ImB_COAs/HPA1024_01 (P050052) 3.pdf ; ImB_COAs/OPM1024_02 (P050062) 3.pdf ; ImB_QC_COAs/P050022 (GP0824_02)/GP0824_02 - (samo rezultat bez sertifikat) 2.pdf ; ImB_QC_COAs/P050052 (HPA1024_01)/HPA1024_01 (P050052) 3.pdf ; ImB_QC_COAs/P050062 (OPM1024_02)/OPM1024_02 (P050062) 3.pdf</t>
  </si>
  <si>
    <t xml:space="preserve">MISMATCH WITH MANIFEST: manifest doc_no is null; the page reads Број на главна контролна книга: ППК25139 - PAGE value used. Very faint / washed-out scan throughout (light blue, low contrast). The version digit in the footer form code could not be resolved with certainty even after contrast enhancement (it resembles 5, consistent with sibling ППК25140 of the same date, but is not legible enough to state) - recorded as ILLEGIBLE. Table limit column header on this version reads 'Референтни вредности (%w/w**)' and result header 'Резултат (%)', so cells carry no % sign. Handwritten signatures present in both blocks.</t>
  </si>
  <si>
    <t xml:space="preserve">UKIM_CNP|ППК25050</t>
  </si>
  <si>
    <t xml:space="preserve">ППК25050</t>
  </si>
  <si>
    <t xml:space="preserve">26.02.2025</t>
  </si>
  <si>
    <t xml:space="preserve">BG1024</t>
  </si>
  <si>
    <t xml:space="preserve">Blue Gelato</t>
  </si>
  <si>
    <t xml:space="preserve">ОБ 01/7.8_01 Верзија 5</t>
  </si>
  <si>
    <t xml:space="preserve">Page content sits low on the scan (large blank margin at top); otherwise clean. Limit column header 'Референтни вредности (%w/w**)'; cells carry no % sign. Handwritten signatures present in both blocks.</t>
  </si>
  <si>
    <t xml:space="preserve">UKIM_CNP|ППК25051</t>
  </si>
  <si>
    <t xml:space="preserve">ППК25051</t>
  </si>
  <si>
    <t xml:space="preserve">BSS1024</t>
  </si>
  <si>
    <t xml:space="preserve">Slightly faded scan but fully legible. Limit column headed 'Референтни вредности (%w/w**)'; cells carry no % sign. Head's signature overlaps the printed name line.</t>
  </si>
  <si>
    <t xml:space="preserve">UKIM_CNP|ППК25052</t>
  </si>
  <si>
    <t xml:space="preserve">ППК25052</t>
  </si>
  <si>
    <t xml:space="preserve">CJ1024</t>
  </si>
  <si>
    <t xml:space="preserve">Cup Junky</t>
  </si>
  <si>
    <t xml:space="preserve">Strain printed as 'Cup Junky' (verified at high magnification); sibling certificates print 'Cap Junky' (ППК26007) and 'Cap Junkie' (ППК25321) for the same CJ strain - probable typographic error on this certificate, transcribed exactly as printed. Faint, low-contrast scan; page content sits low with a large blank top margin. Both signature blocks signed by hand.</t>
  </si>
  <si>
    <t xml:space="preserve">UKIM_CNP|ППК25104</t>
  </si>
  <si>
    <t xml:space="preserve">ППК25104</t>
  </si>
  <si>
    <t xml:space="preserve">17.04.2025</t>
  </si>
  <si>
    <t xml:space="preserve">15.04.2025</t>
  </si>
  <si>
    <t xml:space="preserve">GG1024_01</t>
  </si>
  <si>
    <t xml:space="preserve">Very faint, washed-out scan (pale blue, accreditation logos almost invisible); all values confirmed legible under contrast-enhanced magnification. Limit column header 'Референтни вредности (%w/w**)'; cells carry no % sign. Both signature blocks signed by hand.</t>
  </si>
  <si>
    <t xml:space="preserve">UKIM_CNP|ППК25105</t>
  </si>
  <si>
    <t xml:space="preserve">ППК25105</t>
  </si>
  <si>
    <t xml:space="preserve">GP0824_01</t>
  </si>
  <si>
    <t xml:space="preserve">Faint, low-contrast scan (pale blue) but all values legible under magnification. Limit column header 'Референтни вредности (%w/w**)'; cells carry no % sign. Handwritten signatures present in both blocks.</t>
  </si>
  <si>
    <t xml:space="preserve">UKIM_CNP|ППК25117</t>
  </si>
  <si>
    <t xml:space="preserve">ППК25117</t>
  </si>
  <si>
    <t xml:space="preserve">OPM1024_01</t>
  </si>
  <si>
    <t xml:space="preserve">Многу бледо скенирање со низок контраст (текстот е сивкаво-син); сите вредности во табелата беа потврдени со зголемен контраст и се целосно читливи (ниту едно поле не е нечитливо). Верзија 5 на образецот (колона 'Референтни вредности (%w/w**)', резултати без знак %). Аналитичарот е потпишан како 'Асс. м-р фарм. Вероника Стоилковска Ѓоргиевска', додека на ППК25176 истото лице е наведено како 'Доц. д-р.'. Doc_no се совпаѓа со манифестот.</t>
  </si>
  <si>
    <t xml:space="preserve">UKIM_CNP|ППК25118</t>
  </si>
  <si>
    <t xml:space="preserve">ППК25118</t>
  </si>
  <si>
    <t xml:space="preserve">MB0824_01</t>
  </si>
  <si>
    <t xml:space="preserve">ПЈУРЕЛИ ПЛАНТ ДООЕЛ, с.Ќојлија, Петровец</t>
  </si>
  <si>
    <t xml:space="preserve">MANUAL AMENDMENT: the printed batch serial 'MB0824_01' has the trailing '01' struck through with a diagonal pen stroke and '04' handwritten next to it; the correction is not initialled or dated. batch_serial field holds the PRINTED value; the hand-amended value reads MB0824_04, which matches the manifest source file name 'MB0824_04 (P050032) 3.pdf'. Scan is very faint/washed out (values re-verified at high zoom). Limit column headed 'Референтни вредности (%w/w**)'; cells carry no % sign.</t>
  </si>
  <si>
    <t xml:space="preserve">UKIM_CNP|ППК25140</t>
  </si>
  <si>
    <t xml:space="preserve">ППК25140</t>
  </si>
  <si>
    <t xml:space="preserve">GG1024_02</t>
  </si>
  <si>
    <t xml:space="preserve">Faint, low-contrast scan (pale blue) but all values legible under magnification. Limit column header is 'Референтни вредности (%w/w**)'; cells carry no % sign. Handwritten signatures present in both blocks; the head's signature overlaps the printed name.</t>
  </si>
  <si>
    <t xml:space="preserve">UKIM_CNP|ППК25174</t>
  </si>
  <si>
    <t xml:space="preserve">ППК25174</t>
  </si>
  <si>
    <t xml:space="preserve">10.07.2025</t>
  </si>
  <si>
    <t xml:space="preserve">09.07.2025</t>
  </si>
  <si>
    <t xml:space="preserve">Grape pie</t>
  </si>
  <si>
    <t xml:space="preserve">Strain printed lower-case as 'Grape pie' (other certificates print 'Grape Pie') - transcribed as printed. Same batch/serial GP0824_02 as the certificate ППК25139 (cid UKIM_CNP_None) but with different results and a different analyst - a re-test of the same serial. 'Доставил на испитување' prints 'с.Ќојлија' without a space after the abbreviation. Both signature blocks signed by hand.</t>
  </si>
  <si>
    <t xml:space="preserve">UKIM_CNP|ППК25175</t>
  </si>
  <si>
    <t xml:space="preserve">ППК25175</t>
  </si>
  <si>
    <t xml:space="preserve">GP0824_03</t>
  </si>
  <si>
    <t xml:space="preserve">Submitter address printed without a space ('с.Ќојлија'). Limit column headed 'Референтни вредности (%w/w**)'; cells carry no % sign.</t>
  </si>
  <si>
    <t xml:space="preserve">UKIM_CNP|ППК25176</t>
  </si>
  <si>
    <t xml:space="preserve">ППК25176</t>
  </si>
  <si>
    <t xml:space="preserve">BSS1024_01</t>
  </si>
  <si>
    <t xml:space="preserve">Верзија 5 на образецот: втората колона е насловена 'Референтни вредности (%w/w**)', а третата 'Резултат (%)', па вредностите се отпечатени без знак %. Серијата на страницата е BSS1024_01, додека името на изворната датотека е 'BSS10240_01 (P050122) 3.pdf' (несовпаѓање во името на датотеката, не во сертификатот). Бледо скенирање со низок контраст, но сите вредности се читливи (проверени со зголемен контраст). Doc_no се совпаѓа со манифестот.</t>
  </si>
  <si>
    <t xml:space="preserve">UKIM_CNP|ППК25210</t>
  </si>
  <si>
    <t xml:space="preserve">ППК25210</t>
  </si>
  <si>
    <t xml:space="preserve">24.07.2025</t>
  </si>
  <si>
    <t xml:space="preserve">OPM1024_03</t>
  </si>
  <si>
    <t xml:space="preserve">Orange Punch</t>
  </si>
  <si>
    <t xml:space="preserve">Skewed scan with dark scanner-edge bands down the left and right margins; all text legible. Sample name reads 'Сув цвет од канабис' (not 'медицински канабис'). Strain 'Orange Punch' while the serial prefix is OPM. Both signature blocks signed by hand.</t>
  </si>
  <si>
    <t xml:space="preserve">UKIM_CNP|ППК25211</t>
  </si>
  <si>
    <t xml:space="preserve">ППК25211</t>
  </si>
  <si>
    <t xml:space="preserve">MB0824_05</t>
  </si>
  <si>
    <t xml:space="preserve">Верзија 5 на образецот (колона 'Референтни вредности (%w/w**)', резултати без знак %). Малку бледо горно лого, но текстот е целосно читлив. Doc_no се совпаѓа со манифестот.</t>
  </si>
  <si>
    <t xml:space="preserve">UKIM_CNP|ППК25257</t>
  </si>
  <si>
    <t xml:space="preserve">ППК25257</t>
  </si>
  <si>
    <t xml:space="preserve">03.09.2025</t>
  </si>
  <si>
    <t xml:space="preserve">OPM052501</t>
  </si>
  <si>
    <t xml:space="preserve">Analyst title printed as 'м-р фарм.' without the 'Асс.' prefix used on other certificates by the same analyst. Limit column headed 'Референтни вредности (%w/w**)'; cells carry no % sign.</t>
  </si>
  <si>
    <t xml:space="preserve">UKIM_CNP|ППК25278</t>
  </si>
  <si>
    <t xml:space="preserve">ППК25278</t>
  </si>
  <si>
    <t xml:space="preserve">19.09.2025</t>
  </si>
  <si>
    <t xml:space="preserve">Limit column header 'Референтни вредности (%w/w**)'; cells carry no % sign. Handwritten signatures present in both blocks; the head's signature overlaps the printed name. Analyst title printed as 'Доц. д-р. Ана Трајковска' (no 'Матевска' surname, unlike the 2026 certificates).</t>
  </si>
  <si>
    <t xml:space="preserve">UKIM_CNP|ППК25279</t>
  </si>
  <si>
    <t xml:space="preserve">ППК25279</t>
  </si>
  <si>
    <t xml:space="preserve">16.09.2025</t>
  </si>
  <si>
    <t xml:space="preserve">GP052501</t>
  </si>
  <si>
    <t xml:space="preserve">Strain printed with lower-case 'pie'. Limit column headed 'Референтни вредности (%w/w**)'; cells carry no % sign. Head's signature overlaps the printed name line.</t>
  </si>
  <si>
    <t xml:space="preserve">UKIM_CNP|ППК25280</t>
  </si>
  <si>
    <t xml:space="preserve">ППК25280</t>
  </si>
  <si>
    <t xml:space="preserve">CJ052501/1</t>
  </si>
  <si>
    <t xml:space="preserve">Cupjunkie</t>
  </si>
  <si>
    <t xml:space="preserve">Sample name contains a double space ('од  медицински'). Limit column headed 'Референтни вредности (%w/w**)'; cells carry no % sign. Head's signature overlaps the printed name line. Strain printed as one word 'Cupjunkie' here vs 'Cup Junkie' on ППК25281 for the sibling batch.</t>
  </si>
  <si>
    <t xml:space="preserve">UKIM_CNP|ППК25281</t>
  </si>
  <si>
    <t xml:space="preserve">ППК25281</t>
  </si>
  <si>
    <t xml:space="preserve">CJ052501/2</t>
  </si>
  <si>
    <t xml:space="preserve">Sample name contains a double space ('од  медицински'). Strain printed 'Cup Junkie' (two words) whereas sibling certificate ППК25280 prints 'Cupjunkie'. Limit column headed 'Референтни вредности (%w/w**)'; cells carry no % sign.</t>
  </si>
  <si>
    <t xml:space="preserve">UKIM_CNP|ППК25321</t>
  </si>
  <si>
    <t xml:space="preserve">ППК25321</t>
  </si>
  <si>
    <t xml:space="preserve">23.10.2025</t>
  </si>
  <si>
    <t xml:space="preserve">21.10.2025</t>
  </si>
  <si>
    <t xml:space="preserve">Strain printed as 'Cap Junkie' here, whereas ППК26007 and ППК25052 in the same batch print 'Cap Junky' / 'Cup Junky' for the same strain family - transcribed exactly as printed. No ND/BLQ legend line under the table on this certificate (none of the results use those codes). Both signature blocks signed by hand.</t>
  </si>
  <si>
    <t xml:space="preserve">UKIM_CNP|ППК25322</t>
  </si>
  <si>
    <t xml:space="preserve">ППК25322</t>
  </si>
  <si>
    <t xml:space="preserve">Сортата е отпечатена како 'Cap Junkie' (на ППК26003 истата сорта е 'Cap Junky'). Серијата на страницата е 'CJ062501/2', додека изворната датотека е 'CJ0602501-2 (P050212) 3.pdf' – несовпаѓање во името на датотеката, не во сертификатот; потврдено со зголемување. Верзија 5 на образецот (резултати без знак %). Аналитичарот е наведен како 'м-р фарм. Искра Давкова' (без 'Асс.').</t>
  </si>
  <si>
    <t xml:space="preserve">UKIM_CNP|ППК25367</t>
  </si>
  <si>
    <t xml:space="preserve">ППК25367</t>
  </si>
  <si>
    <t xml:space="preserve">28.11.2025</t>
  </si>
  <si>
    <t xml:space="preserve">Limit column is headed 'Референтни вредности (%w/w**)' and the result column 'Резултат (%)', so individual cells carry no % sign. Both signatures present in blue ink; no stamp. Otherwise clean.</t>
  </si>
  <si>
    <t xml:space="preserve">UKIM_CNP|ППК25368</t>
  </si>
  <si>
    <t xml:space="preserve">ППК25368</t>
  </si>
  <si>
    <t xml:space="preserve">Датумот на издавање (28.11.2025) е ист со датумот на завршено испитување. Верзија 5 на образецот (резултати без знак %). Чист скен, двата потписа се рачни.</t>
  </si>
  <si>
    <t xml:space="preserve">UKIM_CNP|ППК25369</t>
  </si>
  <si>
    <t xml:space="preserve">ППК25369</t>
  </si>
  <si>
    <t xml:space="preserve">Датумот на издавање (28.11.2025) е ист со датумот на завршено испитување. Верзија 5 на образецот (резултати без знак %). Инаку чист скен, двата потписа се рачни.</t>
  </si>
  <si>
    <t xml:space="preserve">UKIM_CNP|ППК25370</t>
  </si>
  <si>
    <t xml:space="preserve">ППК25370</t>
  </si>
  <si>
    <t xml:space="preserve">Clemosa a bud</t>
  </si>
  <si>
    <t xml:space="preserve">Loss on drying 9.68 is close to the ≤ 10.00 limit but within it. Limit column headed 'Референтни вредности (%w/w**)'; cells carry no % sign.</t>
  </si>
  <si>
    <t xml:space="preserve">UKIM_CNP|ППК25378</t>
  </si>
  <si>
    <t xml:space="preserve">ППК25378</t>
  </si>
  <si>
    <t xml:space="preserve">11.12.2025</t>
  </si>
  <si>
    <t xml:space="preserve">ОБ 01/7.8_01 Верзија 6</t>
  </si>
  <si>
    <t xml:space="preserve">Only certificate in this batch on form version 6 (transitional layout: 'Дозволени граници' column heading with % inside each cell, but the older 'Раководител' signature block).</t>
  </si>
  <si>
    <t xml:space="preserve">UKIM_CNP|ППК25379</t>
  </si>
  <si>
    <t xml:space="preserve">ППК25379</t>
  </si>
  <si>
    <t xml:space="preserve">Верзија 6 на образецот (колона 'Дозволени граници', резултати со знак %). Серијата 'GP072501/2' одговара на изворната датотека 'GP072501-2'. Чист скен, двата потписа се рачни.</t>
  </si>
  <si>
    <t xml:space="preserve">UKIM_CNP|ППК25380</t>
  </si>
  <si>
    <t xml:space="preserve">ППК25380</t>
  </si>
  <si>
    <t xml:space="preserve">Верзија 6 на образецот. Серијата 'GP082501/1' одговара на изворната датотека 'GP082501-1'. Чист скен, двата потписа се рачни.</t>
  </si>
  <si>
    <t xml:space="preserve">UKIM_CNP|ППК25381</t>
  </si>
  <si>
    <t xml:space="preserve">ППК25381</t>
  </si>
  <si>
    <t xml:space="preserve">Only Верзија 6 certificate in the batch: it uses the 'Дозволени граници' / 'Резултат' header with % signs inside the cells (like Верзија 7) but retains the Раководител signature block (like Верзија 5). Small vertical scan artefact to the left of the РЕЗУЛТАТ ОД ИСПИТУВАЊЕ title. Both signature blocks signed by hand.</t>
  </si>
  <si>
    <t xml:space="preserve">UKIM_CNP|ППК26001</t>
  </si>
  <si>
    <t xml:space="preserve">ППК26001</t>
  </si>
  <si>
    <t xml:space="preserve">16.01.2026</t>
  </si>
  <si>
    <t xml:space="preserve">ОБ 01/7.8_01 Верзија 7</t>
  </si>
  <si>
    <t xml:space="preserve">Photograph of a printed page rather than a flat scan (slight curvature, soft focus at the right edge); all text remains legible. Both signature blocks signed by hand.</t>
  </si>
  <si>
    <t xml:space="preserve">UKIM_CNP|ППК26002</t>
  </si>
  <si>
    <t xml:space="preserve">ППК26002</t>
  </si>
  <si>
    <t xml:space="preserve">16.01.2025</t>
  </si>
  <si>
    <t xml:space="preserve">ImB_COAs/CJ082501-1 (P060022) 1.pdf ; ImB_COAs/P060022/P060022 Annex 1.pdf ; ImB_QC_COAs/P060022 (CJ082501-1)/CJ082501-1 (P060022) 1.pdf</t>
  </si>
  <si>
    <t xml:space="preserve">DATE INCONSISTENCY: 'Дата на завршено испитување' is printed as 16.01.2025 (verified at high zoom), i.e. a year BEFORE the sample was submitted (08.01.2026) and before the certificate date (21.01.2026); almost certainly a typo for 16.01.2026, but transcribed as printed.</t>
  </si>
  <si>
    <t xml:space="preserve">UKIM_CNP|ППК26003</t>
  </si>
  <si>
    <t xml:space="preserve">ППК26003</t>
  </si>
  <si>
    <t xml:space="preserve">Ќелијата 'Дозволени граници' за редот 'Содржина на Δ9-THC' е слабо отпечатена на скенот, но по зголемување јасно содржи '/' како и останатите редови. Сортата тука е отпечатена како 'Cap Junky', додека на ППК25322 е 'Cap Junkie'. Инаку чист скен, двата потписа се рачни.</t>
  </si>
  <si>
    <t xml:space="preserve">UKIM_CNP|ППК26004</t>
  </si>
  <si>
    <t xml:space="preserve">ППК26004</t>
  </si>
  <si>
    <t xml:space="preserve">16.12.2026</t>
  </si>
  <si>
    <t xml:space="preserve">Дата на завршено испитување printed as 16.12.2026, i.e. AFTER the issue date 21.01.2026 - internally inconsistent date on the document (transcribed exactly as printed, not corrected). Both signature blocks carry handwritten signatures in blue ink; no stamp visible. Footnote markers on the last two parameters (**/***) match the footnote list.</t>
  </si>
  <si>
    <t xml:space="preserve">UKIM_CNP|ППК26005</t>
  </si>
  <si>
    <t xml:space="preserve">ППК26005</t>
  </si>
  <si>
    <t xml:space="preserve">Photograph of a printed page rather than a flat scan (slight curvature and uneven lighting); all text remains legible. Both signature blocks signed by hand.</t>
  </si>
  <si>
    <t xml:space="preserve">UKIM_CNP|ППК26006</t>
  </si>
  <si>
    <t xml:space="preserve">ППК26006</t>
  </si>
  <si>
    <t xml:space="preserve">Clean scan, no abnormalities. Both signature blocks signed by hand; no stamp.</t>
  </si>
  <si>
    <t xml:space="preserve">UKIM_CNP|ППК26007</t>
  </si>
  <si>
    <t xml:space="preserve">ППК26007</t>
  </si>
  <si>
    <t xml:space="preserve">UKIM_CNP|ППК26008</t>
  </si>
  <si>
    <t xml:space="preserve">ППК26008</t>
  </si>
  <si>
    <t xml:space="preserve">Ништо необично; чист скен, двата потписа се рачни, без печат. Doc_no се совпаѓа со манифестот.</t>
  </si>
  <si>
    <t xml:space="preserve">UKIM_CNP|ППК26009</t>
  </si>
  <si>
    <t xml:space="preserve">ППК26009</t>
  </si>
  <si>
    <t xml:space="preserve">Photograph of a printed page rather than a flat scan (slight page curvature and uneven lighting at the edges); all text remains fully legible. Both signature blocks signed by hand.</t>
  </si>
  <si>
    <t xml:space="preserve">UKIM_CNP|ППК26030</t>
  </si>
  <si>
    <t xml:space="preserve">ППК26030</t>
  </si>
  <si>
    <t xml:space="preserve">05.03.2026</t>
  </si>
  <si>
    <t xml:space="preserve">PM112501</t>
  </si>
  <si>
    <t xml:space="preserve">ImB_COAs/ППК26030.pdf ; ImB_QC_COAs/PM112501/ППК26030.pdf</t>
  </si>
  <si>
    <t xml:space="preserve">UKIM_CNP|ППК26031</t>
  </si>
  <si>
    <t xml:space="preserve">ППК26031</t>
  </si>
  <si>
    <t xml:space="preserve">OPM112501</t>
  </si>
  <si>
    <t xml:space="preserve">ImB_COAs/ППК26031.pdf ; ImB_QC_COAs/OPM112501/ППК26031.pdf</t>
  </si>
  <si>
    <t xml:space="preserve">UKIM_CNP|ППК26032</t>
  </si>
  <si>
    <t xml:space="preserve">ППК26032</t>
  </si>
  <si>
    <t xml:space="preserve">ImB_COAs/ППК26032.pdf ; ImB_QC_COAs/P050022 (GP0824_02)/ППК26032.pdf</t>
  </si>
  <si>
    <t xml:space="preserve">Companion 6-month stability certificate to ППК26033 (same serial P050022, 25C/60% RH storage arm). All results within the printed limits. Clean scan.</t>
  </si>
  <si>
    <t xml:space="preserve">UKIM_CNP|ППК26033</t>
  </si>
  <si>
    <t xml:space="preserve">ППК26033</t>
  </si>
  <si>
    <t xml:space="preserve">ImB_COAs/ППК26033.pdf ; ImB_QC_COAs/P050022 (GP0824_02)/ППК26033.pdf</t>
  </si>
  <si>
    <t xml:space="preserve">OUT OF SPECIFICATION: Содржина на CBN = 2.35 % against a printed limit of ≤ 1.00 % (6-month stability sample at 40C/75% RH); no OOS annotation or comment appears on the certificate. Δ9-THCA is only 0.01 % while Δ9-THC is 13.16 % (fully decarboxylated sample), so Вкупно Δ9-THC equals the free Δ9-THC value.</t>
  </si>
  <si>
    <t xml:space="preserve">UKIM_CNP|ППК26034</t>
  </si>
  <si>
    <t xml:space="preserve">ППК26034</t>
  </si>
  <si>
    <t xml:space="preserve">ImB_COAs/ППК26034.pdf ; ImB_QC_COAs/P050072 (GP0824_03)/ППК26034.pdf</t>
  </si>
  <si>
    <t xml:space="preserve">Ништо необично; чист скен, двата потписа се рачни. Doc_no се совпаѓа со манифестот.</t>
  </si>
  <si>
    <t xml:space="preserve">UKIM_CNP|ППК26035</t>
  </si>
  <si>
    <t xml:space="preserve">ППК26035</t>
  </si>
  <si>
    <t xml:space="preserve">ImB_COAs/ППК26035.pdf ; ImB_QC_COAs/P050072 (GP0824_03)/ППК26035.pdf</t>
  </si>
  <si>
    <t xml:space="preserve">НАДВОР ОД ГРАНИЦИ: 'Содржина на CBN' = 2.15 % при дозволена граница ≤ 1.00 % (потврдено со зголемување на скенот). Примерокот е од забрзана стабилност (40C/75% RH, месец 6); Δ9-THCA е BLQ. Инаку чист скен, двата потписа се рачни.</t>
  </si>
  <si>
    <t xml:space="preserve">UKIM_CNP|ППК26036</t>
  </si>
  <si>
    <t xml:space="preserve">ППК26036</t>
  </si>
  <si>
    <t xml:space="preserve">ImB_COAs/ППК26036.pdf ; ImB_QC_COAs/P050202 (GP062501)/ППК26036.pdf</t>
  </si>
  <si>
    <t xml:space="preserve">Ништо необично; скенот е чист, двата потписа се рачни, без печат. Doc_no се совпаѓа со манифестот.</t>
  </si>
  <si>
    <t xml:space="preserve">UKIM_CNP|ППК26037</t>
  </si>
  <si>
    <t xml:space="preserve">ППК26037</t>
  </si>
  <si>
    <t xml:space="preserve">ImB_COAs/ППК26037.pdf ; ImB_QC_COAs/P050202 (GP062501)/ППК26037.pdf</t>
  </si>
  <si>
    <t xml:space="preserve">НАДВОР ОД ГРАНИЦИ: 'Содржина на CBN' = 1.09 % при дозволена граница ≤ 1.00 % (потврдено со зголемување на скенот). Примерокот е од забрзана стабилност (40C/75% RH, месец 3). Инаку чист скен, двата потписа се рачни.</t>
  </si>
  <si>
    <t xml:space="preserve">UKIM_CNP|ППК26057</t>
  </si>
  <si>
    <t xml:space="preserve">ППК26057</t>
  </si>
  <si>
    <t xml:space="preserve">11.05.2026</t>
  </si>
  <si>
    <t xml:space="preserve">21.04.2026</t>
  </si>
  <si>
    <t xml:space="preserve">07.05.2026</t>
  </si>
  <si>
    <t xml:space="preserve">PO50202</t>
  </si>
  <si>
    <t xml:space="preserve">ImB_COAs/ППК26057.pdf ; ImB_QC_COAs/P050202 (GP062501)/ППК26057.pdf</t>
  </si>
  <si>
    <t xml:space="preserve">Page is scanned noticeably skewed, so the result column sits lower than its row labels; the row-to-value mapping recorded here was confirmed arithmetically (Вкупно CBD = 0.01 + 0.05x0.877 = 0.05; Вкупно Δ9-THC = 13.49 + 12.57x0.877 = 24.51). Serial reads 'PO50202' (letter O) vs 'P050022' on ППК26032/26033 for the same stability study. Footnote markers inconsistent (rows *** / ****, footnotes ** / ***). Цел line says 'сув сомелен цвет' while the sample name says 'Сув цвет'.</t>
  </si>
  <si>
    <t xml:space="preserve">UKIM_CNP|ППК26058</t>
  </si>
  <si>
    <t xml:space="preserve">ППК26058</t>
  </si>
  <si>
    <t xml:space="preserve">08.05.2026</t>
  </si>
  <si>
    <t xml:space="preserve">ImB_COAs/ППК26058.pdf ; ImB_QC_COAs/P050202 (GP062501)/ППК26058.pdf</t>
  </si>
  <si>
    <t xml:space="preserve">OUT OF SPECIFICATION: Содржина на CBN = 2.05 % against a printed limit of ≤ 1.00 % (6-month stability, 40C/75% RH); no OOS annotation on the certificate. Serial reads 'PO50202' (letter O as second character, verified at high zoom) whereas the March 2026 certificates for the same 6-month Grape Pie stability study (ППК26032/26033) print 'P050022' - the two cannot both be right. Footnote markers inconsistent: rows marked *** / **** but footnotes use ** and ***. Цел line says 'сув сомелен цвет' while Име на примерокот says 'Сув цвет'.</t>
  </si>
  <si>
    <t xml:space="preserve">UKIM_CNP|ППК26059</t>
  </si>
  <si>
    <t xml:space="preserve">ППК26059</t>
  </si>
  <si>
    <t xml:space="preserve">PO50022</t>
  </si>
  <si>
    <t xml:space="preserve">ImB_COAs/ППК26059.pdf ; ImB_QC_COAs/P050022 (GP0824_02)/ППК26059.pdf</t>
  </si>
  <si>
    <t xml:space="preserve">Серијата е отпечатена како 'PO50022'; вториот знак е поширок од цифрите нула на истиот ред, т.е. се чита како буква O (кај сродните сертификати ППК26034/26035/26036/26037 истата позиција е цифра 0). Ознаките на фусноти во табелата ('Вкупно CBD***', 'Вкупно Δ9-THC****') не се совпаѓаат со листата фусноти под табелата (** и ***). Скениран документ, добра читливост; двата потписа се рачни, без печат. Doc_no се совпаѓа со манифестот.</t>
  </si>
  <si>
    <t xml:space="preserve">UKIM_CNP|ППК26060</t>
  </si>
  <si>
    <t xml:space="preserve">ППК26060</t>
  </si>
  <si>
    <t xml:space="preserve">ImB_COAs/ППК26060.pdf ; ImB_QC_COAs/P050072 (GP0824_03)/ППК26060.pdf</t>
  </si>
  <si>
    <t xml:space="preserve">Ознаките на фусноти во табелата ('Вкупно CBD***', 'Вкупно Δ9-THC****') не се совпаѓаат со листата фусноти под табелата (** и ***). Внатрешна недоследност во текстот: 'Име на примерокот' е 'Сув цвет', додека 'Цел' зборува за 'сув сомелен цвет'. Насловот на полето е 'Опис на примерок'. Чист скен, двата потписа се рачни.</t>
  </si>
  <si>
    <t xml:space="preserve">UKIM_CNP|ППК26061</t>
  </si>
  <si>
    <t xml:space="preserve">ППК26061</t>
  </si>
  <si>
    <t xml:space="preserve">GG112501</t>
  </si>
  <si>
    <t xml:space="preserve">ImB_COAs/ППК26061.pdf ; ImB_QC_COAs/GG112501/ППК26061.pdf</t>
  </si>
  <si>
    <t xml:space="preserve">Header date printed as 'Скопје, 11.05.2026 год' without the trailing full stop used on sibling certificates. Footnote markers in the table (Вкупно CBD***, Вкупно Δ9-THC****) do not match the footnote legend below the table, which uses ** and *** - printed inconsistency, transcribed as printed. Both signature blocks signed by hand.</t>
  </si>
  <si>
    <t xml:space="preserve">UKIM_CNP|ППК26062</t>
  </si>
  <si>
    <t xml:space="preserve">ППК26062</t>
  </si>
  <si>
    <t xml:space="preserve">GG012601*</t>
  </si>
  <si>
    <t xml:space="preserve">ImB_COAs/ППК26062.pdf ; ImB_QC_COAs/GG012601/ППК26062.pdf</t>
  </si>
  <si>
    <t xml:space="preserve">Серијата е отпечатена со ѕвездичка на крајот – 'GG012601*' – без соодветна фуснота на страницата. Ознаките на фусноти во табелата ('Вкупно CBD***', 'Вкупно Δ9-THC****') не се совпаѓаат со листата фусноти (** и ***). Насловот на полето е 'Опис на примерок' (не 'Опис на примерокот'), а фуснотата е отпечатена со печатна грешка 'BLQ - под лимт на квантификација'. Чист скен, двата потписа се рачни.</t>
  </si>
  <si>
    <t xml:space="preserve">UKIM_CNP|ППК26063</t>
  </si>
  <si>
    <t xml:space="preserve">ППК26063</t>
  </si>
  <si>
    <t xml:space="preserve">JD112501</t>
  </si>
  <si>
    <t xml:space="preserve">Jelly Donutz</t>
  </si>
  <si>
    <t xml:space="preserve">ImB_COAs/ППК26063.pdf ; ImB_QC_COAs/JD112501/ППК26063.pdf</t>
  </si>
  <si>
    <t xml:space="preserve">Footnote markers inconsistent: table rows are marked 'Вкупно CBD***' / 'Вкупно Δ9-THC****' but the footnotes below use ** and ***. Same batch JD112501 also reported on ППК26065 (marked JD112501*) issued the same day with different results.</t>
  </si>
  <si>
    <t xml:space="preserve">UKIM_CNP|ППК26064</t>
  </si>
  <si>
    <t xml:space="preserve">ППК26064</t>
  </si>
  <si>
    <t xml:space="preserve">JD012601*</t>
  </si>
  <si>
    <t xml:space="preserve">ImB_COAs/ППК26064.pdf ; ImB_QC_COAs/JD012601/ППК26064.pdf</t>
  </si>
  <si>
    <t xml:space="preserve">Бројот на серијата е отпечатен со ѕвездичка на крајот – 'JD012601*' – но на страницата нема соодветна фуснота за таа ѕвездичка (единствената фуснота со * се однесува на DAB). Задржано е точно како што е отпечатено. Инаку чист скен, двата потписа се рачни.</t>
  </si>
  <si>
    <t xml:space="preserve">UKIM_CNP|ППК26065</t>
  </si>
  <si>
    <t xml:space="preserve">ППК26065</t>
  </si>
  <si>
    <t xml:space="preserve">JD112501*</t>
  </si>
  <si>
    <t xml:space="preserve">ImB_COAs/ППК26065.pdf ; ImB_QC_COAs/JD112501/ППК26065.pdf</t>
  </si>
  <si>
    <t xml:space="preserve">Batch serial is printed with a trailing asterisk ('JD112501*') but there is no matching footnote anywhere on the page explaining it (the only '*' footnote is '* DAB - Deutsches Arzneibuch 2018'). Same serial JD112501 is also reported on ППК26063, issued the same day (11.05.2026) with different results (e.g. Δ9-THCA 21.74 % there vs 14.54 % here) - the two certificates need reconciliation.</t>
  </si>
  <si>
    <t xml:space="preserve">UKIM_CNP|ППК26066</t>
  </si>
  <si>
    <t xml:space="preserve">ППК26066</t>
  </si>
  <si>
    <t xml:space="preserve">FB112501</t>
  </si>
  <si>
    <t xml:space="preserve">Fat Bastard</t>
  </si>
  <si>
    <t xml:space="preserve">ImB_COAs/ППК26066.pdf ; ImB_QC_COAs/FB112501/ППК26066.pdf</t>
  </si>
  <si>
    <t xml:space="preserve">UKIM_CNP|ППК26067</t>
  </si>
  <si>
    <t xml:space="preserve">ППК26067</t>
  </si>
  <si>
    <t xml:space="preserve">FB012601/1</t>
  </si>
  <si>
    <t xml:space="preserve">ImB_COAs/ППК26067.pdf ; ImB_QC_COAs/FB012601/ППК26067.pdf</t>
  </si>
  <si>
    <t xml:space="preserve">UKIM_CNP|ППК26068</t>
  </si>
  <si>
    <t xml:space="preserve">ППК26068</t>
  </si>
  <si>
    <t xml:space="preserve">CC112501</t>
  </si>
  <si>
    <t xml:space="preserve">Cash Cow</t>
  </si>
  <si>
    <t xml:space="preserve">ImB_COAs/ППК26068.pdf ; ImB_QC_COAs/CC112501/ППК26068.pdf</t>
  </si>
  <si>
    <t xml:space="preserve">UKIM_CNP|ППК26069</t>
  </si>
  <si>
    <t xml:space="preserve">ППК26069</t>
  </si>
  <si>
    <t xml:space="preserve">SCR112501</t>
  </si>
  <si>
    <t xml:space="preserve">Scrambler</t>
  </si>
  <si>
    <t xml:space="preserve">ImB_COAs/ППК26069.pdf ; ImB_QC_COAs/SCR112501/ППК26069.pdf</t>
  </si>
  <si>
    <t xml:space="preserve">UKIM_CNP|ППК26110</t>
  </si>
  <si>
    <t xml:space="preserve">ППК26110</t>
  </si>
  <si>
    <t xml:space="preserve">30.06.2026</t>
  </si>
  <si>
    <t xml:space="preserve">17.06.2026</t>
  </si>
  <si>
    <t xml:space="preserve">26.06.2026</t>
  </si>
  <si>
    <t xml:space="preserve">FB012603V</t>
  </si>
  <si>
    <t xml:space="preserve">ImB_COAs/ППК26110 (1).pdf ; ImB_QC_COAs/FB012603V/ППК26110 (1).pdf</t>
  </si>
  <si>
    <t xml:space="preserve">Pharmacopoeia edition mismatch: Метод line cites Ph. Eur. 11.5, identification limit cell reads 'во Ph.Eur. 11.0'. 'Страни материи' result is '/ (Одговара)'.</t>
  </si>
  <si>
    <t xml:space="preserve">UKIM_CNP|ППК26111</t>
  </si>
  <si>
    <t xml:space="preserve">ППК26111</t>
  </si>
  <si>
    <t xml:space="preserve">JD012603/02V</t>
  </si>
  <si>
    <t xml:space="preserve">ImB_COAs/ППК26111 (1).pdf ; ImB_QC_COAs/JD012603-02V/ППК26111 (1).pdf</t>
  </si>
  <si>
    <t xml:space="preserve">INTERNAL INCONSISTENCY: the Метод line cites Ph. Eur. 11.5 while the identification limit cell in the table cites Ph.Eur. 11.0 - both transcribed exactly as printed. The 'Страни материи' result cell contains no numeric value, only '/' above '(Одговара)' - transcribed verbatim. Ph. Eur. table layout with merged multi-line cells; the four printed rows are kept with line breaks preserved inside cells. Both signature blocks signed by hand.</t>
  </si>
  <si>
    <t xml:space="preserve">UKIM_CNP|ППК26112</t>
  </si>
  <si>
    <t xml:space="preserve">ППК26112</t>
  </si>
  <si>
    <t xml:space="preserve">FB012603</t>
  </si>
  <si>
    <t xml:space="preserve">ImB_COAs/ППК26112 (1).pdf ; ImB_QC_COAs/FB012603/ППК26112 (1).pdf</t>
  </si>
  <si>
    <t xml:space="preserve">Внатрешна недоследност: во табелата за идентификација стои 'во Ph.Eur. 11.0', додека во 'Метод' стои Ph. Eur. 11.5. Резултатот за 'Страни материи' е отпечатен како '/' со '(Одговара)' под него. Редовите за идентификација и за канабиноиди се во споени ќелии – раздвоени тука за да се зачува секој отпечатен ред. Двата потписа се рачни.</t>
  </si>
  <si>
    <t xml:space="preserve">UKIM_CNP|ППК26113</t>
  </si>
  <si>
    <t xml:space="preserve">ППК26113</t>
  </si>
  <si>
    <t xml:space="preserve">JD012603/02</t>
  </si>
  <si>
    <t xml:space="preserve">ImB_COAs/ППК26113 (1).pdf ; ImB_QC_COAs/JD012603-02/ППК26113 (1).pdf</t>
  </si>
  <si>
    <t xml:space="preserve">Pharmacopoeia edition mismatch: the Метод line cites Ph. Eur. 11.5 but the identification limit cell in the table reads 'во Ph.Eur. 11.0' (verified at high zoom). 'Страни материи' result cell is '/ (Одговара)' with no numeric value.</t>
  </si>
  <si>
    <t xml:space="preserve">UKIM_CNP|ППК26114</t>
  </si>
  <si>
    <t xml:space="preserve">ППК26114</t>
  </si>
  <si>
    <t xml:space="preserve">GG012603</t>
  </si>
  <si>
    <t xml:space="preserve">ImB_COAs/ППК26114 (1).pdf ; ImB_QC_COAs/GG012603/ППК26114 (1).pdf</t>
  </si>
  <si>
    <t xml:space="preserve">Внатрешна недоследност: во табелата за идентификација стои 'во Ph.Eur. 11.0', додека во 'Метод' стои Ph. Eur. 11.5. Редовите за идентификација и за канабиноиди се во споени ќелии – раздвоени тука за да се зачува секој отпечатен ред. Двата потписа се рачни, без печат.</t>
  </si>
  <si>
    <t xml:space="preserve">UKIM_CNP|ППК26115</t>
  </si>
  <si>
    <t xml:space="preserve">ППК26115</t>
  </si>
  <si>
    <t xml:space="preserve">JD022601</t>
  </si>
  <si>
    <t xml:space="preserve">ImB_COAs/ППК26115 (1).pdf ; ImB_QC_COAs/JD022601/ППК26115 (1).pdf</t>
  </si>
  <si>
    <t xml:space="preserve">Pharmacopoeia edition mismatch: Метод line cites Ph. Eur. 11.5, identification limit cell reads 'во Ph.Eur. 11.0'. 'Страни материи' result is '/ (Одговара)'. Вкупно CBD reported as BLQ.</t>
  </si>
  <si>
    <t xml:space="preserve">UKIM_CNP|ППК26116</t>
  </si>
  <si>
    <t xml:space="preserve">ППК26116</t>
  </si>
  <si>
    <t xml:space="preserve">06.07.2026</t>
  </si>
  <si>
    <t xml:space="preserve">01.07.2026</t>
  </si>
  <si>
    <t xml:space="preserve">SCR022601</t>
  </si>
  <si>
    <t xml:space="preserve">ImB_COAs/7.8_01 ОБ 01 вер 5 Резултат од испитување_ППК26116- bez SP-06072026- so potpis (1).pdf ; ImB_QC_COAs/SCR022601/7.8_01 ОБ 01 вер 5 Резултат од испитување_ППК26116- bez SP-06072026- so potpis (1).pdf</t>
  </si>
  <si>
    <t xml:space="preserve">Multi-line table cells preserved with newlines (identification has two sub-tests, cannabinoid row three sub-limits). 'Страни материи' result cell reads '/' on the first line and '(Одговара)' on the second, i.e. no numeric value reported for foreign matter. Footnote '*- изразено на сува дрога'.</t>
  </si>
  <si>
    <t xml:space="preserve">UKIM_CNP|ППК26117</t>
  </si>
  <si>
    <t xml:space="preserve">ППК26117</t>
  </si>
  <si>
    <t xml:space="preserve">P160012</t>
  </si>
  <si>
    <t xml:space="preserve">ImB_COAs/7.8_01 ОБ 01 вер 5 Резултат од испитување_ППК26117-bez sp-06072026-so potpis (1).pdf ; ImB_QC_COAs/P160012 (GrapePie)/7.8_01 ОБ 01 вер 5 Резултат од испитување_ППК26117-bez sp-06072026-so potpis (1).pdf</t>
  </si>
  <si>
    <t xml:space="preserve">Different table layout from the DAB certificates: Ph. Eur. monograph 07/2024:3028 with merged multi-line cells (identification, foreign matter, cannabinoid content) - the four printed rows are kept, with line breaks preserved inside cells. Source PDF filename says 'ОБ 01 вер 5' and 'bez sp' (without signature), but the page footer reads Верзија 7 and both signature blocks ARE signed by hand - filename/document mismatch. Batch serial P160012 does not follow the strain-initial pattern used on the other certificates.</t>
  </si>
  <si>
    <t xml:space="preserve">UKIM_CNP|ППК26118</t>
  </si>
  <si>
    <t xml:space="preserve">ППК26118</t>
  </si>
  <si>
    <t xml:space="preserve">02.07.2026</t>
  </si>
  <si>
    <t xml:space="preserve">P160022</t>
  </si>
  <si>
    <t xml:space="preserve">ImB_COAs/7.8_01 ОБ 01 вер 5 Резултат од испитување_ППК26118.-bez sp-06072026-so potis (1).pdf ; ImB_QC_COAs/P160022 (GrapePie)/7.8_01 ОБ 01 вер 5 Резултат од испитување_ППК26118.-bez sp-06072026-so potis (1).pdf</t>
  </si>
  <si>
    <t xml:space="preserve">Ph.Eur.-формат: редовите Идентификација (Макроскопија/Микроскопија) делат една споена ќелија со дозволени граници, а трите канабиноиди се ставки во еден ред 'Содржина на канабиноиди' – раздвоени се тука за да се зачува секој отпечатен ред. Резултатот за 'Страни материи' е отпечатен како '/' со '(Одговара)' под него. Името на изворната датотека содржи 'вер 5', но отпечатениот подножен код е Верзија 7. Doc_no се совпаѓа со манифестот.</t>
  </si>
  <si>
    <t xml:space="preserve">UKIM_CNP|ППК26119</t>
  </si>
  <si>
    <t xml:space="preserve">ППК26119</t>
  </si>
  <si>
    <t xml:space="preserve">P160032</t>
  </si>
  <si>
    <t xml:space="preserve">ImB_COAs/7.8_01 ОБ 01 вер 5 Резултат од испитување_ППК26119-bez sp-06072026-so potpis (1).pdf ; ImB_QC_COAs/P160032 (GrapePie)/7.8_01 ОБ 01 вер 5 Резултат од испитување_ППК26119-bez sp-06072026-so potpis (1).pdf</t>
  </si>
  <si>
    <t xml:space="preserve">Sample described as six vacuum-sealed pouches. 'Страни материи' result is '/ (Одговара)' with no numeric value. Identification cell cites Ph.Eur. 11.5, consistent with the Метод line.</t>
  </si>
  <si>
    <t xml:space="preserve">UKIM_CNP|ППК26127</t>
  </si>
  <si>
    <t xml:space="preserve">ППК26127</t>
  </si>
  <si>
    <t xml:space="preserve">21.07.2026</t>
  </si>
  <si>
    <t xml:space="preserve">13.07.2026</t>
  </si>
  <si>
    <t xml:space="preserve">FB032601</t>
  </si>
  <si>
    <t xml:space="preserve">ImB_COAs/ППК26127-ФИНАЛЕН.pdf ; ImB_QC_COAs/FB032601/ППК26127-ФИНАЛЕН.pdf</t>
  </si>
  <si>
    <t xml:space="preserve">НЕСООБРАЗЕН РЕЗУЛТАТ: за параметарот 'Страни материи' резултатот е '0.08%' со ознака '(Не одговара)', и на страница 1 има ЗАКЛУЧОК дека примерокот НЕ ОДГОВАРА на барањата од Ph. Eur. 11.5, монографија Cannabis flos (07/2024:3028), поради утврдено присуство на семе од канабис. Внатрешна недоследност: во табелата за идентификација е наведено 'во Ph.Eur. 11.0', додека во 'Метод' и во заклучокот стои Ph. Eur. 11.5. Дел од резултатите се отпечатени без празно место пред % ('0.08%', '0.06%'). Документ од две страници – табелата и заклучокот се на страница 1, потписите на страница 2 (двата рачни потписи, без печат).</t>
  </si>
  <si>
    <t xml:space="preserve">UKIM_CNP|ППК26128</t>
  </si>
  <si>
    <t xml:space="preserve">ППК26128</t>
  </si>
  <si>
    <t xml:space="preserve">GG032601</t>
  </si>
  <si>
    <t xml:space="preserve">ImB_COAs/7.8_01 ОБ 01 вер 5 Резултат од испитување_ППК26128.pdf ; ImB_QC_COAs/GG032601/7.8_01 ОБ 01 вер 5 Резултат од испитување_ППК26128.pdf</t>
  </si>
  <si>
    <t xml:space="preserve">Pharmacopoeia edition mismatch: Метод line cites Ph. Eur. 11.5, identification limit cell reads 'во Ph.Eur. 11.0'. Вкупно CBD result printed without a space before the percent sign ('0.25%'), unlike the other cells. 'Страни материи' result is '/ (Одговара)'.</t>
  </si>
  <si>
    <t xml:space="preserve">UNKNOWN|None</t>
  </si>
  <si>
    <t xml:space="preserve">UNIDENTIFIED – page not machine-readable</t>
  </si>
  <si>
    <t xml:space="preserve">UNKNOWN</t>
  </si>
  <si>
    <t xml:space="preserve">NEW GARDEN PHARMA (logo block printed top-left of the form: NEW / GARDEN / PHARMA)</t>
  </si>
  <si>
    <t xml:space="preserve">ImB_COAs/BSS052501 (P050192) 3.pdf ; ImB_COAs/GP062501 (P050202) 3.pdf ; ImB_QC_COAs/P050192 (BSS052501)/BSS052501 (P050192) 3.pdf ; ImB_QC_COAs/P050202 (GP062501)/GP062501 (P050202) 3.pdf</t>
  </si>
  <si>
    <t xml:space="preserve">Do not file as a COA and do not use for batch release. Quarantine pending the same QA investigation as the two phytosanitary reports in this bundle: it is NEW GARDEN PHARMA's internal, controlled in-process QC record for batch BSS052501 and it belongs in that company's batch documentation, not in a Purely Plant COA file. If no documented Purely Plant / New Garden Pharma relationship for batch BSS052501 can be evidenced, remove the page from the Purely Plant file together with the rest of source bundle ImB_COAs/BSS052501 (P050192) 3.pdf, restrict access and return or destroy the copy per the confidential-document procedure. If the relationship is confirmed and the record is legitimately held, re-scan the page in the correct upright orientation (the current scan is 90 degrees off) and re-scan or obtain a clean copy of the reference-standard table, because the certified-concentration column is unreadable on this copy - an unreadable input value makes the reported Total THC 20.39% and Total CBD 0.11% unverifiable. Then index it as a supporting in-process cannabinoid assay worksheet, clearly marked "in-process control - not for release", linked to batch BSS052501 but held separately from any certificate of analysis. Ask the originator to complete the blank request-of-analysis number, and to supply printed names against the three signatures and the underlying chromatographic raw data before the potency values are relied on for any GMP decision.</t>
  </si>
  <si>
    <t xml:space="preserve">Certificate / report No.</t>
  </si>
  <si>
    <t xml:space="preserve">Batch / serial</t>
  </si>
  <si>
    <t xml:space="preserve">Parameter</t>
  </si>
  <si>
    <t xml:space="preserve">Acceptance criterion / limit (verbatim)</t>
  </si>
  <si>
    <t xml:space="preserve">Result (verbatim)</t>
  </si>
  <si>
    <t xml:space="preserve">Measurement uncertainty</t>
  </si>
  <si>
    <t xml:space="preserve">Method</t>
  </si>
  <si>
    <t xml:space="preserve">FARMAHEM_051-1-GC-26</t>
  </si>
  <si>
    <t xml:space="preserve">Губитоци при сушење (LoD)</t>
  </si>
  <si>
    <t xml:space="preserve">&lt; 12</t>
  </si>
  <si>
    <t xml:space="preserve">6,3</t>
  </si>
  <si>
    <t xml:space="preserve">± 0,2</t>
  </si>
  <si>
    <t xml:space="preserve">EUROPEAN PHARMACOPOEIA 11.5 Loss on Drying (2.2.32:2024) — Тестирање на Губитоци при сушење во цвет од канабис - акредитиран метод од страна на Институт за акредитација на Република Северна Македонија согласно на МКС EN ISO 17025:2018</t>
  </si>
  <si>
    <t xml:space="preserve">FARMAHEM_051-1-K-26</t>
  </si>
  <si>
    <t xml:space="preserve">Вкупен Cannabidiol</t>
  </si>
  <si>
    <t xml:space="preserve">&lt;LOQ**</t>
  </si>
  <si>
    <t xml:space="preserve">/</t>
  </si>
  <si>
    <t xml:space="preserve">ИР 7.2.1-47К (в.1) — HPLC/DAD метод за идентификација и квантификација на канабиноиди во цвет (CBDA, CBD, CBN, CBNA, Δ9-THC, THCA-A) Европска фармакопеја Цвет од канабис (3028) - акредитиран метод од страна на Институт за акредитација на Република Северна Македонија согласно на МКС EN ISO 17025:2018</t>
  </si>
  <si>
    <t xml:space="preserve">Вкупен Cannabinol</t>
  </si>
  <si>
    <t xml:space="preserve">Вкупно Δ9- Tetrahydrocannabinol</t>
  </si>
  <si>
    <t xml:space="preserve">19.14</t>
  </si>
  <si>
    <t xml:space="preserve">±1.18</t>
  </si>
  <si>
    <t xml:space="preserve">FARMAHEM_051-2-GC-26</t>
  </si>
  <si>
    <t xml:space="preserve">6,7</t>
  </si>
  <si>
    <t xml:space="preserve">Метод: EUROPEAN PHARMACOPOEIA 11.5 Loss on Drying (2.2.32:2024) — Тестирање на Губитоци при сушење во цвет од канабис - акредитиран метод од страна на Институт за акредитација на Република Северна Македонија согласно на МКС EN ISO 17025:2018</t>
  </si>
  <si>
    <t xml:space="preserve">FARMAHEM_051-2-K-26</t>
  </si>
  <si>
    <t xml:space="preserve">Метод: ИР 7.2.1-47К (в.1) — HPLC/DAD метод за идентификација и квантификација на канабиноиди во цвет (CBDA, CBD, CBN, CBNA, Δ9-THC, THCA-A) Европска фармакопеја Цвет од канабис (3028) - акредитиран метод од страна на Институт за акредитација на Република Северна Македонија согласно на МКС EN ISO 17025:2018</t>
  </si>
  <si>
    <t xml:space="preserve">9.20</t>
  </si>
  <si>
    <t xml:space="preserve">±0.57</t>
  </si>
  <si>
    <t xml:space="preserve">FARMAHEM_051-3-GC-26</t>
  </si>
  <si>
    <t xml:space="preserve">7,8</t>
  </si>
  <si>
    <t xml:space="preserve">FARMAHEM_051-3-K-26</t>
  </si>
  <si>
    <t xml:space="preserve">11.20</t>
  </si>
  <si>
    <t xml:space="preserve">±0.69</t>
  </si>
  <si>
    <t xml:space="preserve">FARMAHEM_051-4-GC-26</t>
  </si>
  <si>
    <t xml:space="preserve">8,6</t>
  </si>
  <si>
    <t xml:space="preserve">FARMAHEM_051-4-K-26</t>
  </si>
  <si>
    <t xml:space="preserve">17.04</t>
  </si>
  <si>
    <t xml:space="preserve">±1.05</t>
  </si>
  <si>
    <t xml:space="preserve">FARMAHEM_051-5-GC-26</t>
  </si>
  <si>
    <t xml:space="preserve">8,4</t>
  </si>
  <si>
    <t xml:space="preserve">FARMAHEM_051-5-K-26</t>
  </si>
  <si>
    <t xml:space="preserve">25.27</t>
  </si>
  <si>
    <t xml:space="preserve">±1.55</t>
  </si>
  <si>
    <t xml:space="preserve">FARMAHEM_051-6-GC-26</t>
  </si>
  <si>
    <t xml:space="preserve">7,7</t>
  </si>
  <si>
    <t xml:space="preserve">FARMAHEM_051-6-K-26</t>
  </si>
  <si>
    <t xml:space="preserve">11.53</t>
  </si>
  <si>
    <t xml:space="preserve">±0.71</t>
  </si>
  <si>
    <t xml:space="preserve">FARMAHEM_100-1-GC-26</t>
  </si>
  <si>
    <t xml:space="preserve">7,6</t>
  </si>
  <si>
    <t xml:space="preserve">FARMAHEM_100-1-K-26</t>
  </si>
  <si>
    <t xml:space="preserve">&lt;LOQ</t>
  </si>
  <si>
    <t xml:space="preserve">Вкупно Δ⁹- Tetrahydrocannabinol</t>
  </si>
  <si>
    <t xml:space="preserve">20.21</t>
  </si>
  <si>
    <t xml:space="preserve">±1.24</t>
  </si>
  <si>
    <t xml:space="preserve">FARMAHEM_100-2-GC-26</t>
  </si>
  <si>
    <t xml:space="preserve">10,3</t>
  </si>
  <si>
    <t xml:space="preserve">FARMAHEM_100-2-K-26</t>
  </si>
  <si>
    <t xml:space="preserve">19.84</t>
  </si>
  <si>
    <t xml:space="preserve">±1.22</t>
  </si>
  <si>
    <t xml:space="preserve">FARMAHEM_100-3-GC-26</t>
  </si>
  <si>
    <t xml:space="preserve">FARMAHEM_100-3-K-26</t>
  </si>
  <si>
    <t xml:space="preserve">21.84</t>
  </si>
  <si>
    <t xml:space="preserve">±1.34</t>
  </si>
  <si>
    <t xml:space="preserve">FARMAHEM_100-4-GC-26</t>
  </si>
  <si>
    <t xml:space="preserve">6,6</t>
  </si>
  <si>
    <t xml:space="preserve">FARMAHEM_100-4-K-26</t>
  </si>
  <si>
    <t xml:space="preserve">8.09</t>
  </si>
  <si>
    <t xml:space="preserve">±0.50</t>
  </si>
  <si>
    <t xml:space="preserve">FARMAHEM_197-1-K-26</t>
  </si>
  <si>
    <t xml:space="preserve">&lt; LOQ</t>
  </si>
  <si>
    <t xml:space="preserve">ИР 7.2.1-47К (в.1) — HPLC/DAD метод за идентификација и квантификација на канабиноиди во цвет (CBDA, CBD, CBN, CBNA, Δ⁹-THC, THCA-A) Европска фармакопеја Цвет од канабис (3028) - акредитиран метод од страна на Институт за акредитација на Република Северна Македонија согласно на МКС EN ISO 17025:2018</t>
  </si>
  <si>
    <t xml:space="preserve">0.28</t>
  </si>
  <si>
    <t xml:space="preserve">0.02</t>
  </si>
  <si>
    <t xml:space="preserve">26.14</t>
  </si>
  <si>
    <t xml:space="preserve">1.61</t>
  </si>
  <si>
    <t xml:space="preserve">FARMAHEM_197-1-M-26</t>
  </si>
  <si>
    <t xml:space="preserve">Aflatoxin B1</t>
  </si>
  <si>
    <t xml:space="preserve">ND</t>
  </si>
  <si>
    <t xml:space="preserve">Метод: Интерен метод ИР 7.2.1-43М (в.03) — Идентификација и квантификација на микотоксини (Aflatoxin: B1; B2; G1; G2) во сув цвет од канабис - акредитиран метод од страна на Институт за акредитација на Република Северна Македонија согласно на МКС EN ISO 17025:2018. Интерен метод ИР 7.2.1-44М (в.03) — Идентификација и квантификација на микотоксини (Ochratoxin A) во сув цвет од канабис, акредитиран метод од страна на Институт за акредитација на Република Северна Македонија согласно на МКС EN ISO 17025:2018</t>
  </si>
  <si>
    <t xml:space="preserve">Aflatoxin B2</t>
  </si>
  <si>
    <t xml:space="preserve">Aflatoxin G1</t>
  </si>
  <si>
    <t xml:space="preserve">Aflatoxin G2</t>
  </si>
  <si>
    <t xml:space="preserve">Ochratoxin A</t>
  </si>
  <si>
    <t xml:space="preserve">FARMAHEM_197-10-K-26</t>
  </si>
  <si>
    <t xml:space="preserve">18.52</t>
  </si>
  <si>
    <t xml:space="preserve">1.14</t>
  </si>
  <si>
    <t xml:space="preserve">FARMAHEM_197-10-M-26</t>
  </si>
  <si>
    <t xml:space="preserve">Aflatoxin B₁</t>
  </si>
  <si>
    <t xml:space="preserve">Интерен метод ИР 7.2.1-43М (в.03) — Идентификација и квантификација на микотоксини (Aflatoxin: B1; B2; G1; G2) во сув цвет од канабис - акредитиран метод од страна на Институт за акредитација на Република Северна Македонија согласно на МКС EN ISO 17025:2018; Интерен метод ИР 7.2.1-44М (в.03) — Идентификација и квантификација на микотоксини (Ochratoxin A) во сув цвет од канабис акредитиран метод од страна на Институт за акредитација на Република Северна Македонија согласно на МКС EN ISO 17025:2018</t>
  </si>
  <si>
    <t xml:space="preserve">Aflatoxin B₂</t>
  </si>
  <si>
    <t xml:space="preserve">Aflatoxin G₁</t>
  </si>
  <si>
    <t xml:space="preserve">Aflatoxin G₂</t>
  </si>
  <si>
    <t xml:space="preserve">FARMAHEM_197-11-K-26</t>
  </si>
  <si>
    <t xml:space="preserve">0.23</t>
  </si>
  <si>
    <t xml:space="preserve">0.01</t>
  </si>
  <si>
    <t xml:space="preserve">22.61</t>
  </si>
  <si>
    <t xml:space="preserve">1.39</t>
  </si>
  <si>
    <t xml:space="preserve">FARMAHEM_197-11-M-26</t>
  </si>
  <si>
    <t xml:space="preserve">FARMAHEM_197-12-K-26</t>
  </si>
  <si>
    <t xml:space="preserve">15.70</t>
  </si>
  <si>
    <t xml:space="preserve">0.96</t>
  </si>
  <si>
    <t xml:space="preserve">FARMAHEM_197-12-M-26</t>
  </si>
  <si>
    <t xml:space="preserve">Интерен метод ИР 7.2.1-43М (в.03) — Идентификација и квантификација на микотоксини (Aflatoxin: B1; B2; G1; G2) во сув цвет од канабис - акредитиран метод од страна на Институт за акредитација на Република Северна Македонија согласно на МКС EN ISO 17025:2018. Интерен метод ИР 7.2.1-44М (в.03) — Идентификација и квантификација на микотоксини (Ochratoxin A) во сув цвет од канабис - акредитиран метод од страна на Институт за акредитација на Република Северна Македонија согласно на МКС EN ISO 17025:2018</t>
  </si>
  <si>
    <t xml:space="preserve">FARMAHEM_197-13-K-26</t>
  </si>
  <si>
    <t xml:space="preserve">0.36</t>
  </si>
  <si>
    <t xml:space="preserve">17.31</t>
  </si>
  <si>
    <t xml:space="preserve">1.06</t>
  </si>
  <si>
    <t xml:space="preserve">FARMAHEM_197-13-M-26</t>
  </si>
  <si>
    <t xml:space="preserve">FARMAHEM_197-14-K-26</t>
  </si>
  <si>
    <t xml:space="preserve">ИР 7.2.1-47К (в.1) — HPLC/DAD метод за идентификација и квантификација на канабиноиди во цвет (CBDA, CBD, CBN, CBNA, Δ9-THC, THCA-A), Европска фармакопеја Цвет од канабис (3028) - акредитиран метод од страна на Институт за акредитација на Република Северна Македонија согласно на МКС EN ISO 17025:2018</t>
  </si>
  <si>
    <t xml:space="preserve">21.61</t>
  </si>
  <si>
    <t xml:space="preserve">1.33</t>
  </si>
  <si>
    <t xml:space="preserve">FARMAHEM_197-14-M-26</t>
  </si>
  <si>
    <t xml:space="preserve">2.06</t>
  </si>
  <si>
    <t xml:space="preserve">11.80</t>
  </si>
  <si>
    <t xml:space="preserve">FARMAHEM_197-15-K-26</t>
  </si>
  <si>
    <t xml:space="preserve">20.32</t>
  </si>
  <si>
    <t xml:space="preserve">1.25</t>
  </si>
  <si>
    <t xml:space="preserve">FARMAHEM_197-15-M-26</t>
  </si>
  <si>
    <t xml:space="preserve">FARMAHEM_197-16-K-26</t>
  </si>
  <si>
    <t xml:space="preserve">17.32</t>
  </si>
  <si>
    <t xml:space="preserve">FARMAHEM_197-16-M-26</t>
  </si>
  <si>
    <t xml:space="preserve">FARMAHEM_197-17-K-26</t>
  </si>
  <si>
    <t xml:space="preserve">20.03</t>
  </si>
  <si>
    <t xml:space="preserve">1.23</t>
  </si>
  <si>
    <t xml:space="preserve">FARMAHEM_197-17-M-26</t>
  </si>
  <si>
    <t xml:space="preserve">FARMAHEM_197-18-K-26</t>
  </si>
  <si>
    <t xml:space="preserve">18.04</t>
  </si>
  <si>
    <t xml:space="preserve">1.11</t>
  </si>
  <si>
    <t xml:space="preserve">FARMAHEM_197-18-M-26</t>
  </si>
  <si>
    <t xml:space="preserve">FARMAHEM_197-19-K-26</t>
  </si>
  <si>
    <t xml:space="preserve">7.91</t>
  </si>
  <si>
    <t xml:space="preserve">0.49</t>
  </si>
  <si>
    <t xml:space="preserve">FARMAHEM_197-19-M-26</t>
  </si>
  <si>
    <t xml:space="preserve">FARMAHEM_197-2-K-26</t>
  </si>
  <si>
    <t xml:space="preserve">25.01</t>
  </si>
  <si>
    <t xml:space="preserve">1.54</t>
  </si>
  <si>
    <t xml:space="preserve">FARMAHEM_197-2-M-26</t>
  </si>
  <si>
    <t xml:space="preserve">FARMAHEM_197-20-K-26</t>
  </si>
  <si>
    <t xml:space="preserve">12.25</t>
  </si>
  <si>
    <t xml:space="preserve">0.75</t>
  </si>
  <si>
    <t xml:space="preserve">FARMAHEM_197-20-M-26</t>
  </si>
  <si>
    <t xml:space="preserve">FARMAHEM_197-21-K-26</t>
  </si>
  <si>
    <t xml:space="preserve">17.84</t>
  </si>
  <si>
    <t xml:space="preserve">1.10</t>
  </si>
  <si>
    <t xml:space="preserve">FARMAHEM_197-21-M-26</t>
  </si>
  <si>
    <t xml:space="preserve">FARMAHEM_197-3-K-26</t>
  </si>
  <si>
    <t xml:space="preserve">24.05</t>
  </si>
  <si>
    <t xml:space="preserve">1.48</t>
  </si>
  <si>
    <t xml:space="preserve">FARMAHEM_197-3-M-26</t>
  </si>
  <si>
    <t xml:space="preserve">FARMAHEM_197-4-K-26</t>
  </si>
  <si>
    <t xml:space="preserve">18.91</t>
  </si>
  <si>
    <t xml:space="preserve">1.16</t>
  </si>
  <si>
    <t xml:space="preserve">FARMAHEM_197-4-M-26</t>
  </si>
  <si>
    <t xml:space="preserve">FARMAHEM_197-5-K-26</t>
  </si>
  <si>
    <t xml:space="preserve">18.29</t>
  </si>
  <si>
    <t xml:space="preserve">1.12</t>
  </si>
  <si>
    <t xml:space="preserve">FARMAHEM_197-5-M-26</t>
  </si>
  <si>
    <t xml:space="preserve">FARMAHEM_197-6-K-26</t>
  </si>
  <si>
    <t xml:space="preserve">17.67</t>
  </si>
  <si>
    <t xml:space="preserve">1.09</t>
  </si>
  <si>
    <t xml:space="preserve">FARMAHEM_197-6-M-26</t>
  </si>
  <si>
    <t xml:space="preserve">FARMAHEM_197-7-K-26</t>
  </si>
  <si>
    <t xml:space="preserve">0.22</t>
  </si>
  <si>
    <t xml:space="preserve">18.86</t>
  </si>
  <si>
    <t xml:space="preserve">FARMAHEM_197-7-M-26</t>
  </si>
  <si>
    <t xml:space="preserve">FARMAHEM_197-8-K-26</t>
  </si>
  <si>
    <t xml:space="preserve">16.70</t>
  </si>
  <si>
    <t xml:space="preserve">1.03</t>
  </si>
  <si>
    <t xml:space="preserve">FARMAHEM_197-8-M-26</t>
  </si>
  <si>
    <t xml:space="preserve">FARMAHEM_197-9-K-26</t>
  </si>
  <si>
    <t xml:space="preserve">0.20</t>
  </si>
  <si>
    <t xml:space="preserve">18.67</t>
  </si>
  <si>
    <t xml:space="preserve">1.15</t>
  </si>
  <si>
    <t xml:space="preserve">FARMAHEM_197-9-M-26</t>
  </si>
  <si>
    <t xml:space="preserve">FARMAHEM_276-31-M-25</t>
  </si>
  <si>
    <t xml:space="preserve">ND *</t>
  </si>
  <si>
    <t xml:space="preserve">&lt;LOQ **</t>
  </si>
  <si>
    <t xml:space="preserve">IJZ_1625-2026</t>
  </si>
  <si>
    <t xml:space="preserve">ПЕСТИЦИДИ – overall</t>
  </si>
  <si>
    <t xml:space="preserve">НЕ Е ВИДЛИВА - се наоѓа на страна 3 која недостасува</t>
  </si>
  <si>
    <t xml:space="preserve">SEE DETECTED</t>
  </si>
  <si>
    <t xml:space="preserve">МКС EN 15662:2020</t>
  </si>
  <si>
    <t xml:space="preserve">ТЕШКИ МЕТАЛИ – изјава за сообразност</t>
  </si>
  <si>
    <t xml:space="preserve">НЕ Е ВИДЛИВА - целата секција ТЕШКИ МЕТАЛИ се наоѓа на страна 3 која недостасува</t>
  </si>
  <si>
    <t xml:space="preserve">МИКОТОКСИНИ: НЕ Е ВИДЛИВ - редот на табелата е на страна 3 која недостасува</t>
  </si>
  <si>
    <t xml:space="preserve">НЕ Е ВИДЛИВ</t>
  </si>
  <si>
    <t xml:space="preserve">НЕ Е ВИДЛИВ НЕ Е ВИДЛИВА</t>
  </si>
  <si>
    <t xml:space="preserve">...Флуорометриски метод (само продолжение на страна 4)</t>
  </si>
  <si>
    <t xml:space="preserve">МИКОТОКСИНИ – изјава за сообразност</t>
  </si>
  <si>
    <t xml:space="preserve">Резултатите од испитуваните параметри СЕ ВО СОГЛАСНОСТ со барањата на: Ph. Eur. 2.8.18</t>
  </si>
  <si>
    <t xml:space="preserve">IJZ_1627-2026</t>
  </si>
  <si>
    <t xml:space="preserve">Резултатите од испитуваните параметри СЕ ВО СОГЛАСНОСТ со барањата на: Ph.Eur 2.8.13</t>
  </si>
  <si>
    <t xml:space="preserve">all rows н.д. (29 rows)</t>
  </si>
  <si>
    <t xml:space="preserve">ТЕШКИ МЕТАЛИ: олово</t>
  </si>
  <si>
    <t xml:space="preserve">0,5</t>
  </si>
  <si>
    <t xml:space="preserve">0,049 mg/kg(l)</t>
  </si>
  <si>
    <t xml:space="preserve">EN 14084 (14083)</t>
  </si>
  <si>
    <t xml:space="preserve">ТЕШКИ МЕТАЛИ: жива</t>
  </si>
  <si>
    <t xml:space="preserve">0,1</t>
  </si>
  <si>
    <t xml:space="preserve">н.д. mg/kg(l)</t>
  </si>
  <si>
    <t xml:space="preserve">EN 13806:2002</t>
  </si>
  <si>
    <t xml:space="preserve">ТЕШКИ МЕТАЛИ: арсен</t>
  </si>
  <si>
    <t xml:space="preserve">0,2</t>
  </si>
  <si>
    <t xml:space="preserve">EN 14627</t>
  </si>
  <si>
    <t xml:space="preserve">ТЕШКИ МЕТАЛИ: кадмиум</t>
  </si>
  <si>
    <t xml:space="preserve">0,3</t>
  </si>
  <si>
    <t xml:space="preserve">0,165 mg/kg(l)</t>
  </si>
  <si>
    <t xml:space="preserve">Резултатите од испитуваните параметри СЕ ВО СОГЛАСНОСТ со барањата на: Ph. Eur. 2. 4. 27</t>
  </si>
  <si>
    <t xml:space="preserve">МИКОТОКСИНИ: Вкупни афлатоксини (во сув цвет од канабис)</t>
  </si>
  <si>
    <t xml:space="preserve">4</t>
  </si>
  <si>
    <t xml:space="preserve">2,2 µg/kg</t>
  </si>
  <si>
    <t xml:space="preserve">AflaTest Флуорометриски метод</t>
  </si>
  <si>
    <t xml:space="preserve">IJZ_1628-2026</t>
  </si>
  <si>
    <t xml:space="preserve">2,5 µg/kg</t>
  </si>
  <si>
    <t xml:space="preserve">IJZ_1766-2025</t>
  </si>
  <si>
    <t xml:space="preserve">Според испитуваните параметри, примерокот ОДГОВАРА НА: Ph.Eur 2.8.13</t>
  </si>
  <si>
    <t xml:space="preserve">all rows н.д. (27 rows)</t>
  </si>
  <si>
    <t xml:space="preserve">0,02 mg/kg</t>
  </si>
  <si>
    <t xml:space="preserve">МКС ЕН 17851:2023</t>
  </si>
  <si>
    <t xml:space="preserve">0,007 mg/kg(l)</t>
  </si>
  <si>
    <t xml:space="preserve">0,015 mg/kg(l)</t>
  </si>
  <si>
    <t xml:space="preserve">0,005 mg/kg(l)</t>
  </si>
  <si>
    <t xml:space="preserve">Според испитуваните параметри, примерокот ОДГОВАРА НА: Ph. Eur. 2. 4. 27</t>
  </si>
  <si>
    <t xml:space="preserve">&lt; 2 µg/kg</t>
  </si>
  <si>
    <t xml:space="preserve">Според испитуваните параметри, примерокот ОДГОВАРА НА: Ph. Eur. 2.8.18</t>
  </si>
  <si>
    <t xml:space="preserve">IJZ_1767-2025</t>
  </si>
  <si>
    <t xml:space="preserve">0,026 mg/kg</t>
  </si>
  <si>
    <t xml:space="preserve">МКС EN 17851:2023</t>
  </si>
  <si>
    <t xml:space="preserve">Според испитуваните параметри, примерокот ОДГОВАРА НА: Правилник за општите барања за безбедност на храната во однос на максималните нивоа на одделни контаминенти, Прилог, дел 3 (Сл.весник на РСМ бр.143/2024, 183/2024).</t>
  </si>
  <si>
    <t xml:space="preserve">Според испитуваните параметри, примерокот ОДГОВАРА НА: Правилник за општите барања за безбедност на храната во однос на максималните нивоа на одделни контаминенти, Прилог, дел 1 (Сл.весник на РСМ бр.143/2024, 183/2024)</t>
  </si>
  <si>
    <t xml:space="preserve">IJZ_2156-2025</t>
  </si>
  <si>
    <t xml:space="preserve">0,031 mg/kg</t>
  </si>
  <si>
    <t xml:space="preserve">0,004 mg/kg(l)</t>
  </si>
  <si>
    <t xml:space="preserve">0,01 mg/kg(l)</t>
  </si>
  <si>
    <t xml:space="preserve">0,001 mg/kg(l)</t>
  </si>
  <si>
    <t xml:space="preserve">IJZ_2157-2025</t>
  </si>
  <si>
    <t xml:space="preserve">0,011 mg/kg(l)</t>
  </si>
  <si>
    <t xml:space="preserve">IJZ_2471-2025</t>
  </si>
  <si>
    <t xml:space="preserve">IJZ_2472-2025</t>
  </si>
  <si>
    <t xml:space="preserve">IJZ_2994-2025</t>
  </si>
  <si>
    <t xml:space="preserve">ПЕСТИЦИД (detected): delta HCH</t>
  </si>
  <si>
    <t xml:space="preserve">&lt; 0,01 mg/kg(l)</t>
  </si>
  <si>
    <t xml:space="preserve">0,052 mg/kg</t>
  </si>
  <si>
    <t xml:space="preserve">0,028 mg/kg(l)</t>
  </si>
  <si>
    <t xml:space="preserve">0,061 mg/kg(l)</t>
  </si>
  <si>
    <t xml:space="preserve">IJZ_2995-2025</t>
  </si>
  <si>
    <t xml:space="preserve">0,059 mg/kg</t>
  </si>
  <si>
    <t xml:space="preserve">0,014 mg/kg(l)</t>
  </si>
  <si>
    <t xml:space="preserve">0,037 mg/kg(l)</t>
  </si>
  <si>
    <t xml:space="preserve">0,008 mg/kg(l)</t>
  </si>
  <si>
    <t xml:space="preserve">IJZ_3176-2025</t>
  </si>
  <si>
    <t xml:space="preserve">0,047 mg/kg(l)</t>
  </si>
  <si>
    <t xml:space="preserve">IJZ_3177-2025</t>
  </si>
  <si>
    <t xml:space="preserve">0,112 mg/kg(l)</t>
  </si>
  <si>
    <t xml:space="preserve">IJZ_3178-2025</t>
  </si>
  <si>
    <t xml:space="preserve">0,119 mg/kg(l)</t>
  </si>
  <si>
    <t xml:space="preserve">IJZ_3636-2025</t>
  </si>
  <si>
    <t xml:space="preserve">0,03 mg/kg(l)</t>
  </si>
  <si>
    <t xml:space="preserve">0,135 mg/kg(l)</t>
  </si>
  <si>
    <t xml:space="preserve">2,1 µg/kg</t>
  </si>
  <si>
    <t xml:space="preserve">IJZ_3638-2025</t>
  </si>
  <si>
    <t xml:space="preserve">0,006 mg/kg(l)</t>
  </si>
  <si>
    <t xml:space="preserve">0,086 mg/kg(l)</t>
  </si>
  <si>
    <t xml:space="preserve">2 µg/kg</t>
  </si>
  <si>
    <t xml:space="preserve">IJZ_4157-2025</t>
  </si>
  <si>
    <t xml:space="preserve">н.д. mg/kg</t>
  </si>
  <si>
    <t xml:space="preserve">MKC EN 17851:2023</t>
  </si>
  <si>
    <t xml:space="preserve">IJZ_4348-2025</t>
  </si>
  <si>
    <t xml:space="preserve">0,06 mg/kg(l)</t>
  </si>
  <si>
    <t xml:space="preserve">IJZ_4349-2025</t>
  </si>
  <si>
    <t xml:space="preserve">0,02 mg/kg(l)</t>
  </si>
  <si>
    <t xml:space="preserve">0,042 mg/kg(l)</t>
  </si>
  <si>
    <t xml:space="preserve">IJZ_4350-2025</t>
  </si>
  <si>
    <t xml:space="preserve">0,085 mg/kg(l)</t>
  </si>
  <si>
    <t xml:space="preserve">IJZ_4352-2025</t>
  </si>
  <si>
    <t xml:space="preserve">0,034 mg/kg(l)</t>
  </si>
  <si>
    <t xml:space="preserve">IJZ_4762-2025</t>
  </si>
  <si>
    <t xml:space="preserve">all rows н.д. (30 rows)</t>
  </si>
  <si>
    <t xml:space="preserve">0,077 mg/kg</t>
  </si>
  <si>
    <t xml:space="preserve">0,024 mg/kg(l)</t>
  </si>
  <si>
    <t xml:space="preserve">IJZ_4907-2025</t>
  </si>
  <si>
    <t xml:space="preserve">0,037 mg/kg</t>
  </si>
  <si>
    <t xml:space="preserve">0,002 mg/kg(l)</t>
  </si>
  <si>
    <t xml:space="preserve">0,027 mg/kg(l)</t>
  </si>
  <si>
    <t xml:space="preserve">0,017 mg/kg(l)</t>
  </si>
  <si>
    <t xml:space="preserve">IJZ_4908-2025</t>
  </si>
  <si>
    <t xml:space="preserve">0,012 mg/kg(l)</t>
  </si>
  <si>
    <t xml:space="preserve">IJZ_5661-2025</t>
  </si>
  <si>
    <t xml:space="preserve">0,024 mg/kg</t>
  </si>
  <si>
    <t xml:space="preserve">0,025 mg/kg(l)</t>
  </si>
  <si>
    <t xml:space="preserve">0,0036 mg/kg(l)</t>
  </si>
  <si>
    <t xml:space="preserve">IJZ_5697-2025</t>
  </si>
  <si>
    <t xml:space="preserve">0,013 mg/kg</t>
  </si>
  <si>
    <t xml:space="preserve">0,01</t>
  </si>
  <si>
    <t xml:space="preserve">IJZ_5698-2025</t>
  </si>
  <si>
    <t xml:space="preserve">0,021 mg/kg</t>
  </si>
  <si>
    <t xml:space="preserve">0,003 mg/kg(l)</t>
  </si>
  <si>
    <t xml:space="preserve">IJZ_5699-2025</t>
  </si>
  <si>
    <t xml:space="preserve">0,023 mg/kg</t>
  </si>
  <si>
    <t xml:space="preserve">IJZ_5700-2025</t>
  </si>
  <si>
    <t xml:space="preserve">0,032 mg/kg</t>
  </si>
  <si>
    <t xml:space="preserve">0,013 mg/kg(l)</t>
  </si>
  <si>
    <t xml:space="preserve">0,021 mg/kg(l)</t>
  </si>
  <si>
    <t xml:space="preserve">IJZ_5886-2025</t>
  </si>
  <si>
    <t xml:space="preserve">0,028 mg/kg</t>
  </si>
  <si>
    <t xml:space="preserve">IJZ_5887-2025</t>
  </si>
  <si>
    <t xml:space="preserve">0,017 mg/kg</t>
  </si>
  <si>
    <t xml:space="preserve">0,0028 mg/kg(l)</t>
  </si>
  <si>
    <t xml:space="preserve">0,019 mg/kg(l)</t>
  </si>
  <si>
    <t xml:space="preserve">IJZ_5888-2025</t>
  </si>
  <si>
    <t xml:space="preserve">0,014 mg/kg</t>
  </si>
  <si>
    <t xml:space="preserve">IJZ_5889-2025</t>
  </si>
  <si>
    <t xml:space="preserve">0,016 mg/kg(l)</t>
  </si>
  <si>
    <t xml:space="preserve">IJZ_750-2025</t>
  </si>
  <si>
    <t xml:space="preserve">0,036 mg/kg</t>
  </si>
  <si>
    <t xml:space="preserve">0,063 mg/kg(l)</t>
  </si>
  <si>
    <t xml:space="preserve">IJZ_751-2025</t>
  </si>
  <si>
    <t xml:space="preserve">0,081 mg/kg(l)</t>
  </si>
  <si>
    <t xml:space="preserve">0,071 mg/kg(l)</t>
  </si>
  <si>
    <t xml:space="preserve">ILLEGIBLE</t>
  </si>
  <si>
    <t xml:space="preserve">IJZ_752-2025</t>
  </si>
  <si>
    <t xml:space="preserve">0,01 mg/kg</t>
  </si>
  <si>
    <t xml:space="preserve">IJZ_80-2026</t>
  </si>
  <si>
    <t xml:space="preserve">ТЕШКИ МЕТАЛИ: бакар</t>
  </si>
  <si>
    <t xml:space="preserve">1,859 mg/kg(l)</t>
  </si>
  <si>
    <t xml:space="preserve">IJZ_81-2026</t>
  </si>
  <si>
    <t xml:space="preserve">0,075 mg/kg(l)</t>
  </si>
  <si>
    <t xml:space="preserve">2,55 mg/kg(l)</t>
  </si>
  <si>
    <t xml:space="preserve">IJZ_82-2026</t>
  </si>
  <si>
    <t xml:space="preserve">0,073 mg/kg(l)</t>
  </si>
  <si>
    <t xml:space="preserve">3,661 mg/kg(l)</t>
  </si>
  <si>
    <t xml:space="preserve">IJZ_83-2026</t>
  </si>
  <si>
    <t xml:space="preserve">2,196 mg/kg(l)</t>
  </si>
  <si>
    <t xml:space="preserve">IJZ_84-2026</t>
  </si>
  <si>
    <t xml:space="preserve">0,05 mg/kg(l)</t>
  </si>
  <si>
    <t xml:space="preserve">3,101 mg/kg(l)</t>
  </si>
  <si>
    <t xml:space="preserve">IJZ_85-2026</t>
  </si>
  <si>
    <t xml:space="preserve">0,08 mg/kg(l)</t>
  </si>
  <si>
    <t xml:space="preserve">3,341 mg/kg(l)</t>
  </si>
  <si>
    <t xml:space="preserve">IJZ_86-2026</t>
  </si>
  <si>
    <t xml:space="preserve">0,04 mg/kg(l)</t>
  </si>
  <si>
    <t xml:space="preserve">3,388 mg/kg(l)</t>
  </si>
  <si>
    <t xml:space="preserve">IJZ_87-2026</t>
  </si>
  <si>
    <t xml:space="preserve">ТЕШКИ МЕТАЛИ: бакар (МИНЕРАЛИ)</t>
  </si>
  <si>
    <t xml:space="preserve">3,153 mg/tableta</t>
  </si>
  <si>
    <t xml:space="preserve">0,022 mg/kg(l)</t>
  </si>
  <si>
    <t xml:space="preserve">IJZ_88-2026</t>
  </si>
  <si>
    <t xml:space="preserve">3,156 mg/kg(l)</t>
  </si>
  <si>
    <t xml:space="preserve">IJZ_MICRO_10-0013-26</t>
  </si>
  <si>
    <t xml:space="preserve">Вкупен број аеробни бактерии-ТАМС</t>
  </si>
  <si>
    <t xml:space="preserve">- 10^5 CFU/g</t>
  </si>
  <si>
    <t xml:space="preserve">&lt; 10 CFU/g</t>
  </si>
  <si>
    <t xml:space="preserve">Ph.Eur. 5.1.8 – Kat. C / 2.6.12, 2.6.31</t>
  </si>
  <si>
    <t xml:space="preserve">Вкупен број габи и мувли-ТУМС</t>
  </si>
  <si>
    <t xml:space="preserve">- 10^4 CFU/g</t>
  </si>
  <si>
    <t xml:space="preserve">На жолчка толерантни грам-негативни бактерии</t>
  </si>
  <si>
    <t xml:space="preserve">- ≤ 10^4 CFU/g</t>
  </si>
  <si>
    <t xml:space="preserve">Escherichia coli</t>
  </si>
  <si>
    <t xml:space="preserve">- отсутна/g</t>
  </si>
  <si>
    <t xml:space="preserve">Одговара</t>
  </si>
  <si>
    <t xml:space="preserve">Salmonella</t>
  </si>
  <si>
    <t xml:space="preserve">- отсутна/25 g</t>
  </si>
  <si>
    <t xml:space="preserve">IJZ_MICRO_1009-1813-25</t>
  </si>
  <si>
    <t xml:space="preserve">1,3 x 10^4 CFU/g</t>
  </si>
  <si>
    <t xml:space="preserve">Вкупен број габи и мувли-ТYMC</t>
  </si>
  <si>
    <t xml:space="preserve">4,2 x 10^3 CFU/g</t>
  </si>
  <si>
    <t xml:space="preserve">&lt; 10^3 и &gt;10^2 CFU/g</t>
  </si>
  <si>
    <t xml:space="preserve">IJZ_MICRO_1032-1851-25</t>
  </si>
  <si>
    <t xml:space="preserve">2,2 x 10^4 CFU/g</t>
  </si>
  <si>
    <t xml:space="preserve">4,9 x 10^4 CFU/g</t>
  </si>
  <si>
    <t xml:space="preserve">&lt; 10^4 и &gt;10^3 CFU/g</t>
  </si>
  <si>
    <t xml:space="preserve">IJZ_MICRO_1155-2056-25</t>
  </si>
  <si>
    <t xml:space="preserve">600 CFU/g</t>
  </si>
  <si>
    <t xml:space="preserve">400 CFU/g</t>
  </si>
  <si>
    <t xml:space="preserve">IJZ_MICRO_1157-2058-25</t>
  </si>
  <si>
    <t xml:space="preserve">200 CFU/g</t>
  </si>
  <si>
    <t xml:space="preserve">&lt; 10^2 и &gt;10 CFU/g</t>
  </si>
  <si>
    <t xml:space="preserve">IJZ_MICRO_1217-2168-25</t>
  </si>
  <si>
    <t xml:space="preserve">20 CFU/g</t>
  </si>
  <si>
    <t xml:space="preserve">IJZ_MICRO_1218-2169-25</t>
  </si>
  <si>
    <t xml:space="preserve">4,5 x 10^3 CFU/g</t>
  </si>
  <si>
    <t xml:space="preserve">3,5 x 10^3 CFU/g</t>
  </si>
  <si>
    <t xml:space="preserve">IJZ_MICRO_1219-2170-25</t>
  </si>
  <si>
    <t xml:space="preserve">IJZ_MICRO_1220-2171-25</t>
  </si>
  <si>
    <t xml:space="preserve">110 CFU/g</t>
  </si>
  <si>
    <t xml:space="preserve">Ph.Eur. 5.1.8 – Kat. C и производителска спецификација/2.6.12, 2.6.13, 2.6.31</t>
  </si>
  <si>
    <t xml:space="preserve">- 10^2 CFU/g</t>
  </si>
  <si>
    <t xml:space="preserve">- ≤ 10^2 CFU/g</t>
  </si>
  <si>
    <t xml:space="preserve">&lt;10 CFU/g</t>
  </si>
  <si>
    <t xml:space="preserve">*Staphylococcus aureus</t>
  </si>
  <si>
    <t xml:space="preserve">- отсутна/ g</t>
  </si>
  <si>
    <t xml:space="preserve">*Pseudomonas aeruginosa</t>
  </si>
  <si>
    <t xml:space="preserve">IJZ_MICRO_1221-2172-25</t>
  </si>
  <si>
    <t xml:space="preserve">100 CFU/g</t>
  </si>
  <si>
    <t xml:space="preserve">90 CFU/g</t>
  </si>
  <si>
    <t xml:space="preserve">IJZ_MICRO_1226-2192-25</t>
  </si>
  <si>
    <t xml:space="preserve">4,3 x 10^2 CFU/g</t>
  </si>
  <si>
    <t xml:space="preserve">1 x 10^3 CFU/g</t>
  </si>
  <si>
    <t xml:space="preserve">&lt; 10^3 и &gt; 10^2 CFU/g</t>
  </si>
  <si>
    <t xml:space="preserve">IJZ_MICRO_1227-2193-25</t>
  </si>
  <si>
    <t xml:space="preserve">3,2 x 10^3 CFU/g</t>
  </si>
  <si>
    <t xml:space="preserve">5,8 x 10^3 CFU/g</t>
  </si>
  <si>
    <t xml:space="preserve">&lt; 10^4 и &gt; 10^3 CFU/g</t>
  </si>
  <si>
    <t xml:space="preserve">IJZ_MICRO_1228-2194-25</t>
  </si>
  <si>
    <t xml:space="preserve">6 x 10^3 CFU/g</t>
  </si>
  <si>
    <t xml:space="preserve">6,5 x 10^3 CFU/g</t>
  </si>
  <si>
    <t xml:space="preserve">IJZ_MICRO_1229-2195-25</t>
  </si>
  <si>
    <t xml:space="preserve">2 x 10^2 CFU/g</t>
  </si>
  <si>
    <t xml:space="preserve">3 x 10^2 CFU/g</t>
  </si>
  <si>
    <t xml:space="preserve">IJZ_MICRO_161-0269-25</t>
  </si>
  <si>
    <t xml:space="preserve">1,5 x 10^4 CFU/g</t>
  </si>
  <si>
    <t xml:space="preserve">2,2 x 10^3 CFU/g</t>
  </si>
  <si>
    <t xml:space="preserve">&lt; 10^2 и &gt; 10 CFU/g</t>
  </si>
  <si>
    <t xml:space="preserve">IJZ_MICRO_163-0271-25</t>
  </si>
  <si>
    <t xml:space="preserve">1,6 x 10^4 CFU/g</t>
  </si>
  <si>
    <t xml:space="preserve">1 x 10^4 CFU/g</t>
  </si>
  <si>
    <t xml:space="preserve">IJZ_MICRO_164-0272-25</t>
  </si>
  <si>
    <t xml:space="preserve">8,4 x 10^3 CFU/g</t>
  </si>
  <si>
    <t xml:space="preserve">IJZ_MICRO_2-0005-26</t>
  </si>
  <si>
    <t xml:space="preserve">10 CFU/g</t>
  </si>
  <si>
    <t xml:space="preserve">IJZ_MICRO_229-0392-26</t>
  </si>
  <si>
    <t xml:space="preserve">120 CFU/g</t>
  </si>
  <si>
    <t xml:space="preserve">IJZ_MICRO_230-0393-26</t>
  </si>
  <si>
    <t xml:space="preserve">1900 CFU/g</t>
  </si>
  <si>
    <t xml:space="preserve">840 CFU/g</t>
  </si>
  <si>
    <t xml:space="preserve">IJZ_MICRO_231-0394-26</t>
  </si>
  <si>
    <t xml:space="preserve">850 CFU/g</t>
  </si>
  <si>
    <t xml:space="preserve">370 CFU/g</t>
  </si>
  <si>
    <t xml:space="preserve">IJZ_MICRO_3-0006-26</t>
  </si>
  <si>
    <t xml:space="preserve">30 CFU/g</t>
  </si>
  <si>
    <t xml:space="preserve">IJZ_MICRO_318-0585-25</t>
  </si>
  <si>
    <t xml:space="preserve">IJZ_MICRO_319-0586-25</t>
  </si>
  <si>
    <t xml:space="preserve">5,2 x 10^3 CFU/g</t>
  </si>
  <si>
    <t xml:space="preserve">8,8 x 10^3 CFU/g</t>
  </si>
  <si>
    <t xml:space="preserve">IJZ_MICRO_320-0587-25</t>
  </si>
  <si>
    <t xml:space="preserve">5,1 x 10^4 CFU/g</t>
  </si>
  <si>
    <t xml:space="preserve">4,2 x 10^4 CFU/g</t>
  </si>
  <si>
    <t xml:space="preserve">IJZ_MICRO_4-0007-26</t>
  </si>
  <si>
    <t xml:space="preserve">9,5 x 10^2 CFU/g</t>
  </si>
  <si>
    <t xml:space="preserve">1,2 x 10^3 CFU/g</t>
  </si>
  <si>
    <t xml:space="preserve">IJZ_MICRO_406-0744-25</t>
  </si>
  <si>
    <t xml:space="preserve">IJZ_MICRO_407-0745-25</t>
  </si>
  <si>
    <t xml:space="preserve">IJZ_MICRO_471-0862-25</t>
  </si>
  <si>
    <t xml:space="preserve">700 CFU/g</t>
  </si>
  <si>
    <t xml:space="preserve">IJZ_MICRO_472-0863-25</t>
  </si>
  <si>
    <t xml:space="preserve">2,1 x 10^4 CFU/g</t>
  </si>
  <si>
    <t xml:space="preserve">1,9 x 10^4 CFU/g</t>
  </si>
  <si>
    <t xml:space="preserve">IJZ_MICRO_5-0008-26</t>
  </si>
  <si>
    <t xml:space="preserve">1 x 10^2 CFU/g</t>
  </si>
  <si>
    <t xml:space="preserve">IJZ_MICRO_587-1066-25</t>
  </si>
  <si>
    <t xml:space="preserve">9,6 x 10^3 CFU/g</t>
  </si>
  <si>
    <t xml:space="preserve">IJZ_MICRO_588-1067-25</t>
  </si>
  <si>
    <t xml:space="preserve">3,4 x 10^3 CFU/g</t>
  </si>
  <si>
    <t xml:space="preserve">3,6 x 10^3 CFU/g</t>
  </si>
  <si>
    <t xml:space="preserve">IJZ_MICRO_6-0009-26</t>
  </si>
  <si>
    <t xml:space="preserve">2 x 10^3 CFU/g</t>
  </si>
  <si>
    <t xml:space="preserve">IJZ_MICRO_626-1127-25</t>
  </si>
  <si>
    <t xml:space="preserve">IJZ_MICRO_627-1</t>
  </si>
  <si>
    <t xml:space="preserve">IJZ_MICRO_628-1129-25</t>
  </si>
  <si>
    <t xml:space="preserve">1,1 x 10^4 CFU/g</t>
  </si>
  <si>
    <t xml:space="preserve">1,2 x 10^4 CFU/g</t>
  </si>
  <si>
    <t xml:space="preserve">IJZ_MICRO_7-0010-26</t>
  </si>
  <si>
    <t xml:space="preserve">IJZ_MICRO_766-1375-25</t>
  </si>
  <si>
    <t xml:space="preserve">IJZ_MICRO_767-1376-25</t>
  </si>
  <si>
    <t xml:space="preserve">IJZ_MICRO_8-001</t>
  </si>
  <si>
    <t xml:space="preserve">1,5 x 10^2 CFU/g</t>
  </si>
  <si>
    <t xml:space="preserve">1,3 x 10^2 CFU/g</t>
  </si>
  <si>
    <t xml:space="preserve">IJZ_MICRO_8-0011-26</t>
  </si>
  <si>
    <t xml:space="preserve">IJZ_MICRO_9-0012-26</t>
  </si>
  <si>
    <t xml:space="preserve">IJZ_MICRO_904-1589-25</t>
  </si>
  <si>
    <t xml:space="preserve">3,3 x 10^4 CFU/g</t>
  </si>
  <si>
    <t xml:space="preserve">IJZ_MICRO_946-1684-25</t>
  </si>
  <si>
    <t xml:space="preserve">3,6 x 10^4 CFU/g</t>
  </si>
  <si>
    <t xml:space="preserve">&lt; 10^2 и &gt; 10^1 CFU/g</t>
  </si>
  <si>
    <t xml:space="preserve">IJZ_MICRO_947-1685-25</t>
  </si>
  <si>
    <t xml:space="preserve">9 x 10^3 CFU/g</t>
  </si>
  <si>
    <t xml:space="preserve">6,3 x 10^3 CFU/g</t>
  </si>
  <si>
    <t xml:space="preserve">IJZ_MICRO_948-1686-25</t>
  </si>
  <si>
    <t xml:space="preserve">2,7 x 10^4 CFU/g</t>
  </si>
  <si>
    <t xml:space="preserve">2,6 x 10^4 CFU/g</t>
  </si>
  <si>
    <t xml:space="preserve">IJZ_MICRO_949-1687-25</t>
  </si>
  <si>
    <t xml:space="preserve">2,8 x 10^4 CFU/g</t>
  </si>
  <si>
    <t xml:space="preserve">1,7 x 10^4 CFU/g</t>
  </si>
  <si>
    <t xml:space="preserve">MAFWE_SPL_108022845-2</t>
  </si>
  <si>
    <t xml:space="preserve">none printed</t>
  </si>
  <si>
    <t xml:space="preserve">PAGE TRIAGE: State Phytosanitary Laboratory pesticide residue Report of Analysis - Macedonian-language appendix (Прилог 1) listing the analytes screened by LC/MS/MS</t>
  </si>
  <si>
    <t xml:space="preserve">Full-page table headed "Прилог 1: Листа на пестициди за кои е анализиран примерокот со LC/MS/MS" enumerating 265 pesticides (1 = 2,4-D through 265 = Zoxamide). Carries the IARNM ISO/IEC 17025:2018 accreditation mark LT-036 in the header. The footnote states the pesticide list is an integral part of the Report of Analysis. It is a scope annex only - it holds no results, no sample identity and no client identity.</t>
  </si>
  <si>
    <t xml:space="preserve">PAGE TRIAGE: State Phytosanitary Laboratory pesticide residue Report of Analysis - Macedonian-language appendix (Прилог2) listing the analytes screened by GC/MS/MS</t>
  </si>
  <si>
    <t xml:space="preserve">Full-page table headed "Прилог2: Листа на пестициди за кои е анализиран примерокот со GC/MS/MS" enumerating 206 pesticides (1 = Acequinocyl through 206 = Chlorthal-dimethyl). Same IARNM LT-036 accreditation header as the LC/MS/MS annex. Scope annex only - no results, no sample identity, no client identity.</t>
  </si>
  <si>
    <t xml:space="preserve">Клиент: ЊУ ГАРДЕН ФАРМА | Адреса: Ул:110 бр.104 КОКојлија, 1043 Петровец, Индустриска зона | Мобилен тел: 075 258 292 | E-mail: marina.topkoska@newgardenpharma.com | Даночен број на клиентот: 4080019578630 | Инспекторски код на примерокот: Сув цвет од медицински канабис Blue Sunset Sherbet BSS 052501 NGP | Култура/Матрица: Канабис</t>
  </si>
  <si>
    <t xml:space="preserve">PAGE TRIAGE: State Phytosanitary Laboratory pesticide residue Report of Analysis (ИЗВЕШТАЈ ОД АНАЛИЗА) - Macedonian-language cover/result page, signed and stamped</t>
  </si>
  <si>
    <t xml:space="preserve">Signed and stamped result page of an accredited third-party pesticide residue analysis on dried medical cannabis flower. Single result line: "Нема пронајдено ниту еден пестицид над LOQ" (no pesticide found above LOQ), status accredited, LOQ 0,01 mg/kg, result &lt;LOQ, MRL "/", unit mg/kg. Methods LC/MS/MS and GC/MS/MS to MKC EN 15662:2011; 471 residues screened (265 by LC/MS/MS per Annex 1, 206 by GC/MS/MS per Annex 2); measurement uncertainty 50% at k=2, 95%; note that testing was requested per cPh Eur. Signed by Krume Trajkov (sample preparation), Suzana Krstevska (analysis), Dr Krste Tashev (control / Head of Sector) and Prof. Dr Suzana Jordanovska (Director), with the ministry's round embossed stamp.</t>
  </si>
  <si>
    <t xml:space="preserve">MAFWE_SPL_10802_2845-2</t>
  </si>
  <si>
    <t xml:space="preserve">Client: NEW GARDEN PHARMA | Address: St: 110 No. 104 KOKojlija, 1043 Petrovec, Industrial Zone | Mobile: 075 258 292 | E-mail: marina.topkoska@newgardenpharma.com | Tax number: 4080019578630 | Identification sample number: Dried medical cannabis flower Blue Sunset Sherbet BSS 052501 NGP | Culture/Matrix: Cannabis</t>
  </si>
  <si>
    <t xml:space="preserve">PAGE TRIAGE: State Phytosanitary Laboratory pesticide residue Report of Analysis - English-language cover/result page, signed and stamped</t>
  </si>
  <si>
    <t xml:space="preserve">English-language counterpart of the same signed and stamped result page. Single result line: "Not found any pesticide above limit of quantification of the method", status accredited, LOQ 0.01 mg/kg, result ≤ LOQ, MRL "/", unit mg/kg. Methods LC/MS/MS and GC/MS/MS to MKC EN 15662:2011, both accredited by IARNM; 471 pesticide residues screened (265 LC/MS/MS per Appendix 1, 206 GC/MS/MS per Appendix 2); measurement uncertainty 50% at k=2, 95%; remark that the pesticide scope is according to USP and cPh Eur. Signed by Krume Trajkov, Suzana Krstevska, Krste Tashev PhD and Prof. Suzana Jordanovska PhD, with the ministry's round stamp.</t>
  </si>
  <si>
    <t xml:space="preserve">PAGE TRIAGE: State Phytosanitary Laboratory pesticide residue Report of Analysis - English-language Appendix 1 listing the analytes screened by LC/MS/MS</t>
  </si>
  <si>
    <t xml:space="preserve">Full-page table headed "Appendix 1: List of pesticides analyzed by LC/MS/MS" enumerating 265 pesticides (1 = 2,4-D through 265 = Zoxamide); the column headers remain in Macedonian (Бр. / Пестицид) on this otherwise English page. Footnote states the pesticide list is an integral part of the analysis report. Scope annex only - no results, no sample identity, no client identity.</t>
  </si>
  <si>
    <t xml:space="preserve">PAGE TRIAGE: State Phytosanitary Laboratory pesticide residue Report of Analysis - English-language Appendix 2 listing the analytes screened by GC/MS/MS</t>
  </si>
  <si>
    <t xml:space="preserve">Full-page table headed "Appendix 2: List of pesticides analyzed by GC/MS/MS" enumerating 206 pesticides (1 = Acequinocyl through 206 = Chlorthal-dimethyl), with Macedonian column headers retained. Footnote states the pesticide list is an integral part of the analysis report. Scope annex only - no results, no sample identity, no client identity.</t>
  </si>
  <si>
    <t xml:space="preserve">PURELYPLANT_None</t>
  </si>
  <si>
    <t xml:space="preserve">Appearance</t>
  </si>
  <si>
    <t xml:space="preserve">Dark green to pale yellow or light brown to reddish-brown female inflorescence, with characteristic aromatic odour</t>
  </si>
  <si>
    <t xml:space="preserve">Confirms</t>
  </si>
  <si>
    <t xml:space="preserve">Visual</t>
  </si>
  <si>
    <t xml:space="preserve">Identification**</t>
  </si>
  <si>
    <t xml:space="preserve">The retention time of each cannabinoid of the test solution corresponds to its of the standard solution</t>
  </si>
  <si>
    <t xml:space="preserve">DAB</t>
  </si>
  <si>
    <t xml:space="preserve">Loss on drying**</t>
  </si>
  <si>
    <t xml:space="preserve">&lt; 12.0%</t>
  </si>
  <si>
    <t xml:space="preserve">6.70%</t>
  </si>
  <si>
    <t xml:space="preserve">Ph. Eur. 2.2.32</t>
  </si>
  <si>
    <t xml:space="preserve">Foreign matter</t>
  </si>
  <si>
    <t xml:space="preserve">&lt; 2.0%</t>
  </si>
  <si>
    <t xml:space="preserve">Ph. Eur. 2.8.2</t>
  </si>
  <si>
    <t xml:space="preserve">Assay** - Total Δ⁹-tetrahydrocannabinol*</t>
  </si>
  <si>
    <t xml:space="preserve">14.9 – 18.2% of the labelled amount</t>
  </si>
  <si>
    <t xml:space="preserve">16.56%</t>
  </si>
  <si>
    <t xml:space="preserve">Assay** - Total Cannabidiol</t>
  </si>
  <si>
    <t xml:space="preserve">&lt; 1.0%</t>
  </si>
  <si>
    <t xml:space="preserve">0.14%</t>
  </si>
  <si>
    <t xml:space="preserve">Related substances** - Cannabinol</t>
  </si>
  <si>
    <t xml:space="preserve">BLQ</t>
  </si>
  <si>
    <t xml:space="preserve">Micotoxines** - Total aflatoxines</t>
  </si>
  <si>
    <t xml:space="preserve">&lt; 4 µg/kg</t>
  </si>
  <si>
    <t xml:space="preserve">Ph. Eur. 2.8.18/ Afla test Fluorometric method</t>
  </si>
  <si>
    <t xml:space="preserve">Pesticides** - Deltamethrin</t>
  </si>
  <si>
    <t xml:space="preserve">&lt; 0.5 mg/kg</t>
  </si>
  <si>
    <t xml:space="preserve">N.D.</t>
  </si>
  <si>
    <t xml:space="preserve">Ph. Eur. 2.8.13/ MKC EN 15662:2020</t>
  </si>
  <si>
    <t xml:space="preserve">Pesticides** - Chlorpyriphos-methyl</t>
  </si>
  <si>
    <t xml:space="preserve">&lt; 0.1 mg/kg</t>
  </si>
  <si>
    <t xml:space="preserve">Pesticides** - Chlorpyriphos-ethyl</t>
  </si>
  <si>
    <t xml:space="preserve">&lt; 0.2 mg/kg</t>
  </si>
  <si>
    <t xml:space="preserve">Pesticides** - Endosulfan (sum of isomers and endosulfan sulfate)</t>
  </si>
  <si>
    <t xml:space="preserve">&lt; 3 mg/kg</t>
  </si>
  <si>
    <t xml:space="preserve">Insecticides** - Lindan</t>
  </si>
  <si>
    <t xml:space="preserve">&lt; 0.6 mg/kg</t>
  </si>
  <si>
    <t xml:space="preserve">Insecticides** - Aldrin and dieldrin (sum of)</t>
  </si>
  <si>
    <t xml:space="preserve">&lt; 0.05 mg/kg</t>
  </si>
  <si>
    <t xml:space="preserve">Insecticides** - HCH (sum of α-, β-, δ- and ε)</t>
  </si>
  <si>
    <t xml:space="preserve">&lt; 0.3 mg/kg</t>
  </si>
  <si>
    <t xml:space="preserve">Insecticides** - HCB (Hexachlorbenzene)</t>
  </si>
  <si>
    <t xml:space="preserve">Insecticides** - DDT (total)</t>
  </si>
  <si>
    <t xml:space="preserve">&lt; 1 mg/kg</t>
  </si>
  <si>
    <t xml:space="preserve">Insecticides** - Heptachlor (sum of heptachlor and heptachlorepoxide)</t>
  </si>
  <si>
    <t xml:space="preserve">Insecticides** - Endrin</t>
  </si>
  <si>
    <t xml:space="preserve">Insecticides** - Chlordane (sum of cis- and trans-)</t>
  </si>
  <si>
    <t xml:space="preserve">Insecticides** - Metoxychlor</t>
  </si>
  <si>
    <t xml:space="preserve">Heavy metals** - Cadmium</t>
  </si>
  <si>
    <t xml:space="preserve">0.002 mg/kg</t>
  </si>
  <si>
    <t xml:space="preserve">Ph. Eur. 2.4.27/ MKC EN 17853:2023</t>
  </si>
  <si>
    <t xml:space="preserve">Heavy metals** - Lead</t>
  </si>
  <si>
    <t xml:space="preserve">0.026 mg/kg</t>
  </si>
  <si>
    <t xml:space="preserve">Heavy metals** - Mercury</t>
  </si>
  <si>
    <t xml:space="preserve">0.012 mg/kg</t>
  </si>
  <si>
    <t xml:space="preserve">Heavy metals** - Arsenic</t>
  </si>
  <si>
    <t xml:space="preserve">0.011 mg/kg</t>
  </si>
  <si>
    <t xml:space="preserve">Microbiological quality** - Total aerobic microbial count (TAMC)</t>
  </si>
  <si>
    <t xml:space="preserve">&lt; 10⁵, max 500 000 CFU/g</t>
  </si>
  <si>
    <t xml:space="preserve">2.2 x 10⁴ CFU/g</t>
  </si>
  <si>
    <t xml:space="preserve">Ph. Eur. 5.1.8, category C Ph. Eur. 2.6.12</t>
  </si>
  <si>
    <t xml:space="preserve">Microbiological quality** - Total combined yeasts/ moulds count (TYMC)</t>
  </si>
  <si>
    <t xml:space="preserve">&lt; 10⁴, max 50 000 CFU/g</t>
  </si>
  <si>
    <t xml:space="preserve">4.9 x 10⁴ CFU/g</t>
  </si>
  <si>
    <t xml:space="preserve">Microbiological quality** - Bile-tolerant gram-negative bacteria</t>
  </si>
  <si>
    <t xml:space="preserve">&lt; 10⁴CFU/g</t>
  </si>
  <si>
    <t xml:space="preserve">&lt; 10⁴ and &gt;10³ CFU/g</t>
  </si>
  <si>
    <t xml:space="preserve">Microbiological quality** - Escherichia coli / g</t>
  </si>
  <si>
    <t xml:space="preserve">To be absent</t>
  </si>
  <si>
    <t xml:space="preserve">Absent</t>
  </si>
  <si>
    <t xml:space="preserve">Microbiological quality** - Salmonella / 25g</t>
  </si>
  <si>
    <t xml:space="preserve">Packaging - Closure integrity</t>
  </si>
  <si>
    <t xml:space="preserve">According to standard</t>
  </si>
  <si>
    <t xml:space="preserve">In-house</t>
  </si>
  <si>
    <t xml:space="preserve">Packaging - Labeling</t>
  </si>
  <si>
    <t xml:space="preserve">Packaging - Weight</t>
  </si>
  <si>
    <t xml:space="preserve">PURELYPLANT_P050012</t>
  </si>
  <si>
    <t xml:space="preserve">6.88%</t>
  </si>
  <si>
    <t xml:space="preserve">15.6 – 18.4% of the labelled amount</t>
  </si>
  <si>
    <t xml:space="preserve">15.95%</t>
  </si>
  <si>
    <t xml:space="preserve">0.05%</t>
  </si>
  <si>
    <t xml:space="preserve">0.01%</t>
  </si>
  <si>
    <t xml:space="preserve">&lt;10⁵, max 500 000 CFU/g</t>
  </si>
  <si>
    <t xml:space="preserve">2.1·10⁴ CFU/g</t>
  </si>
  <si>
    <t xml:space="preserve">&lt;10⁴, max 50 000 CFU/g</t>
  </si>
  <si>
    <t xml:space="preserve">1.9·10⁴ CFU/g</t>
  </si>
  <si>
    <t xml:space="preserve">&lt;10⁴CFU/g</t>
  </si>
  <si>
    <t xml:space="preserve">Microbiological quality** - Escherichia coli/g</t>
  </si>
  <si>
    <t xml:space="preserve">Microbiological quality** - Salmonella/25g</t>
  </si>
  <si>
    <t xml:space="preserve">PURELYPLANT_P050022</t>
  </si>
  <si>
    <t xml:space="preserve">6.51%</t>
  </si>
  <si>
    <t xml:space="preserve">21.6 – 26.4% of the labelled amount</t>
  </si>
  <si>
    <t xml:space="preserve">23.19%</t>
  </si>
  <si>
    <t xml:space="preserve">0.07%</t>
  </si>
  <si>
    <t xml:space="preserve">0.047 mg/kg</t>
  </si>
  <si>
    <t xml:space="preserve">Ph. Eur. 5.1.8, category B Ph. Eur. 2.6.12</t>
  </si>
  <si>
    <t xml:space="preserve">PURELYPLANT_P050032</t>
  </si>
  <si>
    <t xml:space="preserve">6.01%</t>
  </si>
  <si>
    <t xml:space="preserve">Assay** - Total Δ9-tetrahydrocannabinol*</t>
  </si>
  <si>
    <t xml:space="preserve">17.1 – 20.9% of the labelled amount</t>
  </si>
  <si>
    <t xml:space="preserve">18.67%</t>
  </si>
  <si>
    <t xml:space="preserve">0.03%</t>
  </si>
  <si>
    <t xml:space="preserve">0.005 mg/kg</t>
  </si>
  <si>
    <t xml:space="preserve">0.031 mg/kg</t>
  </si>
  <si>
    <t xml:space="preserve">PURELYPLANT_P050062</t>
  </si>
  <si>
    <t xml:space="preserve">6.89%</t>
  </si>
  <si>
    <t xml:space="preserve">16.2 – 19.8% of the labelled amount</t>
  </si>
  <si>
    <t xml:space="preserve">18.27%</t>
  </si>
  <si>
    <t xml:space="preserve">0.02%</t>
  </si>
  <si>
    <t xml:space="preserve">0.052 mg/kg</t>
  </si>
  <si>
    <t xml:space="preserve">0.061 mg/kg</t>
  </si>
  <si>
    <t xml:space="preserve">0.028 mg/kg</t>
  </si>
  <si>
    <t xml:space="preserve">3.4·10³ CFU/g</t>
  </si>
  <si>
    <t xml:space="preserve">3.6·10³ CFU/g</t>
  </si>
  <si>
    <t xml:space="preserve">PURELYPLANT_P050072</t>
  </si>
  <si>
    <t xml:space="preserve">6.58%</t>
  </si>
  <si>
    <t xml:space="preserve">25.45%</t>
  </si>
  <si>
    <t xml:space="preserve">0.08%</t>
  </si>
  <si>
    <t xml:space="preserve">0.119 mg/kg</t>
  </si>
  <si>
    <t xml:space="preserve">1.1·10⁴ CFU/g</t>
  </si>
  <si>
    <t xml:space="preserve">1.2·10⁴ CFU/g</t>
  </si>
  <si>
    <t xml:space="preserve">&lt;10⁴ and &gt;10³ CFU/g</t>
  </si>
  <si>
    <t xml:space="preserve">PURELYPLANT_P050082</t>
  </si>
  <si>
    <t xml:space="preserve">6.38%</t>
  </si>
  <si>
    <t xml:space="preserve">14.8 – 18.2% of the labelled amount</t>
  </si>
  <si>
    <t xml:space="preserve">16.55%</t>
  </si>
  <si>
    <t xml:space="preserve">0.04%</t>
  </si>
  <si>
    <t xml:space="preserve">2.1 µg/kg</t>
  </si>
  <si>
    <t xml:space="preserve">0.03 mg/kg</t>
  </si>
  <si>
    <t xml:space="preserve">0.135 mg/kg</t>
  </si>
  <si>
    <t xml:space="preserve">2 x 10² CFU/g</t>
  </si>
  <si>
    <t xml:space="preserve">3 x 10² CFU/g</t>
  </si>
  <si>
    <t xml:space="preserve">PURELYPLANT_P050092</t>
  </si>
  <si>
    <t xml:space="preserve">7.54%</t>
  </si>
  <si>
    <t xml:space="preserve">17.22%</t>
  </si>
  <si>
    <t xml:space="preserve">0.007 mg/kg</t>
  </si>
  <si>
    <t xml:space="preserve">0.02 mg/kg</t>
  </si>
  <si>
    <t xml:space="preserve">0.015 mg/kg</t>
  </si>
  <si>
    <t xml:space="preserve">5.1·10⁴ CFU/g</t>
  </si>
  <si>
    <t xml:space="preserve">4.2·10⁴ CFU/g</t>
  </si>
  <si>
    <t xml:space="preserve">PURELYPLANT_P050102</t>
  </si>
  <si>
    <t xml:space="preserve">6.73%</t>
  </si>
  <si>
    <t xml:space="preserve">18.9 – 23.1% of the labelled amount</t>
  </si>
  <si>
    <t xml:space="preserve">20.79%</t>
  </si>
  <si>
    <t xml:space="preserve">0.06%</t>
  </si>
  <si>
    <t xml:space="preserve">4.2·10³ CFU/g</t>
  </si>
  <si>
    <t xml:space="preserve">6·10³ CFU/g</t>
  </si>
  <si>
    <t xml:space="preserve">PURELYPLANT_P050112</t>
  </si>
  <si>
    <t xml:space="preserve">6.56%</t>
  </si>
  <si>
    <t xml:space="preserve">15.1 – 18.5% of the labelled amount</t>
  </si>
  <si>
    <t xml:space="preserve">16.82%</t>
  </si>
  <si>
    <t xml:space="preserve">N.D mg/kg</t>
  </si>
  <si>
    <t xml:space="preserve">0.006 mg/kg</t>
  </si>
  <si>
    <t xml:space="preserve">0.086 mg/kg</t>
  </si>
  <si>
    <t xml:space="preserve">3.5 x 10³CFU/g</t>
  </si>
  <si>
    <t xml:space="preserve">1 x 10³CFU/g</t>
  </si>
  <si>
    <t xml:space="preserve">&lt;10CFU/g</t>
  </si>
  <si>
    <t xml:space="preserve">PURELYPLANT_P050122</t>
  </si>
  <si>
    <t xml:space="preserve">19.8 – 24.2% of the labelled amount</t>
  </si>
  <si>
    <t xml:space="preserve">23.42%</t>
  </si>
  <si>
    <t xml:space="preserve">0.112 mg/kg</t>
  </si>
  <si>
    <t xml:space="preserve">PURELYPLANT_P050132</t>
  </si>
  <si>
    <t xml:space="preserve">8.28%</t>
  </si>
  <si>
    <t xml:space="preserve">12.7 – 15.5% of the labelled amount</t>
  </si>
  <si>
    <t xml:space="preserve">14.16%</t>
  </si>
  <si>
    <t xml:space="preserve">1.2 x 10⁴CFU/g</t>
  </si>
  <si>
    <t xml:space="preserve">3.3 x 10⁴CFU/g</t>
  </si>
  <si>
    <t xml:space="preserve">PURELYPLANT_P050162</t>
  </si>
  <si>
    <t xml:space="preserve">7.93%</t>
  </si>
  <si>
    <t xml:space="preserve">20.29%</t>
  </si>
  <si>
    <t xml:space="preserve">0.085 mg/kg</t>
  </si>
  <si>
    <t xml:space="preserve">2.8 x 10⁴CFU/g</t>
  </si>
  <si>
    <t xml:space="preserve">1.7 x 10⁴CFU/g</t>
  </si>
  <si>
    <t xml:space="preserve">&lt; 10³ and &gt;10² CFU/g</t>
  </si>
  <si>
    <t xml:space="preserve">PURELYPLANT_P050172</t>
  </si>
  <si>
    <t xml:space="preserve">6.63%</t>
  </si>
  <si>
    <t xml:space="preserve">13.9 – 16.4% of the labelled amount</t>
  </si>
  <si>
    <t xml:space="preserve">14.93%</t>
  </si>
  <si>
    <t xml:space="preserve">0.10%</t>
  </si>
  <si>
    <t xml:space="preserve">0.042 mg/kg</t>
  </si>
  <si>
    <t xml:space="preserve">9 x 10³ CFU/g</t>
  </si>
  <si>
    <t xml:space="preserve">6.3 x 10³ CFU/g</t>
  </si>
  <si>
    <t xml:space="preserve">PURELYPLANT_P050182</t>
  </si>
  <si>
    <t xml:space="preserve">7.29%</t>
  </si>
  <si>
    <t xml:space="preserve">20.39%</t>
  </si>
  <si>
    <t xml:space="preserve">0.09%</t>
  </si>
  <si>
    <t xml:space="preserve">0.034 mg/kg</t>
  </si>
  <si>
    <t xml:space="preserve">2.7 x 10⁴CFU/g</t>
  </si>
  <si>
    <t xml:space="preserve">2.6 x 10⁴CFU/g</t>
  </si>
  <si>
    <t xml:space="preserve">PURELYPLANT_P050192</t>
  </si>
  <si>
    <t xml:space="preserve">8.60%</t>
  </si>
  <si>
    <t xml:space="preserve">0.11%</t>
  </si>
  <si>
    <t xml:space="preserve">0.004 mg/kg</t>
  </si>
  <si>
    <t xml:space="preserve">0.024 mg/kg</t>
  </si>
  <si>
    <t xml:space="preserve">0.0036 mg/kg</t>
  </si>
  <si>
    <t xml:space="preserve">0.025 mg/kg</t>
  </si>
  <si>
    <t xml:space="preserve">&lt; 10² and &gt; 10 CFU/g</t>
  </si>
  <si>
    <t xml:space="preserve">PURELYPLANT_P050202</t>
  </si>
  <si>
    <t xml:space="preserve">8.19%</t>
  </si>
  <si>
    <t xml:space="preserve">24.89%</t>
  </si>
  <si>
    <t xml:space="preserve">0.17%</t>
  </si>
  <si>
    <t xml:space="preserve">0.003 mg/kg</t>
  </si>
  <si>
    <t xml:space="preserve">0.04 mg/kg</t>
  </si>
  <si>
    <t xml:space="preserve">0.019 mg/kg</t>
  </si>
  <si>
    <t xml:space="preserve">PURELYPLANT_P050272</t>
  </si>
  <si>
    <t xml:space="preserve">9.52%</t>
  </si>
  <si>
    <t xml:space="preserve">9 – 11.01% of the labelled amount</t>
  </si>
  <si>
    <t xml:space="preserve">10.01%</t>
  </si>
  <si>
    <t xml:space="preserve">N.D</t>
  </si>
  <si>
    <t xml:space="preserve">&lt;2 µg/kg</t>
  </si>
  <si>
    <t xml:space="preserve">0.001 mg/kg</t>
  </si>
  <si>
    <t xml:space="preserve">0.021 mg/kg</t>
  </si>
  <si>
    <t xml:space="preserve">PURELYPLANT_P050282</t>
  </si>
  <si>
    <t xml:space="preserve">9.68%</t>
  </si>
  <si>
    <t xml:space="preserve">7.2– 8.82% of the labelled amount</t>
  </si>
  <si>
    <t xml:space="preserve">8.02%</t>
  </si>
  <si>
    <t xml:space="preserve">2.2 µg/kg</t>
  </si>
  <si>
    <t xml:space="preserve">0.032 mg/kg</t>
  </si>
  <si>
    <t xml:space="preserve">0.013 mg/kg</t>
  </si>
  <si>
    <t xml:space="preserve">PURELYPLANT_P050292</t>
  </si>
  <si>
    <t xml:space="preserve">6.62.%</t>
  </si>
  <si>
    <t xml:space="preserve">19.2 – 23.4% of the labelled amount</t>
  </si>
  <si>
    <t xml:space="preserve">21.36%</t>
  </si>
  <si>
    <t xml:space="preserve">6 x 10³ CFU/g</t>
  </si>
  <si>
    <t xml:space="preserve">6.5 x 10³ CFU/g</t>
  </si>
  <si>
    <t xml:space="preserve">PURELYPLANT_P050302</t>
  </si>
  <si>
    <t xml:space="preserve">7.41%</t>
  </si>
  <si>
    <t xml:space="preserve">17.8 – 21.7% of the labelled amount</t>
  </si>
  <si>
    <t xml:space="preserve">19.81%</t>
  </si>
  <si>
    <t xml:space="preserve">0.0028 mg/kg</t>
  </si>
  <si>
    <t xml:space="preserve">0.017 mg/kg</t>
  </si>
  <si>
    <t xml:space="preserve">0.019mg/kg</t>
  </si>
  <si>
    <t xml:space="preserve">PURELYPLANT_P050312</t>
  </si>
  <si>
    <t xml:space="preserve">6.29%</t>
  </si>
  <si>
    <t xml:space="preserve">19.1 – 23.4% of the labelled amount</t>
  </si>
  <si>
    <t xml:space="preserve">21.29%</t>
  </si>
  <si>
    <t xml:space="preserve">0.014 mg/kg</t>
  </si>
  <si>
    <t xml:space="preserve">0.017mg/kg</t>
  </si>
  <si>
    <t xml:space="preserve">4.3 x 10² CFU/g</t>
  </si>
  <si>
    <t xml:space="preserve">1 x 10³ CFU/g</t>
  </si>
  <si>
    <t xml:space="preserve">PURELYPLANT_P050322</t>
  </si>
  <si>
    <t xml:space="preserve">13.3 – 16.3% of the labelled amount</t>
  </si>
  <si>
    <t xml:space="preserve">14.83%</t>
  </si>
  <si>
    <t xml:space="preserve">0.016 mg/kg</t>
  </si>
  <si>
    <t xml:space="preserve">3.2 x 10³ CFU/g</t>
  </si>
  <si>
    <t xml:space="preserve">5.8 x 10³ CFU/g</t>
  </si>
  <si>
    <t xml:space="preserve">PURELYPLANT_P060012</t>
  </si>
  <si>
    <t xml:space="preserve">7.50%</t>
  </si>
  <si>
    <t xml:space="preserve">19.5 – 23.83% of the labelled amount</t>
  </si>
  <si>
    <t xml:space="preserve">21.67%</t>
  </si>
  <si>
    <t xml:space="preserve">PURELYPLANT_P060022</t>
  </si>
  <si>
    <t xml:space="preserve">7.21%</t>
  </si>
  <si>
    <t xml:space="preserve">22.46 –27.45% of the labelled amount</t>
  </si>
  <si>
    <t xml:space="preserve">24.96%</t>
  </si>
  <si>
    <t xml:space="preserve">0.075 mg/kg</t>
  </si>
  <si>
    <t xml:space="preserve">1.5x10²CFU/g</t>
  </si>
  <si>
    <t xml:space="preserve">1.3x10² CFU/g</t>
  </si>
  <si>
    <t xml:space="preserve">PURELYPLANT_P060032</t>
  </si>
  <si>
    <t xml:space="preserve">7.37%</t>
  </si>
  <si>
    <t xml:space="preserve">18.75 –22.92% of the labelled amount</t>
  </si>
  <si>
    <t xml:space="preserve">20.84%</t>
  </si>
  <si>
    <t xml:space="preserve">N.D. mg/kg</t>
  </si>
  <si>
    <t xml:space="preserve">0.073 mg/kg</t>
  </si>
  <si>
    <t xml:space="preserve">9.5 x10² CFU/g</t>
  </si>
  <si>
    <t xml:space="preserve">1.2 x10³CFU/g</t>
  </si>
  <si>
    <t xml:space="preserve">PURELYPLANT_P060042</t>
  </si>
  <si>
    <t xml:space="preserve">7.85%</t>
  </si>
  <si>
    <t xml:space="preserve">8.48 – 10.37% of the labelled amount</t>
  </si>
  <si>
    <t xml:space="preserve">9.43%</t>
  </si>
  <si>
    <t xml:space="preserve">0.022 mg/kg</t>
  </si>
  <si>
    <t xml:space="preserve">PURELYPLANT_P060052</t>
  </si>
  <si>
    <t xml:space="preserve">6.77%</t>
  </si>
  <si>
    <t xml:space="preserve">15.23 –18.62% of the labelled amount</t>
  </si>
  <si>
    <t xml:space="preserve">16.93%</t>
  </si>
  <si>
    <t xml:space="preserve">0.05 mg/kg</t>
  </si>
  <si>
    <t xml:space="preserve">PURELYPLANT_P060062</t>
  </si>
  <si>
    <t xml:space="preserve">7.97%</t>
  </si>
  <si>
    <t xml:space="preserve">12.65 – 15.46% of the labelled amount</t>
  </si>
  <si>
    <t xml:space="preserve">14.06%</t>
  </si>
  <si>
    <t xml:space="preserve">2 x 10³ CFU/g</t>
  </si>
  <si>
    <t xml:space="preserve">2.2 x 10³CFU/g</t>
  </si>
  <si>
    <t xml:space="preserve">PURELYPLANT_P060072</t>
  </si>
  <si>
    <t xml:space="preserve">7.64%</t>
  </si>
  <si>
    <t xml:space="preserve">20.07 – 24.53% of the labelled amount</t>
  </si>
  <si>
    <t xml:space="preserve">22.30%</t>
  </si>
  <si>
    <t xml:space="preserve">PURELYPLANT_P060082</t>
  </si>
  <si>
    <t xml:space="preserve">8.68%</t>
  </si>
  <si>
    <t xml:space="preserve">9.86 –12.05% of the labelled amount</t>
  </si>
  <si>
    <t xml:space="preserve">10.96%</t>
  </si>
  <si>
    <t xml:space="preserve">0.08 mg/kg</t>
  </si>
  <si>
    <t xml:space="preserve">PURELYPLANT_P060092</t>
  </si>
  <si>
    <t xml:space="preserve">6.91%</t>
  </si>
  <si>
    <t xml:space="preserve">23.15 –28.3% of the labelled amount</t>
  </si>
  <si>
    <t xml:space="preserve">25.73%</t>
  </si>
  <si>
    <t xml:space="preserve">1x10² CFU/g</t>
  </si>
  <si>
    <t xml:space="preserve">&lt;10² and &gt;10 CFU/g</t>
  </si>
  <si>
    <t xml:space="preserve">UKIM_CNP_None</t>
  </si>
  <si>
    <t xml:space="preserve">Губиток при сушење</t>
  </si>
  <si>
    <t xml:space="preserve">≤ 10.00</t>
  </si>
  <si>
    <t xml:space="preserve">7.21</t>
  </si>
  <si>
    <t xml:space="preserve">HPLC метод за определување на содржина на канабиноиди и определување на губиток при сушење според монографија на германската фармакопеја (DAB*) за сув цвет од канабис</t>
  </si>
  <si>
    <t xml:space="preserve">Содржина на CBDA</t>
  </si>
  <si>
    <t xml:space="preserve">0.11</t>
  </si>
  <si>
    <t xml:space="preserve">Содржина на CBD</t>
  </si>
  <si>
    <t xml:space="preserve">Содржина на CBN</t>
  </si>
  <si>
    <t xml:space="preserve">≤ 1.00</t>
  </si>
  <si>
    <t xml:space="preserve">Содржина на Δ9-THC</t>
  </si>
  <si>
    <t xml:space="preserve">0.53</t>
  </si>
  <si>
    <t xml:space="preserve">Содржина на Δ9-THCA</t>
  </si>
  <si>
    <t xml:space="preserve">26.52</t>
  </si>
  <si>
    <t xml:space="preserve">Вкупно CBD***</t>
  </si>
  <si>
    <t xml:space="preserve">0.10</t>
  </si>
  <si>
    <t xml:space="preserve">Вкупно Δ9-THC****</t>
  </si>
  <si>
    <t xml:space="preserve">23.79</t>
  </si>
  <si>
    <t xml:space="preserve">UKIM_CNP_ППК25050</t>
  </si>
  <si>
    <t xml:space="preserve">5.73</t>
  </si>
  <si>
    <t xml:space="preserve">0.05</t>
  </si>
  <si>
    <t xml:space="preserve">0.90</t>
  </si>
  <si>
    <t xml:space="preserve">23.83</t>
  </si>
  <si>
    <t xml:space="preserve">0.04</t>
  </si>
  <si>
    <t xml:space="preserve">21.80</t>
  </si>
  <si>
    <t xml:space="preserve">UKIM_CNP_ППК25051</t>
  </si>
  <si>
    <t xml:space="preserve">5.99</t>
  </si>
  <si>
    <t xml:space="preserve">23.13</t>
  </si>
  <si>
    <t xml:space="preserve">21.03</t>
  </si>
  <si>
    <t xml:space="preserve">UKIM_CNP_ППК25052</t>
  </si>
  <si>
    <t xml:space="preserve">5.91</t>
  </si>
  <si>
    <t xml:space="preserve">0.06</t>
  </si>
  <si>
    <t xml:space="preserve">0.93</t>
  </si>
  <si>
    <t xml:space="preserve">25.16</t>
  </si>
  <si>
    <t xml:space="preserve">23.00</t>
  </si>
  <si>
    <t xml:space="preserve">UKIM_CNP_ППК25104</t>
  </si>
  <si>
    <t xml:space="preserve">7.54</t>
  </si>
  <si>
    <t xml:space="preserve">0.39</t>
  </si>
  <si>
    <t xml:space="preserve">19.19</t>
  </si>
  <si>
    <t xml:space="preserve">17.22</t>
  </si>
  <si>
    <t xml:space="preserve">UKIM_CNP_ППК25105</t>
  </si>
  <si>
    <t xml:space="preserve">6.73</t>
  </si>
  <si>
    <t xml:space="preserve">0.07</t>
  </si>
  <si>
    <t xml:space="preserve">0.47</t>
  </si>
  <si>
    <t xml:space="preserve">23.17</t>
  </si>
  <si>
    <t xml:space="preserve">20.79</t>
  </si>
  <si>
    <t xml:space="preserve">UKIM_CNP_ППК25117</t>
  </si>
  <si>
    <t xml:space="preserve">5.86</t>
  </si>
  <si>
    <t xml:space="preserve">0.46</t>
  </si>
  <si>
    <t xml:space="preserve">17.01</t>
  </si>
  <si>
    <t xml:space="preserve">15.38</t>
  </si>
  <si>
    <t xml:space="preserve">UKIM_CNP_ППК25118</t>
  </si>
  <si>
    <t xml:space="preserve">6.01</t>
  </si>
  <si>
    <t xml:space="preserve">0.03</t>
  </si>
  <si>
    <t xml:space="preserve">20.44</t>
  </si>
  <si>
    <t xml:space="preserve">UKIM_CNP_ППК25140</t>
  </si>
  <si>
    <t xml:space="preserve">6.88</t>
  </si>
  <si>
    <t xml:space="preserve">0.42</t>
  </si>
  <si>
    <t xml:space="preserve">17.70</t>
  </si>
  <si>
    <t xml:space="preserve">15.95</t>
  </si>
  <si>
    <t xml:space="preserve">UKIM_CNP_ППК25174</t>
  </si>
  <si>
    <t xml:space="preserve">6.51</t>
  </si>
  <si>
    <t xml:space="preserve">0.08</t>
  </si>
  <si>
    <t xml:space="preserve">0.92</t>
  </si>
  <si>
    <t xml:space="preserve">25.39</t>
  </si>
  <si>
    <t xml:space="preserve">23.19</t>
  </si>
  <si>
    <t xml:space="preserve">UKIM_CNP_ППК25175</t>
  </si>
  <si>
    <t xml:space="preserve">6.58</t>
  </si>
  <si>
    <t xml:space="preserve">0.09</t>
  </si>
  <si>
    <t xml:space="preserve">0.86</t>
  </si>
  <si>
    <t xml:space="preserve">28.03</t>
  </si>
  <si>
    <t xml:space="preserve">25.45</t>
  </si>
  <si>
    <t xml:space="preserve">UKIM_CNP_ППК25176</t>
  </si>
  <si>
    <t xml:space="preserve">6.38</t>
  </si>
  <si>
    <t xml:space="preserve">0.79</t>
  </si>
  <si>
    <t xml:space="preserve">25.80</t>
  </si>
  <si>
    <t xml:space="preserve">23.42</t>
  </si>
  <si>
    <t xml:space="preserve">UKIM_CNP_ППК25210</t>
  </si>
  <si>
    <t xml:space="preserve">0.48</t>
  </si>
  <si>
    <t xml:space="preserve">18.33</t>
  </si>
  <si>
    <t xml:space="preserve">16.55</t>
  </si>
  <si>
    <t xml:space="preserve">UKIM_CNP_ППК25211</t>
  </si>
  <si>
    <t xml:space="preserve">6.56</t>
  </si>
  <si>
    <t xml:space="preserve">0.58</t>
  </si>
  <si>
    <t xml:space="preserve">18.51</t>
  </si>
  <si>
    <t xml:space="preserve">16.82</t>
  </si>
  <si>
    <t xml:space="preserve">UKIM_CNP_ППК25257</t>
  </si>
  <si>
    <t xml:space="preserve">8.28</t>
  </si>
  <si>
    <t xml:space="preserve">0.37</t>
  </si>
  <si>
    <t xml:space="preserve">15.73</t>
  </si>
  <si>
    <t xml:space="preserve">14.16</t>
  </si>
  <si>
    <t xml:space="preserve">UKIM_CNP_ППК25278</t>
  </si>
  <si>
    <t xml:space="preserve">7.29</t>
  </si>
  <si>
    <t xml:space="preserve">22.22</t>
  </si>
  <si>
    <t xml:space="preserve">20.39</t>
  </si>
  <si>
    <t xml:space="preserve">UKIM_CNP_ППК25279</t>
  </si>
  <si>
    <t xml:space="preserve">7.30</t>
  </si>
  <si>
    <t xml:space="preserve">18.98</t>
  </si>
  <si>
    <t xml:space="preserve">UKIM_CNP_ППК25280</t>
  </si>
  <si>
    <t xml:space="preserve">7.93</t>
  </si>
  <si>
    <t xml:space="preserve">0.76</t>
  </si>
  <si>
    <t xml:space="preserve">22.27</t>
  </si>
  <si>
    <t xml:space="preserve">20.29</t>
  </si>
  <si>
    <t xml:space="preserve">UKIM_CNP_ППК25281</t>
  </si>
  <si>
    <t xml:space="preserve">6.63</t>
  </si>
  <si>
    <t xml:space="preserve">0.12</t>
  </si>
  <si>
    <t xml:space="preserve">0.55</t>
  </si>
  <si>
    <t xml:space="preserve">16.39</t>
  </si>
  <si>
    <t xml:space="preserve">14.93</t>
  </si>
  <si>
    <t xml:space="preserve">UKIM_CNP_ППК25321</t>
  </si>
  <si>
    <t xml:space="preserve">7.77</t>
  </si>
  <si>
    <t xml:space="preserve">23.24</t>
  </si>
  <si>
    <t xml:space="preserve">21.51</t>
  </si>
  <si>
    <t xml:space="preserve">UKIM_CNP_ППК25322</t>
  </si>
  <si>
    <t xml:space="preserve">6.70</t>
  </si>
  <si>
    <t xml:space="preserve">0.16</t>
  </si>
  <si>
    <t xml:space="preserve">0.82</t>
  </si>
  <si>
    <t xml:space="preserve">17.94</t>
  </si>
  <si>
    <t xml:space="preserve">0.14</t>
  </si>
  <si>
    <t xml:space="preserve">16.56</t>
  </si>
  <si>
    <t xml:space="preserve">UKIM_CNP_ППК25367</t>
  </si>
  <si>
    <t xml:space="preserve">8.22</t>
  </si>
  <si>
    <t xml:space="preserve">0.72</t>
  </si>
  <si>
    <t xml:space="preserve">26.20</t>
  </si>
  <si>
    <t xml:space="preserve">23.70</t>
  </si>
  <si>
    <t xml:space="preserve">UKIM_CNP_ППК25368</t>
  </si>
  <si>
    <t xml:space="preserve">9.52</t>
  </si>
  <si>
    <t xml:space="preserve">10.93</t>
  </si>
  <si>
    <t xml:space="preserve">10.01</t>
  </si>
  <si>
    <t xml:space="preserve">UKIM_CNP_ППК25369</t>
  </si>
  <si>
    <t xml:space="preserve">8.94</t>
  </si>
  <si>
    <t xml:space="preserve">1.13</t>
  </si>
  <si>
    <t xml:space="preserve">23.92</t>
  </si>
  <si>
    <t xml:space="preserve">22.11</t>
  </si>
  <si>
    <t xml:space="preserve">UKIM_CNP_ППК25370</t>
  </si>
  <si>
    <t xml:space="preserve">9.68</t>
  </si>
  <si>
    <t xml:space="preserve">0.33</t>
  </si>
  <si>
    <t xml:space="preserve">8.76</t>
  </si>
  <si>
    <t xml:space="preserve">8.02</t>
  </si>
  <si>
    <t xml:space="preserve">UKIM_CNP_ППК25378</t>
  </si>
  <si>
    <t xml:space="preserve">≤ 10.00 %</t>
  </si>
  <si>
    <t xml:space="preserve">6.62 %</t>
  </si>
  <si>
    <t xml:space="preserve">HPLC метод за определување на содржина на канабиноиди (2.2.29) и определување на губиток при сушење (2.2.32) според монографија на германската фармакопеја (DAB*) за сув цвет од канабис</t>
  </si>
  <si>
    <t xml:space="preserve">0.12 %</t>
  </si>
  <si>
    <t xml:space="preserve">≤ 1.00 %</t>
  </si>
  <si>
    <t xml:space="preserve">0.02 %</t>
  </si>
  <si>
    <t xml:space="preserve">0.98 %</t>
  </si>
  <si>
    <t xml:space="preserve">23.24 %</t>
  </si>
  <si>
    <t xml:space="preserve">Вкупно CBD**</t>
  </si>
  <si>
    <t xml:space="preserve">0.11 %</t>
  </si>
  <si>
    <t xml:space="preserve">Вкупно Δ9-THC***</t>
  </si>
  <si>
    <t xml:space="preserve">21.36 %</t>
  </si>
  <si>
    <t xml:space="preserve">UKIM_CNP_ППК25379</t>
  </si>
  <si>
    <t xml:space="preserve">7.41 %</t>
  </si>
  <si>
    <t xml:space="preserve">0.03 %</t>
  </si>
  <si>
    <t xml:space="preserve">1.07 %</t>
  </si>
  <si>
    <t xml:space="preserve">21.37 %</t>
  </si>
  <si>
    <t xml:space="preserve">0.10 %</t>
  </si>
  <si>
    <t xml:space="preserve">19.81 %</t>
  </si>
  <si>
    <t xml:space="preserve">UKIM_CNP_ППК25380</t>
  </si>
  <si>
    <t xml:space="preserve">6.29 %</t>
  </si>
  <si>
    <t xml:space="preserve">0.09 %</t>
  </si>
  <si>
    <t xml:space="preserve">1.14 %</t>
  </si>
  <si>
    <t xml:space="preserve">22.98 %</t>
  </si>
  <si>
    <t xml:space="preserve">0.08 %</t>
  </si>
  <si>
    <t xml:space="preserve">21.29 %</t>
  </si>
  <si>
    <t xml:space="preserve">UKIM_CNP_ППК25381</t>
  </si>
  <si>
    <t xml:space="preserve">6.88 %</t>
  </si>
  <si>
    <t xml:space="preserve">0.84 %</t>
  </si>
  <si>
    <t xml:space="preserve">15.95 %</t>
  </si>
  <si>
    <t xml:space="preserve">14.83 %</t>
  </si>
  <si>
    <t xml:space="preserve">UKIM_CNP_ППК26001</t>
  </si>
  <si>
    <t xml:space="preserve">7.50 %</t>
  </si>
  <si>
    <t xml:space="preserve">Определување на губиток со сушење (2.2.32) и содржина на канабиноиди (2.2.29) според монографија на германската фармакопеја (DAB*) за сув цвет од канабис</t>
  </si>
  <si>
    <t xml:space="preserve">0.68 %</t>
  </si>
  <si>
    <t xml:space="preserve">23.93 %</t>
  </si>
  <si>
    <t xml:space="preserve">21.67 %</t>
  </si>
  <si>
    <t xml:space="preserve">UKIM_CNP_ППК26002</t>
  </si>
  <si>
    <t xml:space="preserve">7.21 %</t>
  </si>
  <si>
    <t xml:space="preserve">0.59 %</t>
  </si>
  <si>
    <t xml:space="preserve">27.79 %</t>
  </si>
  <si>
    <t xml:space="preserve">24.96 %</t>
  </si>
  <si>
    <t xml:space="preserve">UKIM_CNP_ППК26003</t>
  </si>
  <si>
    <t xml:space="preserve">7.37 %</t>
  </si>
  <si>
    <t xml:space="preserve">0.86 %</t>
  </si>
  <si>
    <t xml:space="preserve">22.78 %</t>
  </si>
  <si>
    <t xml:space="preserve">20.84 %</t>
  </si>
  <si>
    <t xml:space="preserve">UKIM_CNP_ППК26004</t>
  </si>
  <si>
    <t xml:space="preserve">7.97 %</t>
  </si>
  <si>
    <t xml:space="preserve">0.06 %</t>
  </si>
  <si>
    <t xml:space="preserve">0.38 %</t>
  </si>
  <si>
    <t xml:space="preserve">15.59 %</t>
  </si>
  <si>
    <t xml:space="preserve">0.05 %</t>
  </si>
  <si>
    <t xml:space="preserve">14.06 %</t>
  </si>
  <si>
    <t xml:space="preserve">UKIM_CNP_ППК26005</t>
  </si>
  <si>
    <t xml:space="preserve">6.77 %</t>
  </si>
  <si>
    <t xml:space="preserve">0.48 %</t>
  </si>
  <si>
    <t xml:space="preserve">18.77 %</t>
  </si>
  <si>
    <t xml:space="preserve">0.07 %</t>
  </si>
  <si>
    <t xml:space="preserve">16.93 %</t>
  </si>
  <si>
    <t xml:space="preserve">UKIM_CNP_ППК26006</t>
  </si>
  <si>
    <t xml:space="preserve">8.68 %</t>
  </si>
  <si>
    <t xml:space="preserve">0.35 %</t>
  </si>
  <si>
    <t xml:space="preserve">12.10 %</t>
  </si>
  <si>
    <t xml:space="preserve">10.96 %</t>
  </si>
  <si>
    <t xml:space="preserve">UKIM_CNP_ППК26007</t>
  </si>
  <si>
    <t xml:space="preserve">7.64 %</t>
  </si>
  <si>
    <t xml:space="preserve">0.65 %</t>
  </si>
  <si>
    <t xml:space="preserve">24.69 %</t>
  </si>
  <si>
    <t xml:space="preserve">22.30 %</t>
  </si>
  <si>
    <t xml:space="preserve">UKIM_CNP_ППК26008</t>
  </si>
  <si>
    <t xml:space="preserve">7.85 %</t>
  </si>
  <si>
    <t xml:space="preserve">0.26 %</t>
  </si>
  <si>
    <t xml:space="preserve">10.45 %</t>
  </si>
  <si>
    <t xml:space="preserve">0.04 %</t>
  </si>
  <si>
    <t xml:space="preserve">9.43 %</t>
  </si>
  <si>
    <t xml:space="preserve">UKIM_CNP_ППК26009</t>
  </si>
  <si>
    <t xml:space="preserve">6.91 %</t>
  </si>
  <si>
    <t xml:space="preserve">1.08 %</t>
  </si>
  <si>
    <t xml:space="preserve">28.11 %</t>
  </si>
  <si>
    <t xml:space="preserve">25.73 %</t>
  </si>
  <si>
    <t xml:space="preserve">UKIM_CNP_ППК26030</t>
  </si>
  <si>
    <t xml:space="preserve">8.61 %</t>
  </si>
  <si>
    <t xml:space="preserve">0.01 %</t>
  </si>
  <si>
    <t xml:space="preserve">0.41 %</t>
  </si>
  <si>
    <t xml:space="preserve">14.73 %</t>
  </si>
  <si>
    <t xml:space="preserve">13.33 %</t>
  </si>
  <si>
    <t xml:space="preserve">UKIM_CNP_ППК26031</t>
  </si>
  <si>
    <t xml:space="preserve">8.06 %</t>
  </si>
  <si>
    <t xml:space="preserve">0.20 %</t>
  </si>
  <si>
    <t xml:space="preserve">8.89 %</t>
  </si>
  <si>
    <t xml:space="preserve">8.00 %</t>
  </si>
  <si>
    <t xml:space="preserve">UKIM_CNP_ППК26032</t>
  </si>
  <si>
    <t xml:space="preserve">6.32 %</t>
  </si>
  <si>
    <t xml:space="preserve">0.23 %</t>
  </si>
  <si>
    <t xml:space="preserve">12.23 %</t>
  </si>
  <si>
    <t xml:space="preserve">10.34 %</t>
  </si>
  <si>
    <t xml:space="preserve">21.31 %</t>
  </si>
  <si>
    <t xml:space="preserve">UKIM_CNP_ППК26033</t>
  </si>
  <si>
    <t xml:space="preserve">5.84 %</t>
  </si>
  <si>
    <t xml:space="preserve">2.35 %</t>
  </si>
  <si>
    <t xml:space="preserve">13.16 %</t>
  </si>
  <si>
    <t xml:space="preserve">UKIM_CNP_ППК26034</t>
  </si>
  <si>
    <t xml:space="preserve">5.92 %</t>
  </si>
  <si>
    <t xml:space="preserve">9.97 %</t>
  </si>
  <si>
    <t xml:space="preserve">16.70 %</t>
  </si>
  <si>
    <t xml:space="preserve">24.62 %</t>
  </si>
  <si>
    <t xml:space="preserve">UKIM_CNP_ППК26035</t>
  </si>
  <si>
    <t xml:space="preserve">5.52 %</t>
  </si>
  <si>
    <t xml:space="preserve">2.15 %</t>
  </si>
  <si>
    <t xml:space="preserve">14.98 %</t>
  </si>
  <si>
    <t xml:space="preserve">14.99 %</t>
  </si>
  <si>
    <t xml:space="preserve">UKIM_CNP_ППК26036</t>
  </si>
  <si>
    <t xml:space="preserve">5.83 %</t>
  </si>
  <si>
    <t xml:space="preserve">7.90 %</t>
  </si>
  <si>
    <t xml:space="preserve">17.03 %</t>
  </si>
  <si>
    <t xml:space="preserve">22.83 %</t>
  </si>
  <si>
    <t xml:space="preserve">UKIM_CNP_ППК26037</t>
  </si>
  <si>
    <t xml:space="preserve">5.38 %</t>
  </si>
  <si>
    <t xml:space="preserve">1.09 %</t>
  </si>
  <si>
    <t xml:space="preserve">18.47 %</t>
  </si>
  <si>
    <t xml:space="preserve">0.17 %</t>
  </si>
  <si>
    <t xml:space="preserve">18.62 %</t>
  </si>
  <si>
    <t xml:space="preserve">UKIM_CNP_ППК26057</t>
  </si>
  <si>
    <t xml:space="preserve">6.85 %</t>
  </si>
  <si>
    <t xml:space="preserve">13.49 %</t>
  </si>
  <si>
    <t xml:space="preserve">12.57 %</t>
  </si>
  <si>
    <t xml:space="preserve">24.51 %</t>
  </si>
  <si>
    <t xml:space="preserve">UKIM_CNP_ППК26058</t>
  </si>
  <si>
    <t xml:space="preserve">6.60 %</t>
  </si>
  <si>
    <t xml:space="preserve">2.05 %</t>
  </si>
  <si>
    <t xml:space="preserve">16.99 %</t>
  </si>
  <si>
    <t xml:space="preserve">17.05 %</t>
  </si>
  <si>
    <t xml:space="preserve">UKIM_CNP_ППК26059</t>
  </si>
  <si>
    <t xml:space="preserve">0.30 %</t>
  </si>
  <si>
    <t xml:space="preserve">11.49 %</t>
  </si>
  <si>
    <t xml:space="preserve">13.22 %</t>
  </si>
  <si>
    <t xml:space="preserve">23.08 %</t>
  </si>
  <si>
    <t xml:space="preserve">UKIM_CNP_ППК26060</t>
  </si>
  <si>
    <t xml:space="preserve">Губиток со сушење</t>
  </si>
  <si>
    <t xml:space="preserve">7.07 %</t>
  </si>
  <si>
    <t xml:space="preserve">15.14 %</t>
  </si>
  <si>
    <t xml:space="preserve">12.36 %</t>
  </si>
  <si>
    <t xml:space="preserve">25.98 %</t>
  </si>
  <si>
    <t xml:space="preserve">UKIM_CNP_ППК26061</t>
  </si>
  <si>
    <t xml:space="preserve">6.31 %</t>
  </si>
  <si>
    <t xml:space="preserve">0.33 %</t>
  </si>
  <si>
    <t xml:space="preserve">20.08 %</t>
  </si>
  <si>
    <t xml:space="preserve">17.94 %</t>
  </si>
  <si>
    <t xml:space="preserve">UKIM_CNP_ППК26062</t>
  </si>
  <si>
    <t xml:space="preserve">6.13 %</t>
  </si>
  <si>
    <t xml:space="preserve">0.29 %</t>
  </si>
  <si>
    <t xml:space="preserve">17.17 %</t>
  </si>
  <si>
    <t xml:space="preserve">15.35 %</t>
  </si>
  <si>
    <t xml:space="preserve">UKIM_CNP_ППК26063</t>
  </si>
  <si>
    <t xml:space="preserve">6.69 %</t>
  </si>
  <si>
    <t xml:space="preserve">0.58 %</t>
  </si>
  <si>
    <t xml:space="preserve">21.74 %</t>
  </si>
  <si>
    <t xml:space="preserve">19.64 %</t>
  </si>
  <si>
    <t xml:space="preserve">UKIM_CNP_ППК26064</t>
  </si>
  <si>
    <t xml:space="preserve">6.68 %</t>
  </si>
  <si>
    <t xml:space="preserve">0.52 %</t>
  </si>
  <si>
    <t xml:space="preserve">20.12 %</t>
  </si>
  <si>
    <t xml:space="preserve">18.16 %</t>
  </si>
  <si>
    <t xml:space="preserve">UKIM_CNP_ППК26065</t>
  </si>
  <si>
    <t xml:space="preserve">6.38 %</t>
  </si>
  <si>
    <t xml:space="preserve">1.18 %</t>
  </si>
  <si>
    <t xml:space="preserve">14.54 %</t>
  </si>
  <si>
    <t xml:space="preserve">13.93 %</t>
  </si>
  <si>
    <t xml:space="preserve">UKIM_CNP_ППК26066</t>
  </si>
  <si>
    <t xml:space="preserve">6.09 %</t>
  </si>
  <si>
    <t xml:space="preserve">0.82 %</t>
  </si>
  <si>
    <t xml:space="preserve">18.09 %</t>
  </si>
  <si>
    <t xml:space="preserve">16.69 %</t>
  </si>
  <si>
    <t xml:space="preserve">UKIM_CNP_ППК26067</t>
  </si>
  <si>
    <t xml:space="preserve">7.67 %</t>
  </si>
  <si>
    <t xml:space="preserve">0.56 %</t>
  </si>
  <si>
    <t xml:space="preserve">16.10 %</t>
  </si>
  <si>
    <t xml:space="preserve">14.68 %</t>
  </si>
  <si>
    <t xml:space="preserve">UKIM_CNP_ППК26068</t>
  </si>
  <si>
    <t xml:space="preserve">7.39 %</t>
  </si>
  <si>
    <t xml:space="preserve">0.46 %</t>
  </si>
  <si>
    <t xml:space="preserve">14.70 %</t>
  </si>
  <si>
    <t xml:space="preserve">13.35 %</t>
  </si>
  <si>
    <t xml:space="preserve">UKIM_CNP_ППК26069</t>
  </si>
  <si>
    <t xml:space="preserve">6.84 %</t>
  </si>
  <si>
    <t xml:space="preserve">0.64 %</t>
  </si>
  <si>
    <t xml:space="preserve">18.80 %</t>
  </si>
  <si>
    <t xml:space="preserve">17.13 %</t>
  </si>
  <si>
    <t xml:space="preserve">UKIM_CNP_ППК26110</t>
  </si>
  <si>
    <t xml:space="preserve">Идентификација
• Макроскопија
• Микроскопија</t>
  </si>
  <si>
    <t xml:space="preserve">Согласно монографија за Cannabis flos (07/2024:3028) во Ph.Eur. 11.0</t>
  </si>
  <si>
    <t xml:space="preserve">Одговара
Одговара</t>
  </si>
  <si>
    <t xml:space="preserve">Идентификација (2.8.23), определување на страни материи (2.8.2), губиток со сушење (2.2.32) и содржина на канабиноиди (2.2.29) во цвет од канабис согласно монографијата (07/2024:3028) во Европската фармакопеја (Ph. Eur. 11.5)</t>
  </si>
  <si>
    <t xml:space="preserve">Страни материи</t>
  </si>
  <si>
    <t xml:space="preserve">макс. 2.00 %
(без присуство на семе и листови подолги од 1 cm)</t>
  </si>
  <si>
    <t xml:space="preserve">/
(Одговара)</t>
  </si>
  <si>
    <t xml:space="preserve">макс. 12.00 %</t>
  </si>
  <si>
    <t xml:space="preserve">6.36 %</t>
  </si>
  <si>
    <t xml:space="preserve">Содржина на канабиноиди
• Вкупно CBN*
• Вкупно CBD* (изразено на CBD)
• Вкупно Δ9-THC* (изразено на Δ⁹-THC)</t>
  </si>
  <si>
    <t xml:space="preserve">макс. 1.00 %
макс. 1.00 %
мин. 5.00 %</t>
  </si>
  <si>
    <t xml:space="preserve">0.06 %
0.16 %
18.29 %</t>
  </si>
  <si>
    <t xml:space="preserve">UKIM_CNP_ППК26111</t>
  </si>
  <si>
    <t xml:space="preserve">7.04 %</t>
  </si>
  <si>
    <t xml:space="preserve">Содржина на канабиноиди
• Вкупно CBN*
• Вкупно CBD* (изразено на CBD)
• Вкупно Δ9-THC* (изразено на Δ9-THC)</t>
  </si>
  <si>
    <t xml:space="preserve">0.04 %
BLQ
15.16 %</t>
  </si>
  <si>
    <t xml:space="preserve">UKIM_CNP_ППК26112</t>
  </si>
  <si>
    <t xml:space="preserve">Идентификација – Макроскопија</t>
  </si>
  <si>
    <t xml:space="preserve">Идентификација – Микроскопија</t>
  </si>
  <si>
    <t xml:space="preserve">макс. 2.00 % (без присуство на семе и листови подолги од 1 cm)</t>
  </si>
  <si>
    <t xml:space="preserve">/ (Одговара)</t>
  </si>
  <si>
    <t xml:space="preserve">Содржина на канабиноиди – Вкупно CBN*</t>
  </si>
  <si>
    <t xml:space="preserve">макс. 1.00 %</t>
  </si>
  <si>
    <t xml:space="preserve">Содржина на канабиноиди – Вкупно CBD* (изразено на CBD)</t>
  </si>
  <si>
    <t xml:space="preserve">0.21 %</t>
  </si>
  <si>
    <t xml:space="preserve">Содржина на канабиноиди – Вкупно Δ9-THC* (изразено на Δ9-THC)</t>
  </si>
  <si>
    <t xml:space="preserve">мин. 5.00 %</t>
  </si>
  <si>
    <t xml:space="preserve">20.83 %</t>
  </si>
  <si>
    <t xml:space="preserve">UKIM_CNP_ППК26113</t>
  </si>
  <si>
    <t xml:space="preserve">7.52 %</t>
  </si>
  <si>
    <t xml:space="preserve">0.05 %
0.05 %
20.54 %</t>
  </si>
  <si>
    <t xml:space="preserve">UKIM_CNP_ППК26114</t>
  </si>
  <si>
    <t xml:space="preserve">0.09 % (Одговара)</t>
  </si>
  <si>
    <t xml:space="preserve">6.48 %</t>
  </si>
  <si>
    <t xml:space="preserve">0.15 %</t>
  </si>
  <si>
    <t xml:space="preserve">17.59 %</t>
  </si>
  <si>
    <t xml:space="preserve">UKIM_CNP_ППК26115</t>
  </si>
  <si>
    <t xml:space="preserve">7.73 %</t>
  </si>
  <si>
    <t xml:space="preserve">0.05 %
BLQ
18.58 %</t>
  </si>
  <si>
    <t xml:space="preserve">UKIM_CNP_ППК26116</t>
  </si>
  <si>
    <t xml:space="preserve">Согласно монографија за Cannabis flos (07/2024:3028) во Ph.Eur. 11.5</t>
  </si>
  <si>
    <t xml:space="preserve">7.06 %</t>
  </si>
  <si>
    <t xml:space="preserve">0.06 %
0.19 %
21.92 %</t>
  </si>
  <si>
    <t xml:space="preserve">UKIM_CNP_ППК26117</t>
  </si>
  <si>
    <t xml:space="preserve">0.42%
(Одговара)</t>
  </si>
  <si>
    <t xml:space="preserve">0.09 %
0.15 %
26.32 %</t>
  </si>
  <si>
    <t xml:space="preserve">UKIM_CNP_ППК26118</t>
  </si>
  <si>
    <t xml:space="preserve">6.67 %</t>
  </si>
  <si>
    <t xml:space="preserve">25.72 %</t>
  </si>
  <si>
    <t xml:space="preserve">UKIM_CNP_ППК26119</t>
  </si>
  <si>
    <t xml:space="preserve">6.78 %</t>
  </si>
  <si>
    <t xml:space="preserve">0.08 %
0.06 %
24.78 %</t>
  </si>
  <si>
    <t xml:space="preserve">UKIM_CNP_ППК26127</t>
  </si>
  <si>
    <t xml:space="preserve">0.08% (Не одговара)</t>
  </si>
  <si>
    <t xml:space="preserve">7.77 %</t>
  </si>
  <si>
    <t xml:space="preserve">12.39 %</t>
  </si>
  <si>
    <t xml:space="preserve">UKIM_CNP_ППК26128</t>
  </si>
  <si>
    <t xml:space="preserve">7.88 %</t>
  </si>
  <si>
    <t xml:space="preserve">0.04 %
0.25%
18.98 %</t>
  </si>
  <si>
    <t xml:space="preserve">UNKNOWN_None</t>
  </si>
  <si>
    <t xml:space="preserve">Sample name: THC Dominant Dry cannabis flower | Batch no.: BSS052501 - Blue Sunset Sherbet - | handwritten in Cyrillic and Latin script: "Сув цвет од медицински канабис / Blue Sunset Sherbet / BSS 05 25 01" | weighing IDs DSD ID 5363 (sample A1) and DSD ID 5364 (sample A2) | reference standard batch numbers 32461 (Δ⁹-THC), 33027 (CBD), 33028 (CBN), 36322 (CBDA), 36999 (THCA)</t>
  </si>
  <si>
    <t xml:space="preserve">PAGE TRIAGE: Internal manufacturer QC worksheet - "Analysis Test Report for cannabinoid content according DAB - in-process controls, intermediate products" (NEW GARDEN PHARMA form NGP/QCG/SOP-024, Version 02, Форма 3: NGP/QCG/SOP-024-Ver02 F3-Ver.02), with a Sartorius balance weighing tape taped to the sheet and handwritten sample annotation</t>
  </si>
  <si>
    <t xml:space="preserve">Manufacturer's own in-process cannabinoid assay worksheet for batch BSS052501. Records duplicate weighings S1 505.91 mg / S2 501.95 mg with dry masses 462.40 mg and 458.78 mg, average LOD 8.60%, sample preparation ~500 mg/50 mL ethanol with a 1 mL/10 mL dilution, and five reference solutions (Δ⁹-THC, CBD, CBN, CBDA, THCA) each with six peak areas and calculated concentrations. Reported cannabinoid content across four injections (S1-1, S1-2, S2-1, S2-2) averages CBD 0.05%, CBN 0.01%, d9-THC 0.96%, CBDA 0.06%, THCA 22.16% (w/w), giving Total THC 20.39% (w/w) and Total CBD 0.11% (w/w). A pasted Sartorius MCA125P-2CEU-U (ser. no. 0046003360) printout evidences the weighings, and the calculation formulae for each cannabinoid are printed alongside. Signed in the QC Analyst(s), Excel calculation by and Checked by fields.</t>
  </si>
  <si>
    <t xml:space="preserve">Severity</t>
  </si>
  <si>
    <t xml:space="preserve">Finding category</t>
  </si>
  <si>
    <t xml:space="preserve">Source file</t>
  </si>
  <si>
    <t xml:space="preserve">Description (verbatim transcription remark)</t>
  </si>
  <si>
    <t xml:space="preserve">CRITICAL</t>
  </si>
  <si>
    <t xml:space="preserve">incomplete certificate – pages missing from file</t>
  </si>
  <si>
    <t xml:space="preserve">ImB_COAs/J31122501 - Trimiran cvet.pdf</t>
  </si>
  <si>
    <t xml:space="preserve">Only 3 of 4 declared pages are present in the PDF.</t>
  </si>
  <si>
    <t xml:space="preserve">missing page</t>
  </si>
  <si>
    <t xml:space="preserve">ImB_COAs/OPM052501 (P050132) 3.pdf</t>
  </si>
  <si>
    <t xml:space="preserve">ImB_COAs/BSS1024 3.pdf</t>
  </si>
  <si>
    <t xml:space="preserve">missing page; date inconsistency</t>
  </si>
  <si>
    <t xml:space="preserve">ImB_COAs/GP0824_03 (P050072) 3.pdf</t>
  </si>
  <si>
    <t xml:space="preserve">missing page; date inconsistency; scan quality</t>
  </si>
  <si>
    <t xml:space="preserve">ImB_COAs/HPA1024_01 (P050052) 3.pdf</t>
  </si>
  <si>
    <t xml:space="preserve">missing page; date inconsistency; signature / approval defect</t>
  </si>
  <si>
    <t xml:space="preserve">ImB_COAs/GP052501 (P050152) 3 (1).pdf</t>
  </si>
  <si>
    <t xml:space="preserve">missing page; signature / approval defect</t>
  </si>
  <si>
    <t xml:space="preserve">ImB_COAs/CJ052501-2 (P050172) 3.pdf</t>
  </si>
  <si>
    <t xml:space="preserve">ImB_COAs/GP072501-1 (P050292) 3.pdf</t>
  </si>
  <si>
    <t xml:space="preserve">out of specification</t>
  </si>
  <si>
    <t xml:space="preserve">ImB_COAs/051-1-GS-26 Pjureli Plant.pdf</t>
  </si>
  <si>
    <t xml:space="preserve">ImB_COAs/051-3-K-26 Pjureli Plant.pdf</t>
  </si>
  <si>
    <t xml:space="preserve">ImB_COAs/HPA052501(P050182) 3.pdf</t>
  </si>
  <si>
    <t xml:space="preserve">ImB_COAs/ППК26033.pdf</t>
  </si>
  <si>
    <t xml:space="preserve">ImB_COAs/ППК26058.pdf</t>
  </si>
  <si>
    <t xml:space="preserve">out of specification; date inconsistency</t>
  </si>
  <si>
    <t xml:space="preserve">ImB_COAs/CJ0602501-2 (P050212) 3.pdf</t>
  </si>
  <si>
    <t xml:space="preserve">ImB_COAs/CJ1024 3.pdf</t>
  </si>
  <si>
    <t xml:space="preserve">out of specification; date inconsistency; form / version inconsistency</t>
  </si>
  <si>
    <t xml:space="preserve">out of specification; date inconsistency; identity mismatch</t>
  </si>
  <si>
    <t xml:space="preserve">ImB_COAs/CJ082501-2 (P060032) 3.pdf</t>
  </si>
  <si>
    <t xml:space="preserve">ImB_COAs/CJ082501-1 (P060022) 1.pdf</t>
  </si>
  <si>
    <t xml:space="preserve">out of specification; form / version inconsistency</t>
  </si>
  <si>
    <t xml:space="preserve">out of specification; identity mismatch</t>
  </si>
  <si>
    <t xml:space="preserve">ImB_COAs/051-2-GS-26 Pjureli Plant.pdf</t>
  </si>
  <si>
    <t xml:space="preserve">ImB_COAs/051-5-GS-26 Pjureli Plant.pdf</t>
  </si>
  <si>
    <t xml:space="preserve">ImB_COAs/051-6-GS-26 Pjureli Plant.pdf</t>
  </si>
  <si>
    <t xml:space="preserve">ImB_COAs/100-3-GS-26 Pjureli Plant.pdf</t>
  </si>
  <si>
    <t xml:space="preserve">ImB_COAs/CJ072501 (P050252) 3 (1).pdf</t>
  </si>
  <si>
    <t xml:space="preserve">ImB_COAs/GG1024_01 (P050092) 3.pdf</t>
  </si>
  <si>
    <t xml:space="preserve">ImB_COAs/GG1024_02 (P050012) 3.pdf</t>
  </si>
  <si>
    <t xml:space="preserve">ImB_COAs/CJ052501-1 (P050162) 3.pdf</t>
  </si>
  <si>
    <t xml:space="preserve">out of specification; identity mismatch; form / version inconsistency</t>
  </si>
  <si>
    <t xml:space="preserve">out of specification; identity mismatch; form / version inconsistency; scan quality</t>
  </si>
  <si>
    <t xml:space="preserve">out of specification; identity mismatch; pharmacopoeia reference inconsistency; form / version inconsistency</t>
  </si>
  <si>
    <t xml:space="preserve">ImB_COAs/PM072501 (P050272) 3.pdf</t>
  </si>
  <si>
    <t xml:space="preserve">out of specification; identity mismatch; scan quality</t>
  </si>
  <si>
    <t xml:space="preserve">out of specification; missing page; date inconsistency</t>
  </si>
  <si>
    <t xml:space="preserve">ImB_COAs/GP062501 (P050202) 3.pdf</t>
  </si>
  <si>
    <t xml:space="preserve">out of specification; missing page; form / version inconsistency; scan quality</t>
  </si>
  <si>
    <t xml:space="preserve">out of specification; missing page; signature / approval defect</t>
  </si>
  <si>
    <t xml:space="preserve">out of specification; pharmacopoeia reference inconsistency</t>
  </si>
  <si>
    <t xml:space="preserve">ImB_COAs/ППК26127-ФИНАЛЕН.pdf</t>
  </si>
  <si>
    <t xml:space="preserve">out of specification; scan quality</t>
  </si>
  <si>
    <t xml:space="preserve">ImB_COAs/MB0824_04 (P050032) 3.pdf</t>
  </si>
  <si>
    <t xml:space="preserve">out of specification; signature / approval defect; scan quality</t>
  </si>
  <si>
    <t xml:space="preserve">ImB_COAs/MB0824_05 (P050112) 3.pdf</t>
  </si>
  <si>
    <t xml:space="preserve">wrong client</t>
  </si>
  <si>
    <t xml:space="preserve">ImB_COAs/BSS052501 (P050192) 3.pdf</t>
  </si>
  <si>
    <t xml:space="preserve">wrong client; missing page; signature / approval defect; scan quality</t>
  </si>
  <si>
    <t xml:space="preserve">ImB_COAs/CLE072501 (P050282) 3.pdf</t>
  </si>
  <si>
    <t xml:space="preserve">wrong client; out of specification; date inconsistency; form / version inconsistency</t>
  </si>
  <si>
    <t xml:space="preserve">wrong client; out of specification; date inconsistency; identity mismatch; form / version inconsistency</t>
  </si>
  <si>
    <t xml:space="preserve">wrong client; signature / approval defect; identity mismatch</t>
  </si>
  <si>
    <t xml:space="preserve">ImB_COAs/WC072501 (P050262) 3 (1).pdf</t>
  </si>
  <si>
    <t xml:space="preserve">ImB_COAs/GP072501-2 (P050302) 3.pdf</t>
  </si>
  <si>
    <t xml:space="preserve">MAJOR</t>
  </si>
  <si>
    <t xml:space="preserve">blank page in scanned bundle</t>
  </si>
  <si>
    <t xml:space="preserve">-</t>
  </si>
  <si>
    <t xml:space="preserve">Page(s) [1] of 6 are blank (no ink, no text).</t>
  </si>
  <si>
    <t xml:space="preserve">ImB_COAs/GP0824_01 (P050102) 3.pdf</t>
  </si>
  <si>
    <t xml:space="preserve">Page(s) [1] of 7 are blank (no ink, no text).</t>
  </si>
  <si>
    <t xml:space="preserve">ImB_COAs/GP0824_02 - (samo rezultat bez sertifikat) 2.pdf</t>
  </si>
  <si>
    <t xml:space="preserve">ImB_COAs/OPM1024_01(P050042) 3.pdf</t>
  </si>
  <si>
    <t xml:space="preserve">ImB_QC_COAs/P050012 (GG1024_02)/GG1024_02 (P050012) 3.pdf</t>
  </si>
  <si>
    <t xml:space="preserve">ImB_QC_COAs/P050022 (GP0824_02)/GP0824_02 - (samo rezultat bez sertifikat) 2.pdf</t>
  </si>
  <si>
    <t xml:space="preserve">ImB_QC_COAs/P050032 (MB0824_04)/MB0824_04 (P050032) 3.pdf</t>
  </si>
  <si>
    <t xml:space="preserve">ImB_QC_COAs/P050042 (OPM1024_01)/OPM1024_01(P050042) 3.pdf</t>
  </si>
  <si>
    <t xml:space="preserve">ImB_QC_COAs/P050092 (GG1024_01)/GG1024_01 (P050092) 3.pdf</t>
  </si>
  <si>
    <t xml:space="preserve">ImB_QC_COAs/P050102 (GP0824_01)/GP0824_01 (P050102) 3.pdf</t>
  </si>
  <si>
    <t xml:space="preserve">date inconsistency</t>
  </si>
  <si>
    <t xml:space="preserve">ImB_COAs/197-10-M-26 Pjureli Plant.pdf</t>
  </si>
  <si>
    <t xml:space="preserve">ImB_COAs/197-11-M-26 Pjureli Plant.pdf</t>
  </si>
  <si>
    <t xml:space="preserve">ImB_COAs/197-16-M-26 Pjureli Plant.pdf</t>
  </si>
  <si>
    <t xml:space="preserve">ImB_COAs/197-17-M-26 Pjureli Plant.pdf</t>
  </si>
  <si>
    <t xml:space="preserve">ImB_COAs/197-19-M-26 Pjureli Plant.pdf</t>
  </si>
  <si>
    <t xml:space="preserve">ImB_COAs/197-21-M-26 Pjureli Plant.pdf</t>
  </si>
  <si>
    <t xml:space="preserve">ImB_COAs/197-8-M-26 Pjureli Plant.pdf</t>
  </si>
  <si>
    <t xml:space="preserve">ImB_COAs/197-9-M-26 Pjureli Plant.pdf</t>
  </si>
  <si>
    <t xml:space="preserve">ImB_COAs/GP0824_02 (P050022) 3.pdf</t>
  </si>
  <si>
    <t xml:space="preserve">ImB_COAs/GP082501-2 (P050322) 3.pdf</t>
  </si>
  <si>
    <t xml:space="preserve">ImB_COAs/CJ092501 (P060072) 3.pdf</t>
  </si>
  <si>
    <t xml:space="preserve">ImB_COAs/OPM092501 (P060042) 3.pdf</t>
  </si>
  <si>
    <t xml:space="preserve">ImB_COAs/P060012/P060012 Annex 1.pdf</t>
  </si>
  <si>
    <t xml:space="preserve">ImB_COAs/GP092501 (P060092) 3.pdf</t>
  </si>
  <si>
    <t xml:space="preserve">ImB_COAs/P060062/P060062 Annex 1.pdf</t>
  </si>
  <si>
    <t xml:space="preserve">ImB_COAs/AB092501 (P060052) 2.pdf</t>
  </si>
  <si>
    <t xml:space="preserve">ImB_COAs/P060082/P060082 Annex1.pdf</t>
  </si>
  <si>
    <t xml:space="preserve">ImB_COAs/ППК26061.pdf</t>
  </si>
  <si>
    <t xml:space="preserve">date inconsistency; form / version inconsistency</t>
  </si>
  <si>
    <t xml:space="preserve">ImB_COAs/BSS10240_01 (P050122) 3.pdf</t>
  </si>
  <si>
    <t xml:space="preserve">ImB_COAs/GP082501-1 (P050312) 3.pdf</t>
  </si>
  <si>
    <t xml:space="preserve">ImB_COAs/7.8_01 ОБ 01 вер 5 Резултат од испитување_ППК26118.-bez sp-06072026-so potis (1).pdf</t>
  </si>
  <si>
    <t xml:space="preserve">date inconsistency; identity mismatch</t>
  </si>
  <si>
    <t xml:space="preserve">ImB_COAs/100-1-K-26 Pjureli Plant.pdf</t>
  </si>
  <si>
    <t xml:space="preserve">ImB_COAs/100-2-GS-26 Pjureli Plant.pdf</t>
  </si>
  <si>
    <t xml:space="preserve">ImB_COAs/100-2-K-26 Pjureli Plant.pdf</t>
  </si>
  <si>
    <t xml:space="preserve">ImB_COAs/100-3-K-26 Pjureli Plant.pdf</t>
  </si>
  <si>
    <t xml:space="preserve">ImB_COAs/100-4-GS-26 Pjureli Plant.pdf</t>
  </si>
  <si>
    <t xml:space="preserve">ImB_COAs/197-13-M-26 Pjureli Plant.pdf</t>
  </si>
  <si>
    <t xml:space="preserve">ImB_COAs/197-3-K-26 Pjureli Plant.pdf</t>
  </si>
  <si>
    <t xml:space="preserve">ImB_COAs/197-3-M-26 Pjureli Plant.pdf</t>
  </si>
  <si>
    <t xml:space="preserve">ImB_COAs/197-5-K-26 Pjureli Plant.pdf</t>
  </si>
  <si>
    <t xml:space="preserve">ImB_COAs/197-6-K-26 Pjureli Plant.pdf</t>
  </si>
  <si>
    <t xml:space="preserve">date inconsistency; identity mismatch; form / version inconsistency; scan quality</t>
  </si>
  <si>
    <t xml:space="preserve">date inconsistency; identity mismatch; scan quality</t>
  </si>
  <si>
    <t xml:space="preserve">identity mismatch</t>
  </si>
  <si>
    <t xml:space="preserve">ImB_COAs/051-6-K-26 Pjureli Plant.pdf</t>
  </si>
  <si>
    <t xml:space="preserve">ImB_COAs/197-5-M-26 Pjureli Plant.pdf</t>
  </si>
  <si>
    <t xml:space="preserve">ImB_COAs/OPM1024_03 (P050082) 3.pdf</t>
  </si>
  <si>
    <t xml:space="preserve">ImB_COAs/BG1024_CoA.pdf</t>
  </si>
  <si>
    <t xml:space="preserve">ImB_COAs/ППК26065.pdf</t>
  </si>
  <si>
    <t xml:space="preserve">identity mismatch; form / version inconsistency</t>
  </si>
  <si>
    <t xml:space="preserve">ImB_COAs/OPM122501.pdf</t>
  </si>
  <si>
    <t xml:space="preserve">ImB_COAs/J31122501 - Racno trimiran cvet.pdf</t>
  </si>
  <si>
    <t xml:space="preserve">identity mismatch; pharmacopoeia reference inconsistency</t>
  </si>
  <si>
    <t xml:space="preserve">ImB_COAs/ППК26110 (1).pdf</t>
  </si>
  <si>
    <t xml:space="preserve">ImB_COAs/ППК26113 (1).pdf</t>
  </si>
  <si>
    <t xml:space="preserve">ImB_COAs/ППК26115 (1).pdf</t>
  </si>
  <si>
    <t xml:space="preserve">ImB_COAs/7.8_01 ОБ 01 вер 5 Резултат од испитување_ППК26128.pdf</t>
  </si>
  <si>
    <t xml:space="preserve">identity mismatch; pharmacopoeia reference inconsistency; form / version inconsistency</t>
  </si>
  <si>
    <t xml:space="preserve">ImB_COAs/7.8_01 ОБ 01 вер 5 Резултат од испитување_ППК26117-bez sp-06072026-so potpis (1).pdf</t>
  </si>
  <si>
    <t xml:space="preserve">identity mismatch; scan quality</t>
  </si>
  <si>
    <t xml:space="preserve">ImB_COAs/ППК26057.pdf</t>
  </si>
  <si>
    <t xml:space="preserve">signature / approval defect</t>
  </si>
  <si>
    <t xml:space="preserve">ImB_COAs/WC082501 (P060012) 3.pdf</t>
  </si>
  <si>
    <t xml:space="preserve">ImB_COAs/BG1024 2.pdf</t>
  </si>
  <si>
    <t xml:space="preserve">signature / approval defect; identity mismatch</t>
  </si>
  <si>
    <t xml:space="preserve">ImB_COAs/SJ092501 (P060082) 3.pdf</t>
  </si>
  <si>
    <t xml:space="preserve">MINOR</t>
  </si>
  <si>
    <t xml:space="preserve">form / version inconsistency</t>
  </si>
  <si>
    <t xml:space="preserve">other</t>
  </si>
  <si>
    <t xml:space="preserve">ImB_COAs/051-1-K-26 Pjureli Plant.pdf</t>
  </si>
  <si>
    <t xml:space="preserve">ImB_COAs/051-2-K-26 Pjureli Plant.pdf</t>
  </si>
  <si>
    <t xml:space="preserve">ImB_COAs/051-3-GS-26 Pjureli Plant.pdf</t>
  </si>
  <si>
    <t xml:space="preserve">ImB_COAs/051-4-GS-26 Pjureli Plant.pdf</t>
  </si>
  <si>
    <t xml:space="preserve">ImB_COAs/051-4-K-26 Pjureli Plant.pdf</t>
  </si>
  <si>
    <t xml:space="preserve">ImB_COAs/051-5-K-26 Pjureli Plant.pdf</t>
  </si>
  <si>
    <t xml:space="preserve">ImB_COAs/100-1-GS-26 Pjureli Plant.pdf</t>
  </si>
  <si>
    <t xml:space="preserve">ImB_COAs/197-1-K-26 Pjureli Plant.pdf</t>
  </si>
  <si>
    <t xml:space="preserve">ImB_COAs/197-1-M-26 Pjureli Plant.pdf</t>
  </si>
  <si>
    <t xml:space="preserve">ImB_COAs/197-10-K-26 Pjureli Plant.pdf</t>
  </si>
  <si>
    <t xml:space="preserve">ImB_COAs/197-11-K-26 Pjureli Plant.pdf</t>
  </si>
  <si>
    <t xml:space="preserve">ImB_COAs/197-12-K-26 Pjureli Plant.pdf</t>
  </si>
  <si>
    <t xml:space="preserve">ImB_COAs/197-12-M-26 Pjureli Plant.pdf</t>
  </si>
  <si>
    <t xml:space="preserve">ImB_COAs/197-13-K-26 Pjureli Plant.pdf</t>
  </si>
  <si>
    <t xml:space="preserve">ImB_COAs/197-14-K-26 Pjureli Plant.pdf</t>
  </si>
  <si>
    <t xml:space="preserve">ImB_COAs/197-14-M-26 Pjureli Plant.pdf</t>
  </si>
  <si>
    <t xml:space="preserve">ImB_COAs/197-15-K-26 Pjureli Plant.pdf</t>
  </si>
  <si>
    <t xml:space="preserve">ImB_COAs/197-15-M-26 Pjureli Plant.pdf</t>
  </si>
  <si>
    <t xml:space="preserve">ImB_COAs/197-16-K-26 Pjureli Plant.pdf</t>
  </si>
  <si>
    <t xml:space="preserve">ImB_COAs/197-17-K-26 Pjureli Plant.pdf</t>
  </si>
  <si>
    <t xml:space="preserve">ImB_COAs/197-18-K-26 Pjureli Plant.pdf</t>
  </si>
  <si>
    <t xml:space="preserve">ImB_COAs/197-18-M-26 Pjureli Plant.pdf</t>
  </si>
  <si>
    <t xml:space="preserve">ImB_COAs/197-19-K-26 Pjureli Plant.pdf</t>
  </si>
  <si>
    <t xml:space="preserve">ImB_COAs/197-2-K-26 Pjureli Plant.pdf</t>
  </si>
  <si>
    <t xml:space="preserve">ImB_COAs/197-2-M-26 Pjureli Plant.pdf</t>
  </si>
  <si>
    <t xml:space="preserve">ImB_COAs/197-20-K-26 Pjureli Plant.pdf</t>
  </si>
  <si>
    <t xml:space="preserve">ImB_COAs/197-20-M-26 Pjureli Plant.pdf</t>
  </si>
  <si>
    <t xml:space="preserve">ImB_COAs/197-21-K-26 Pjureli Plant.pdf</t>
  </si>
  <si>
    <t xml:space="preserve">ImB_COAs/197-4-K-26 Pjureli Plant.pdf</t>
  </si>
  <si>
    <t xml:space="preserve">ImB_COAs/197-4-M-26 Pjureli Plant.pdf</t>
  </si>
  <si>
    <t xml:space="preserve">ImB_COAs/197-6-M-26 Pjureli Plant.pdf</t>
  </si>
  <si>
    <t xml:space="preserve">ImB_COAs/197-7-K-26 Pjureli Plant.pdf</t>
  </si>
  <si>
    <t xml:space="preserve">ImB_COAs/197-7-M-26 Pjureli Plant.pdf</t>
  </si>
  <si>
    <t xml:space="preserve">ImB_COAs/197-8-K-26 Pjureli Plant.pdf</t>
  </si>
  <si>
    <t xml:space="preserve">ImB_COAs/197-9-K-26 Pjureli Plant.pdf</t>
  </si>
  <si>
    <t xml:space="preserve">ImB_COAs/OPM1024_02 (P050062) 3.pdf</t>
  </si>
  <si>
    <t xml:space="preserve">ImB_COAs/CJ062501-1 (P050222) 3 (1).pdf</t>
  </si>
  <si>
    <t xml:space="preserve">ImB_COAs/PM092501 (P060062) 3.pdf</t>
  </si>
  <si>
    <t xml:space="preserve">ImB_COAs/ППК26030.pdf</t>
  </si>
  <si>
    <t xml:space="preserve">ImB_COAs/ППК26031.pdf</t>
  </si>
  <si>
    <t xml:space="preserve">ImB_COAs/ППК26032.pdf</t>
  </si>
  <si>
    <t xml:space="preserve">ImB_COAs/ППК26034.pdf</t>
  </si>
  <si>
    <t xml:space="preserve">ImB_COAs/ППК26035.pdf</t>
  </si>
  <si>
    <t xml:space="preserve">ImB_COAs/ППК26036.pdf</t>
  </si>
  <si>
    <t xml:space="preserve">ImB_COAs/ППК26037.pdf</t>
  </si>
  <si>
    <t xml:space="preserve">ImB_COAs/ППК26059.pdf</t>
  </si>
  <si>
    <t xml:space="preserve">ImB_COAs/ППК26060.pdf</t>
  </si>
  <si>
    <t xml:space="preserve">ImB_COAs/ППК26062.pdf</t>
  </si>
  <si>
    <t xml:space="preserve">ImB_COAs/ППК26063.pdf</t>
  </si>
  <si>
    <t xml:space="preserve">ImB_COAs/ППК26064.pdf</t>
  </si>
  <si>
    <t xml:space="preserve">ImB_COAs/ППК26066.pdf</t>
  </si>
  <si>
    <t xml:space="preserve">ImB_COAs/ППК26067.pdf</t>
  </si>
  <si>
    <t xml:space="preserve">ImB_COAs/ППК26068.pdf</t>
  </si>
  <si>
    <t xml:space="preserve">ImB_COAs/ППК26069.pdf</t>
  </si>
  <si>
    <t xml:space="preserve">ImB_COAs/7.8_01 ОБ 01 вер 5 Резултат од испитување_ППК26116- bez SP-06072026- so potpis (1).pdf</t>
  </si>
  <si>
    <t xml:space="preserve">pharmacopoeia reference inconsistency</t>
  </si>
  <si>
    <t xml:space="preserve">ImB_COAs/ППК26111 (1).pdf</t>
  </si>
  <si>
    <t xml:space="preserve">ImB_COAs/ППК26112 (1).pdf</t>
  </si>
  <si>
    <t xml:space="preserve">ImB_COAs/ППК26114 (1).pdf</t>
  </si>
  <si>
    <t xml:space="preserve">ImB_COAs/7.8_01 ОБ 01 вер 5 Резултат од испитување_ППК26119-bez sp-06072026-so potpis (1).pdf</t>
  </si>
  <si>
    <t xml:space="preserve">pharmacopoeia reference inconsistency; form / version inconsistency</t>
  </si>
  <si>
    <t xml:space="preserve">scan quality</t>
  </si>
  <si>
    <t xml:space="preserve">ImB_COAs/100-4-K-26 Pjureli Plant.pdf</t>
  </si>
  <si>
    <t xml:space="preserve">SHA-256 (first 16)</t>
  </si>
  <si>
    <t xml:space="preserve">Retain this file</t>
  </si>
  <si>
    <t xml:space="preserve">Redundant copy</t>
  </si>
  <si>
    <t xml:space="preserve">Bytes</t>
  </si>
  <si>
    <t xml:space="preserve">Pages</t>
  </si>
  <si>
    <t xml:space="preserve">Action</t>
  </si>
  <si>
    <t xml:space="preserve">0d435a5f17375e3f</t>
  </si>
  <si>
    <t xml:space="preserve">ImB_QC_COAs/J31102501/051-1-GS-26 Pjureli Plant.pdf</t>
  </si>
  <si>
    <t xml:space="preserve">REDUNDANT COPY – byte-identical</t>
  </si>
  <si>
    <t xml:space="preserve">28a58548fd01c73d</t>
  </si>
  <si>
    <t xml:space="preserve">ImB_QC_COAs/J31102501/051-1-K-26 Pjureli Plant.pdf</t>
  </si>
  <si>
    <t xml:space="preserve">7f55a22d43dff708</t>
  </si>
  <si>
    <t xml:space="preserve">ImB_QC_COAs/SJ112501/051-2-GS-26 Pjureli Plant.pdf</t>
  </si>
  <si>
    <t xml:space="preserve">9db2a50123870af4</t>
  </si>
  <si>
    <t xml:space="preserve">ImB_QC_COAs/SJ112501/051-2-K-26 Pjureli Plant.pdf</t>
  </si>
  <si>
    <t xml:space="preserve">a3a635a926a12acf</t>
  </si>
  <si>
    <t xml:space="preserve">ImB_QC_COAs/SJ102501/051-3-GS-26 Pjureli Plant.pdf</t>
  </si>
  <si>
    <t xml:space="preserve">8301b347d3579e6d</t>
  </si>
  <si>
    <t xml:space="preserve">ImB_QC_COAs/SJ102501/051-3-K-26 Pjureli Plant.pdf</t>
  </si>
  <si>
    <t xml:space="preserve">caf9e08c9e878a33</t>
  </si>
  <si>
    <t xml:space="preserve">ImB_QC_COAs/KC102501/051-4-GS-26 Pjureli Plant.pdf</t>
  </si>
  <si>
    <t xml:space="preserve">7de5f8077c5251e0</t>
  </si>
  <si>
    <t xml:space="preserve">ImB_QC_COAs/KC102501/051-4-K-26 Pjureli Plant.pdf</t>
  </si>
  <si>
    <t xml:space="preserve">63e6a9231666d7b1</t>
  </si>
  <si>
    <t xml:space="preserve">ImB_QC_COAs/J31112501/051-5-GS-26 Pjureli Plant.pdf</t>
  </si>
  <si>
    <t xml:space="preserve">6443db4dcbb4d106</t>
  </si>
  <si>
    <t xml:space="preserve">ImB_QC_COAs/J31112501/051-5-K-26 Pjureli Plant.pdf</t>
  </si>
  <si>
    <t xml:space="preserve">84dec57a4c9379dd</t>
  </si>
  <si>
    <t xml:space="preserve">ImB_QC_COAs/GRC102501-2/051-6-GS-26 Pjureli Plant.pdf</t>
  </si>
  <si>
    <t xml:space="preserve">1a5933eb0dbb0261</t>
  </si>
  <si>
    <t xml:space="preserve">ImB_QC_COAs/GRC102501-2/051-6-K-26 Pjureli Plant.pdf</t>
  </si>
  <si>
    <t xml:space="preserve">5be05116a53256b9</t>
  </si>
  <si>
    <t xml:space="preserve">ImB_QC_COAs/J31112501/100-1-GS-26 Pjureli Plant.pdf</t>
  </si>
  <si>
    <t xml:space="preserve">868517bb50f1a4ef</t>
  </si>
  <si>
    <t xml:space="preserve">ImB_QC_COAs/J31112501/100-1-K-26 Pjureli Plant.pdf</t>
  </si>
  <si>
    <t xml:space="preserve">dbadc641392a4416</t>
  </si>
  <si>
    <t xml:space="preserve">ImB_QC_COAs/J31112501/100-2-GS-26 Pjureli Plant.pdf</t>
  </si>
  <si>
    <t xml:space="preserve">ca598b1f1864eafa</t>
  </si>
  <si>
    <t xml:space="preserve">ImB_QC_COAs/J31112501/100-2-K-26 Pjureli Plant.pdf</t>
  </si>
  <si>
    <t xml:space="preserve">a71118da43c190f1</t>
  </si>
  <si>
    <t xml:space="preserve">ImB_QC_COAs/J31122501/100-3-GS-26 Pjureli Plant.pdf</t>
  </si>
  <si>
    <t xml:space="preserve">72e34961ebb62460</t>
  </si>
  <si>
    <t xml:space="preserve">ImB_QC_COAs/J31122501/100-3-K-26 Pjureli Plant.pdf</t>
  </si>
  <si>
    <t xml:space="preserve">7d74c5f98f4086a8</t>
  </si>
  <si>
    <t xml:space="preserve">ImB_QC_COAs/OPM122501/100-4-GS-26 Pjureli Plant.pdf</t>
  </si>
  <si>
    <t xml:space="preserve">190b8f8b7d6fbde9</t>
  </si>
  <si>
    <t xml:space="preserve">ImB_QC_COAs/OPM122501/100-4-K-26 Pjureli Plant.pdf</t>
  </si>
  <si>
    <t xml:space="preserve">b66b836764801778</t>
  </si>
  <si>
    <t xml:space="preserve">ImB_QC_COAs/BG1024/197-1-K-26 Pjureli Plant.pdf</t>
  </si>
  <si>
    <t xml:space="preserve">8b408880354fa279</t>
  </si>
  <si>
    <t xml:space="preserve">ImB_QC_COAs/BG1024/197-1-M-26 Pjureli Plant.pdf</t>
  </si>
  <si>
    <t xml:space="preserve">e6e272bcae1436a0</t>
  </si>
  <si>
    <t xml:space="preserve">ImB_QC_COAs/P050152 (GP052501)/197-10-K-26 Pjureli Plant.pdf</t>
  </si>
  <si>
    <t xml:space="preserve">e687db973f2d5547</t>
  </si>
  <si>
    <t xml:space="preserve">ImB_QC_COAs/P050152 (GP052501)/197-10-M-26 Pjureli Plant.pdf</t>
  </si>
  <si>
    <t xml:space="preserve">fb8db99bdf50d7fc</t>
  </si>
  <si>
    <t xml:space="preserve">ImB_QC_COAs/P050022 (GP0824_02)/197-11-K-26 Pjureli Plant.pdf</t>
  </si>
  <si>
    <t xml:space="preserve">bf30daecf90670c1</t>
  </si>
  <si>
    <t xml:space="preserve">ImB_QC_COAs/P050022 (GP0824_02)/197-11-M-26 Pjureli Plant.pdf</t>
  </si>
  <si>
    <t xml:space="preserve">c201e4ee369fbb86</t>
  </si>
  <si>
    <t xml:space="preserve">ImB_QC_COAs/P050322 (GP082501-2)/197-12-K-26 Pjureli Plant.pdf</t>
  </si>
  <si>
    <t xml:space="preserve">50c49d2eea451dd5</t>
  </si>
  <si>
    <t xml:space="preserve">ImB_QC_COAs/P050322 (GP082501-2)/197-12-M-26 Pjureli Plant.pdf</t>
  </si>
  <si>
    <t xml:space="preserve">259337509cebf0f7</t>
  </si>
  <si>
    <t xml:space="preserve">ImB_QC_COAs/HPA1024/197-13-K-26 Pjureli Plant.pdf</t>
  </si>
  <si>
    <t xml:space="preserve">4a9c9ba3d115cc98</t>
  </si>
  <si>
    <t xml:space="preserve">ImB_QC_COAs/HPA1024/197-13-M-26 Pjureli Plant.pdf</t>
  </si>
  <si>
    <t xml:space="preserve">0671021c14f20e93</t>
  </si>
  <si>
    <t xml:space="preserve">ImB_QC_COAs/P050052 (HPA1024_01)/197-14-K-26 Pjureli Plant.pdf</t>
  </si>
  <si>
    <t xml:space="preserve">584778d1ac6f327d</t>
  </si>
  <si>
    <t xml:space="preserve">ImB_QC_COAs/P050052 (HPA1024_01)/197-14-M-26 Pjureli Plant.pdf</t>
  </si>
  <si>
    <t xml:space="preserve">422d51756e6f7b74</t>
  </si>
  <si>
    <t xml:space="preserve">ImB_QC_COAs/P060212 (JellyDonutz)/197-15-K-26 Pjureli Plant.pdf</t>
  </si>
  <si>
    <t xml:space="preserve">963e64119e4fc337</t>
  </si>
  <si>
    <t xml:space="preserve">ImB_QC_COAs/P060212 (JellyDonutz)/197-15-M-26 Pjureli Plant.pdf</t>
  </si>
  <si>
    <t xml:space="preserve">2a3aa028ef391d4d</t>
  </si>
  <si>
    <t xml:space="preserve">ImB_QC_COAs/P060152 (Jokerz31)/197-16-K-26 Pjureli Plant.pdf</t>
  </si>
  <si>
    <t xml:space="preserve">ddbfedc6b9462134</t>
  </si>
  <si>
    <t xml:space="preserve">ImB_QC_COAs/P060152 (Jokerz31)/197-16-M-26 Pjureli Plant.pdf</t>
  </si>
  <si>
    <t xml:space="preserve">4a310a3d3d699882</t>
  </si>
  <si>
    <t xml:space="preserve">ImB_QC_COAs/OPM1024/197-17-K-26 Pjureli Plant.pdf</t>
  </si>
  <si>
    <t xml:space="preserve">c72ec90fc56612db</t>
  </si>
  <si>
    <t xml:space="preserve">ImB_QC_COAs/OPM1024/197-17-M-26 Pjureli Plant.pdf</t>
  </si>
  <si>
    <t xml:space="preserve">c5e47c0855fb86d3</t>
  </si>
  <si>
    <t xml:space="preserve">ImB_QC_COAs/P050062 (OPM1024_02)/197-18-K-26 Pjureli Plant.pdf</t>
  </si>
  <si>
    <t xml:space="preserve">1394a1f3d44f2366</t>
  </si>
  <si>
    <t xml:space="preserve">ImB_QC_COAs/P050062 (OPM1024_02)/197-18-M-26 Pjureli Plant.pdf</t>
  </si>
  <si>
    <t xml:space="preserve">c8cad764f263ad20</t>
  </si>
  <si>
    <t xml:space="preserve">ImB_QC_COAs/P060242 (OPM)/197-19-K-26 Pjureli Plant.pdf</t>
  </si>
  <si>
    <t xml:space="preserve">dadcb0894f0ac5fa</t>
  </si>
  <si>
    <t xml:space="preserve">ImB_QC_COAs/P060242 (OPM)/197-19-M-26 Pjureli Plant.pdf</t>
  </si>
  <si>
    <t xml:space="preserve">e52e63c6b325d4af</t>
  </si>
  <si>
    <t xml:space="preserve">ImB_QC_COAs/BSS1024/197-2-K-26 Pjureli Plant.pdf</t>
  </si>
  <si>
    <t xml:space="preserve">14c89f10eb6730fb</t>
  </si>
  <si>
    <t xml:space="preserve">ImB_QC_COAs/BSS1024/197-2-M-26 Pjureli Plant.pdf</t>
  </si>
  <si>
    <t xml:space="preserve">734a6ca972915e72</t>
  </si>
  <si>
    <t xml:space="preserve">ImB_QC_COAs/P060062 (PM092501)/197-20-K-26 Pjureli Plant.pdf</t>
  </si>
  <si>
    <t xml:space="preserve">2c3be6f7c8813476</t>
  </si>
  <si>
    <t xml:space="preserve">ImB_QC_COAs/P060062 (PM092501)/197-20-M-26 Pjureli Plant.pdf</t>
  </si>
  <si>
    <t xml:space="preserve">09c8cc82b5bfdbe7</t>
  </si>
  <si>
    <t xml:space="preserve">ImB_QC_COAs/P060382 (Scrambler)/197-21-K-26 Pjureli Plant.pdf</t>
  </si>
  <si>
    <t xml:space="preserve">c19eae3a4b82e31a</t>
  </si>
  <si>
    <t xml:space="preserve">ImB_QC_COAs/P060382 (Scrambler)/197-21-M-26 Pjureli Plant.pdf</t>
  </si>
  <si>
    <t xml:space="preserve">7a4cff193110bd76</t>
  </si>
  <si>
    <t xml:space="preserve">ImB_QC_COAs/P050162 (CJ052501-1)/197-3-K-26 Pjureli Plant.pdf</t>
  </si>
  <si>
    <t xml:space="preserve">9daea2c47e112b2c</t>
  </si>
  <si>
    <t xml:space="preserve">ImB_QC_COAs/P050162 (CJ052501-1)/197-3-M-26 Pjureli Plant.pdf</t>
  </si>
  <si>
    <t xml:space="preserve">c77a58d4b1b31d04</t>
  </si>
  <si>
    <t xml:space="preserve">ImB_QC_COAs/P050212 (CJ062501-2)/197-4-K-26 Pjureli Plant.pdf</t>
  </si>
  <si>
    <t xml:space="preserve">0d894d2e6af2c829</t>
  </si>
  <si>
    <t xml:space="preserve">ImB_QC_COAs/P050212 (CJ062501-2)/197-4-M-26 Pjureli Plant.pdf</t>
  </si>
  <si>
    <t xml:space="preserve">45173ee1044902b4</t>
  </si>
  <si>
    <t xml:space="preserve">ImB_QC_COAs/P060032 (CJ082501-2)/197-5-K-26 Pjureli Plant.pdf</t>
  </si>
  <si>
    <t xml:space="preserve">2a7839854582f867</t>
  </si>
  <si>
    <t xml:space="preserve">ImB_QC_COAs/P060032 (CJ082501-2)/197-5-M-26 Pjureli Plant.pdf</t>
  </si>
  <si>
    <t xml:space="preserve">649b35f695d53647</t>
  </si>
  <si>
    <t xml:space="preserve">ImB_QC_COAs/P060332 (CashCow)/197-6-K-26 Pjureli Plant.pdf</t>
  </si>
  <si>
    <t xml:space="preserve">5b02655c9d3e5902</t>
  </si>
  <si>
    <t xml:space="preserve">ImB_QC_COAs/P060332 (CashCow)/197-6-M-26 Pjureli Plant.pdf</t>
  </si>
  <si>
    <t xml:space="preserve">fe6750eec987cd1f</t>
  </si>
  <si>
    <t xml:space="preserve">ImB_QC_COAs/P060352 (FatBastard)/197-7-K-26 Pjureli Plant.pdf</t>
  </si>
  <si>
    <t xml:space="preserve">719f95462b141784</t>
  </si>
  <si>
    <t xml:space="preserve">ImB_QC_COAs/P060352 (FatBastard)/197-7-M-26 Pjureli Plant.pdf</t>
  </si>
  <si>
    <t xml:space="preserve">98243b80b81e20c3</t>
  </si>
  <si>
    <t xml:space="preserve">ImB_QC_COAs/P060402 (GorillaGlue)/197-8-K-26 Pjureli Plant.pdf</t>
  </si>
  <si>
    <t xml:space="preserve">c530ed6b93b57208</t>
  </si>
  <si>
    <t xml:space="preserve">ImB_QC_COAs/P060402 (GorillaGlue)/197-8-M-26 Pjureli Plant.pdf</t>
  </si>
  <si>
    <t xml:space="preserve">eb5bc79f687f1aaf</t>
  </si>
  <si>
    <t xml:space="preserve">ImB_QC_COAs/P050092 (GG1024_01)/197-9-K-26 Pjureli Plant.pdf</t>
  </si>
  <si>
    <t xml:space="preserve">c98af70add191592</t>
  </si>
  <si>
    <t xml:space="preserve">ImB_QC_COAs/P050092 (GG1024_01)/197-9-M-26 Pjureli Plant.pdf</t>
  </si>
  <si>
    <t xml:space="preserve">b3809d3182195024</t>
  </si>
  <si>
    <t xml:space="preserve">ImB_QC_COAs/SCR022601/7.8_01 ОБ 01 вер 5 Резултат од испитување_ППК26116- bez SP-06072026- so potpis (1).pdf</t>
  </si>
  <si>
    <t xml:space="preserve">1a5e04567304f495</t>
  </si>
  <si>
    <t xml:space="preserve">ImB_QC_COAs/P160012 (GrapePie)/7.8_01 ОБ 01 вер 5 Резултат од испитување_ППК26117-bez sp-06072026-so potpis (1).pdf</t>
  </si>
  <si>
    <t xml:space="preserve">56063b91d8c94bfa</t>
  </si>
  <si>
    <t xml:space="preserve">ImB_QC_COAs/P160022 (GrapePie)/7.8_01 ОБ 01 вер 5 Резултат од испитување_ППК26118.-bez sp-06072026-so potis (1).pdf</t>
  </si>
  <si>
    <t xml:space="preserve">c64a0786f5b6cd8c</t>
  </si>
  <si>
    <t xml:space="preserve">ImB_QC_COAs/P160032 (GrapePie)/7.8_01 ОБ 01 вер 5 Резултат од испитување_ППК26119-bez sp-06072026-so potpis (1).pdf</t>
  </si>
  <si>
    <t xml:space="preserve">bf768f8c34fd2b88</t>
  </si>
  <si>
    <t xml:space="preserve">ImB_QC_COAs/GG032601/7.8_01 ОБ 01 вер 5 Резултат од испитување_ППК26128.pdf</t>
  </si>
  <si>
    <t xml:space="preserve">8176a6cbc3714eeb</t>
  </si>
  <si>
    <t xml:space="preserve">ImB_QC_COAs/P060052 (AB092501)/AB092501 (P060052) 2.pdf</t>
  </si>
  <si>
    <t xml:space="preserve">199b6f1020c219e0</t>
  </si>
  <si>
    <t xml:space="preserve">ImB_QC_COAs/BG1024/BG1024 2.pdf</t>
  </si>
  <si>
    <t xml:space="preserve">c450b0769cb93ec7</t>
  </si>
  <si>
    <t xml:space="preserve">ImB_QC_COAs/P050192 (BSS052501)/BSS052501 (P050192) 3.pdf</t>
  </si>
  <si>
    <t xml:space="preserve">fe61fc7d4610d373</t>
  </si>
  <si>
    <t xml:space="preserve">ImB_QC_COAs/BSS1024/BSS1024 3.pdf</t>
  </si>
  <si>
    <t xml:space="preserve">592cc02d29216800</t>
  </si>
  <si>
    <t xml:space="preserve">ImB_QC_COAs/P050122 (BSS10240_01)/BSS10240_01 (P050122) 3.pdf</t>
  </si>
  <si>
    <t xml:space="preserve">b2d7faf8674eb2cf</t>
  </si>
  <si>
    <t xml:space="preserve">ImB_QC_COAs/P050162 (CJ052501-1)/CJ052501-1 (P050162) 3.pdf</t>
  </si>
  <si>
    <t xml:space="preserve">d820c7bf9478325a</t>
  </si>
  <si>
    <t xml:space="preserve">ImB_QC_COAs/P050172 (CJ052501-2)/CJ052501-2 (P050172) 3.pdf</t>
  </si>
  <si>
    <t xml:space="preserve">a4035bef9f8758ad</t>
  </si>
  <si>
    <t xml:space="preserve">ImB_QC_COAs/P050212 (CJ062501-2)/CJ0602501-2 (P050212) 3.pdf</t>
  </si>
  <si>
    <t xml:space="preserve">3527077b9396d131</t>
  </si>
  <si>
    <t xml:space="preserve">ImB_COAs/CJ062501-1 (P050222) 3 (2).pdf</t>
  </si>
  <si>
    <t xml:space="preserve">ImB_COAs/CJ062501-1 (P050222) 3.pdf</t>
  </si>
  <si>
    <t xml:space="preserve">ImB_QC_COAs/P050222 (CJ062501-1)/CJ062501-1 (P050222) 3.pdf</t>
  </si>
  <si>
    <t xml:space="preserve">afea5cf544636749</t>
  </si>
  <si>
    <t xml:space="preserve">ImB_COAs/CJ072501 (P050252) 3 (2).pdf</t>
  </si>
  <si>
    <t xml:space="preserve">ImB_COAs/CJ072501 (P050252) 3.pdf</t>
  </si>
  <si>
    <t xml:space="preserve">ImB_QC_COAs/P050252 (CJ072501)/CJ072501 (P050252) 3.pdf</t>
  </si>
  <si>
    <t xml:space="preserve">ced228bfa01d2c02</t>
  </si>
  <si>
    <t xml:space="preserve">ImB_QC_COAs/P060022 (CJ082501-1)/CJ082501-1 (P060022) 1.pdf</t>
  </si>
  <si>
    <t xml:space="preserve">8780a7ccd9b0d74b</t>
  </si>
  <si>
    <t xml:space="preserve">ImB_QC_COAs/P060032 (CJ082501-2)/CJ082501-2 (P060032) 3.pdf</t>
  </si>
  <si>
    <t xml:space="preserve">20e213d55198deb1</t>
  </si>
  <si>
    <t xml:space="preserve">ImB_QC_COAs/P060072 (CJ092501)/CJ092501 (P060072) 3.pdf</t>
  </si>
  <si>
    <t xml:space="preserve">3987aed7493fffe5</t>
  </si>
  <si>
    <t xml:space="preserve">ImB_QC_COAs/CJ1024/CJ1024 3.pdf</t>
  </si>
  <si>
    <t xml:space="preserve">ded690d31fc8db1e</t>
  </si>
  <si>
    <t xml:space="preserve">ImB_QC_COAs/P050282 (CLE072501)/CLE072501 (P050282) 3.pdf</t>
  </si>
  <si>
    <t xml:space="preserve">8029082e7b163c6c</t>
  </si>
  <si>
    <t xml:space="preserve">ImB_COAs/GG1024.pdf</t>
  </si>
  <si>
    <t xml:space="preserve">ImB_QC_COAs/GG1024/GG1024.pdf</t>
  </si>
  <si>
    <t xml:space="preserve">4b6aa5b0d396904a</t>
  </si>
  <si>
    <t xml:space="preserve">10c07d60dce37bb1</t>
  </si>
  <si>
    <t xml:space="preserve">cb028f0a616648cc</t>
  </si>
  <si>
    <t xml:space="preserve">ImB_COAs/GP052501 (P050152) 3.pdf</t>
  </si>
  <si>
    <t xml:space="preserve">ImB_QC_COAs/P050152 (GP052501)/GP052501 (P050152) 3.pdf</t>
  </si>
  <si>
    <t xml:space="preserve">f5e2f2257f148f81</t>
  </si>
  <si>
    <t xml:space="preserve">ImB_QC_COAs/P050202 (GP062501)/GP062501 (P050202) 3.pdf</t>
  </si>
  <si>
    <t xml:space="preserve">e3df4715b2d19acb</t>
  </si>
  <si>
    <t xml:space="preserve">ImB_QC_COAs/P050292 (GP072501-1)/GP072501-1 (P050292) 3.pdf</t>
  </si>
  <si>
    <t xml:space="preserve">771e3c050357d23e</t>
  </si>
  <si>
    <t xml:space="preserve">ImB_QC_COAs/P050302 (GP072501-2)/GP072501-2 (P050302) 3.pdf</t>
  </si>
  <si>
    <t xml:space="preserve">154f953d8802860b</t>
  </si>
  <si>
    <t xml:space="preserve">392206d40052a794</t>
  </si>
  <si>
    <t xml:space="preserve">ImB_QC_COAs/P050022 (GP0824_02)/GP0824_02 (P050022) 3.pdf</t>
  </si>
  <si>
    <t xml:space="preserve">0765af775806862d</t>
  </si>
  <si>
    <t xml:space="preserve">f221afd434e5dbc4</t>
  </si>
  <si>
    <t xml:space="preserve">ImB_QC_COAs/P050072 (GP0824_03)/GP0824_03 (P050072) 3.pdf</t>
  </si>
  <si>
    <t xml:space="preserve">8c9bd05cb9a1c18b</t>
  </si>
  <si>
    <t xml:space="preserve">ImB_QC_COAs/P050312 (GP082501-1)/GP082501-1 (P050312) 3.pdf</t>
  </si>
  <si>
    <t xml:space="preserve">38388b2fb0ac1a60</t>
  </si>
  <si>
    <t xml:space="preserve">ImB_QC_COAs/P050322 (GP082501-2)/GP082501-2 (P050322) 3.pdf</t>
  </si>
  <si>
    <t xml:space="preserve">30030fad1dd87742</t>
  </si>
  <si>
    <t xml:space="preserve">ImB_QC_COAs/P060092 (GP092501)/GP092501 (P060092) 3.pdf</t>
  </si>
  <si>
    <t xml:space="preserve">2b7ce7a1f4b13a49</t>
  </si>
  <si>
    <t xml:space="preserve">ImB_QC_COAs/P050182 (HPA052501)/HPA052501(P050182) 3.pdf</t>
  </si>
  <si>
    <t xml:space="preserve">943fa82639c67cb1</t>
  </si>
  <si>
    <t xml:space="preserve">ImB_COAs/HPA1024.pdf</t>
  </si>
  <si>
    <t xml:space="preserve">ImB_QC_COAs/HPA1024/HPA1024.pdf</t>
  </si>
  <si>
    <t xml:space="preserve">7a139a43c2b6a517</t>
  </si>
  <si>
    <t xml:space="preserve">ImB_QC_COAs/P050052 (HPA1024_01)/HPA1024_01 (P050052) 3.pdf</t>
  </si>
  <si>
    <t xml:space="preserve">74878bb9d50b56be</t>
  </si>
  <si>
    <t xml:space="preserve">ImB_QC_COAs/J31122501/J31122501 - Racno trimiran cvet.pdf</t>
  </si>
  <si>
    <t xml:space="preserve">27b447fe9228137a</t>
  </si>
  <si>
    <t xml:space="preserve">ImB_QC_COAs/J31122501/J31122501 - Trimiran cvet.pdf</t>
  </si>
  <si>
    <t xml:space="preserve">c9e2a18f61a88508</t>
  </si>
  <si>
    <t xml:space="preserve">7980ad061c01769f</t>
  </si>
  <si>
    <t xml:space="preserve">ImB_QC_COAs/P050112 (MB0824_05)/MB0824_05 (P050112) 3.pdf</t>
  </si>
  <si>
    <t xml:space="preserve">e24a04edc6e839d3</t>
  </si>
  <si>
    <t xml:space="preserve">ImB_QC_COAs/P050132 (OPM052501)/OPM052501 (P050132) 3.pdf</t>
  </si>
  <si>
    <t xml:space="preserve">5947a42ef4d26c9d</t>
  </si>
  <si>
    <t xml:space="preserve">ImB_QC_COAs/P060042 (OPM092501)/OPM092501 (P060042) 3.pdf</t>
  </si>
  <si>
    <t xml:space="preserve">52322669f9f39348</t>
  </si>
  <si>
    <t xml:space="preserve">ImB_COAs/OPM1024.pdf</t>
  </si>
  <si>
    <t xml:space="preserve">ImB_QC_COAs/OPM1024/OPM1024.pdf</t>
  </si>
  <si>
    <t xml:space="preserve">689bd8db30676c72</t>
  </si>
  <si>
    <t xml:space="preserve">9351b0e64653b30a</t>
  </si>
  <si>
    <t xml:space="preserve">ImB_QC_COAs/P050062 (OPM1024_02)/OPM1024_02 (P050062) 3.pdf</t>
  </si>
  <si>
    <t xml:space="preserve">4084bbd055ab566d</t>
  </si>
  <si>
    <t xml:space="preserve">ImB_QC_COAs/P050082 (OPM1024_03)/OPM1024_03 (P050082) 3.pdf</t>
  </si>
  <si>
    <t xml:space="preserve">5400cb86028b16ed</t>
  </si>
  <si>
    <t xml:space="preserve">ImB_QC_COAs/OPM122501/OPM122501.pdf</t>
  </si>
  <si>
    <t xml:space="preserve">a2d78a370131643f</t>
  </si>
  <si>
    <t xml:space="preserve">ImB_QC_COAs/P050272 (PM072501)/PM072501 (P050272) 3.pdf</t>
  </si>
  <si>
    <t xml:space="preserve">028bf980d9a5396c</t>
  </si>
  <si>
    <t xml:space="preserve">ImB_QC_COAs/P060062 (PM092501)/PM092501 (P060062) 3.pdf</t>
  </si>
  <si>
    <t xml:space="preserve">4656ac5e8f47b313</t>
  </si>
  <si>
    <t xml:space="preserve">ImB_QC_COAs/P060082 (SJ092501)/SJ092501 (P060082) 3.pdf</t>
  </si>
  <si>
    <t xml:space="preserve">75193b0056169e09</t>
  </si>
  <si>
    <t xml:space="preserve">ImB_COAs/WC072501 (P050262) 3 (2).pdf</t>
  </si>
  <si>
    <t xml:space="preserve">ImB_COAs/WC072501 (P050262) 3.pdf</t>
  </si>
  <si>
    <t xml:space="preserve">ImB_QC_COAs/P050262 (WC072501)/WC072501 (P050262) 3.pdf</t>
  </si>
  <si>
    <t xml:space="preserve">515cf1d7d6414426</t>
  </si>
  <si>
    <t xml:space="preserve">ImB_QC_COAs/P060012 (WC082501)/WC082501 (P060012) 3.pdf</t>
  </si>
  <si>
    <t xml:space="preserve">493da331ec9bdabf</t>
  </si>
  <si>
    <t xml:space="preserve">ImB_QC_COAs/PM112501/ППК26030.pdf</t>
  </si>
  <si>
    <t xml:space="preserve">1a8edc83ac004665</t>
  </si>
  <si>
    <t xml:space="preserve">ImB_QC_COAs/OPM112501/ППК26031.pdf</t>
  </si>
  <si>
    <t xml:space="preserve">cde37cb0505bf93f</t>
  </si>
  <si>
    <t xml:space="preserve">ImB_QC_COAs/P050022 (GP0824_02)/ППК26032.pdf</t>
  </si>
  <si>
    <t xml:space="preserve">ccbc749942029c8e</t>
  </si>
  <si>
    <t xml:space="preserve">ImB_QC_COAs/P050022 (GP0824_02)/ППК26033.pdf</t>
  </si>
  <si>
    <t xml:space="preserve">7908d16972d010a6</t>
  </si>
  <si>
    <t xml:space="preserve">ImB_QC_COAs/P050072 (GP0824_03)/ППК26034.pdf</t>
  </si>
  <si>
    <t xml:space="preserve">ac9e2da42580cee8</t>
  </si>
  <si>
    <t xml:space="preserve">ImB_QC_COAs/P050072 (GP0824_03)/ППК26035.pdf</t>
  </si>
  <si>
    <t xml:space="preserve">5309f02379ca2705</t>
  </si>
  <si>
    <t xml:space="preserve">ImB_QC_COAs/P050202 (GP062501)/ППК26036.pdf</t>
  </si>
  <si>
    <t xml:space="preserve">940fcd58d35b8c88</t>
  </si>
  <si>
    <t xml:space="preserve">ImB_QC_COAs/P050202 (GP062501)/ППК26037.pdf</t>
  </si>
  <si>
    <t xml:space="preserve">f29c58e0f114eab3</t>
  </si>
  <si>
    <t xml:space="preserve">ImB_QC_COAs/P050202 (GP062501)/ППК26057.pdf</t>
  </si>
  <si>
    <t xml:space="preserve">e728ae84f3bad75f</t>
  </si>
  <si>
    <t xml:space="preserve">ImB_QC_COAs/P050202 (GP062501)/ППК26058.pdf</t>
  </si>
  <si>
    <t xml:space="preserve">51ef1828012118b6</t>
  </si>
  <si>
    <t xml:space="preserve">ImB_QC_COAs/P050022 (GP0824_02)/ППК26059.pdf</t>
  </si>
  <si>
    <t xml:space="preserve">89e8befe821bed65</t>
  </si>
  <si>
    <t xml:space="preserve">ImB_QC_COAs/P050072 (GP0824_03)/ППК26060.pdf</t>
  </si>
  <si>
    <t xml:space="preserve">13ab13b3b943c745</t>
  </si>
  <si>
    <t xml:space="preserve">ImB_QC_COAs/GG112501/ППК26061.pdf</t>
  </si>
  <si>
    <t xml:space="preserve">7f40cd372b869e94</t>
  </si>
  <si>
    <t xml:space="preserve">ImB_QC_COAs/GG012601/ППК26062.pdf</t>
  </si>
  <si>
    <t xml:space="preserve">b3568f7d80c3da4f</t>
  </si>
  <si>
    <t xml:space="preserve">ImB_QC_COAs/JD112501/ППК26063.pdf</t>
  </si>
  <si>
    <t xml:space="preserve">64b9f7ae21876c7d</t>
  </si>
  <si>
    <t xml:space="preserve">ImB_QC_COAs/JD012601/ППК26064.pdf</t>
  </si>
  <si>
    <t xml:space="preserve">fe8f5851853b896f</t>
  </si>
  <si>
    <t xml:space="preserve">ImB_QC_COAs/JD112501/ППК26065.pdf</t>
  </si>
  <si>
    <t xml:space="preserve">94c63c7d06724619</t>
  </si>
  <si>
    <t xml:space="preserve">ImB_QC_COAs/FB112501/ППК26066.pdf</t>
  </si>
  <si>
    <t xml:space="preserve">4dad560d9761a499</t>
  </si>
  <si>
    <t xml:space="preserve">ImB_QC_COAs/FB012601/ППК26067.pdf</t>
  </si>
  <si>
    <t xml:space="preserve">a33a4e6a9c9719ff</t>
  </si>
  <si>
    <t xml:space="preserve">ImB_QC_COAs/CC112501/ППК26068.pdf</t>
  </si>
  <si>
    <t xml:space="preserve">306191873ea3750f</t>
  </si>
  <si>
    <t xml:space="preserve">ImB_QC_COAs/SCR112501/ППК26069.pdf</t>
  </si>
  <si>
    <t xml:space="preserve">c2af9be9b5b5a0ac</t>
  </si>
  <si>
    <t xml:space="preserve">ImB_QC_COAs/FB012603V/ППК26110 (1).pdf</t>
  </si>
  <si>
    <t xml:space="preserve">4ff6b014014b2530</t>
  </si>
  <si>
    <t xml:space="preserve">ImB_QC_COAs/JD012603-02V/ППК26111 (1).pdf</t>
  </si>
  <si>
    <t xml:space="preserve">a377ac6246ea2df2</t>
  </si>
  <si>
    <t xml:space="preserve">ImB_QC_COAs/FB012603/ППК26112 (1).pdf</t>
  </si>
  <si>
    <t xml:space="preserve">b9516ec9092085d9</t>
  </si>
  <si>
    <t xml:space="preserve">ImB_QC_COAs/JD012603-02/ППК26113 (1).pdf</t>
  </si>
  <si>
    <t xml:space="preserve">a428e439d61ce783</t>
  </si>
  <si>
    <t xml:space="preserve">ImB_QC_COAs/GG012603/ППК26114 (1).pdf</t>
  </si>
  <si>
    <t xml:space="preserve">fb51afe24cab775e</t>
  </si>
  <si>
    <t xml:space="preserve">ImB_QC_COAs/JD022601/ППК26115 (1).pdf</t>
  </si>
  <si>
    <t xml:space="preserve">8ace3d7e8a06edf7</t>
  </si>
  <si>
    <t xml:space="preserve">ImB_QC_COAs/FB032601/ППК26127-ФИНАЛЕН.pdf</t>
  </si>
  <si>
    <t xml:space="preserve">Source bundle file</t>
  </si>
  <si>
    <t xml:space="preserve">Source page numbers (in correct reading order)</t>
  </si>
  <si>
    <t xml:space="preserve">Date of issue (ISO)</t>
  </si>
  <si>
    <t xml:space="preserve">Proposed derived file name</t>
  </si>
  <si>
    <t xml:space="preserve">2026-04-09</t>
  </si>
  <si>
    <t xml:space="preserve">2026-04-09_FARMAHEM_100-2-GC_26_Jokerz_31_J31112501
.pdf</t>
  </si>
  <si>
    <t xml:space="preserve">Extract these pages, in the order given, into a NEW derived file. Original bundle stays untouched.</t>
  </si>
  <si>
    <t xml:space="preserve">2026-04-09_FARMAHEM_100-2-K_26_Jokerz_31
J31122501(.pdf</t>
  </si>
  <si>
    <t xml:space="preserve">2026-04-09_FARMAHEM_100-3-GC_26_Jokerz_31_J31112501_.pdf</t>
  </si>
  <si>
    <t xml:space="preserve">2026-04-09_FARMAHEM_100-3-K_26_Jokerz_31___J3112250.pdf</t>
  </si>
  <si>
    <t xml:space="preserve">2026-04-09_FARMAHEM_100-4-GC_26_Orange_Punch_Mimosa_.pdf</t>
  </si>
  <si>
    <t xml:space="preserve">2026-01-21</t>
  </si>
  <si>
    <t xml:space="preserve">2026-01-21_UKIM_CNP_ППК26005_AB092501.pdf</t>
  </si>
  <si>
    <t xml:space="preserve">2026-01-20</t>
  </si>
  <si>
    <t xml:space="preserve">2026-01-20_IJZ_MICRO_7_0010_26_AB092501.pdf</t>
  </si>
  <si>
    <t xml:space="preserve">2026-02-02</t>
  </si>
  <si>
    <t xml:space="preserve">2026-02-02_IJZ_84_2026_AB092501.pdf</t>
  </si>
  <si>
    <t xml:space="preserve">2025-02-26</t>
  </si>
  <si>
    <t xml:space="preserve">2025-02-26_UKIM_CNP_ППК25050_BG1024.pdf</t>
  </si>
  <si>
    <t xml:space="preserve">2025-02-27</t>
  </si>
  <si>
    <t xml:space="preserve">2025-02-27_IJZ_752_2025_BG_1024.pdf</t>
  </si>
  <si>
    <t xml:space="preserve">2025-02-24</t>
  </si>
  <si>
    <t xml:space="preserve">2025-02-24_IJZ_MICRO_163_0271_25_BG_1024.pdf</t>
  </si>
  <si>
    <t xml:space="preserve">NODATE</t>
  </si>
  <si>
    <t xml:space="preserve">NODATE_UNKNOWN_None_NOBATCH.pdf</t>
  </si>
  <si>
    <t xml:space="preserve">2025-12-04</t>
  </si>
  <si>
    <t xml:space="preserve">2025-12-04_FARMAHEM_276-31-M_25_Blue_Sunset_Sherbet,.pdf</t>
  </si>
  <si>
    <t xml:space="preserve">2025-11-24</t>
  </si>
  <si>
    <t xml:space="preserve">2025-11-24_IJZ_MICRO_1157_2058_25_BSS_052501.pdf</t>
  </si>
  <si>
    <t xml:space="preserve">NODATE_MAFWE_SPL_108022845_2_NOBATCH.pdf</t>
  </si>
  <si>
    <t xml:space="preserve">NODATE_MAFWE_SPL_10802_2845_2_NOBATCH.pdf</t>
  </si>
  <si>
    <t xml:space="preserve">2025-12-01</t>
  </si>
  <si>
    <t xml:space="preserve">2025-12-01_IJZ_5661_2025_BSS_052501.pdf</t>
  </si>
  <si>
    <t xml:space="preserve">2025-02-26_UKIM_CNP_ППК25051_BSS1024.pdf</t>
  </si>
  <si>
    <t xml:space="preserve">2025-02-27_IJZ_751_2025_BSS_1024.pdf</t>
  </si>
  <si>
    <t xml:space="preserve">2025-02-24_IJZ_MICRO_161_0269_25_BSS_1024.pdf</t>
  </si>
  <si>
    <t xml:space="preserve">2025-07-10</t>
  </si>
  <si>
    <t xml:space="preserve">2025-07-10_UKIM_CNP_ППК25176_BSS1024_01.pdf</t>
  </si>
  <si>
    <t xml:space="preserve">2025-06-26</t>
  </si>
  <si>
    <t xml:space="preserve">2025-06-26_IJZ_3177_2025_BSS_1024-01.pdf</t>
  </si>
  <si>
    <t xml:space="preserve">2025-07-02</t>
  </si>
  <si>
    <t xml:space="preserve">2025-07-02_IJZ_MICRO_626_1127_25_BSS_1024-01.pdf</t>
  </si>
  <si>
    <t xml:space="preserve">2025-09-17</t>
  </si>
  <si>
    <t xml:space="preserve">2025-09-17_UKIM_CNP_ППК25280_CJ052501_1.pdf</t>
  </si>
  <si>
    <t xml:space="preserve">2025-09-15</t>
  </si>
  <si>
    <t xml:space="preserve">2025-09-15_IJZ_4350_2025_CJ_052501_1.pdf</t>
  </si>
  <si>
    <t xml:space="preserve">2025-09-17_IJZ_MICRO_949_1687_25_CJ_052501_1.pdf</t>
  </si>
  <si>
    <t xml:space="preserve">2025-09-17_UKIM_CNP_ППК25281_CJ052501_2.pdf</t>
  </si>
  <si>
    <t xml:space="preserve">2025-09-17_IJZ_MICRO_947_1685_25_CJ_052501_2.pdf</t>
  </si>
  <si>
    <t xml:space="preserve">2025-09-15_IJZ_4349_2025_CJ_052501_2.pdf</t>
  </si>
  <si>
    <t xml:space="preserve">2025-10-23</t>
  </si>
  <si>
    <t xml:space="preserve">2025-10-23_UKIM_CNP_ППК25322_CJ062501_2.pdf</t>
  </si>
  <si>
    <t xml:space="preserve">2025-10-24</t>
  </si>
  <si>
    <t xml:space="preserve">2025-10-24_IJZ_4908_2025_CJ_062501_2.pdf</t>
  </si>
  <si>
    <t xml:space="preserve">2025-10-17</t>
  </si>
  <si>
    <t xml:space="preserve">2025-10-17_IJZ_MICRO_1032_1851_25_CJ062501_2.pdf</t>
  </si>
  <si>
    <t xml:space="preserve">2025-10-23_UKIM_CNP_ППК25321_CJ062501_1.pdf</t>
  </si>
  <si>
    <t xml:space="preserve">2025-12-01_IJZ_MICRO_1217_2168_25_CJ062501_1.pdf</t>
  </si>
  <si>
    <t xml:space="preserve">2025-10-24_IJZ_4907_2025_CJ_062501_1.pdf</t>
  </si>
  <si>
    <t xml:space="preserve">2025-11-28</t>
  </si>
  <si>
    <t xml:space="preserve">2025-11-28_UKIM_CNP_ППК25367_CJ072501.pdf</t>
  </si>
  <si>
    <t xml:space="preserve">2025-12-01_IJZ_MICRO_1218_2169_25_CJ072501.pdf</t>
  </si>
  <si>
    <t xml:space="preserve">2025-12-02</t>
  </si>
  <si>
    <t xml:space="preserve">2025-12-02_IJZ_5697_2025_CJ_072501.pdf</t>
  </si>
  <si>
    <t xml:space="preserve">2026-01-21_UKIM_CNP_ППК26002_CJ082501_1.pdf</t>
  </si>
  <si>
    <t xml:space="preserve">2026-01-20_IJZ_MICRO_8_0011_26_CJ082501_1.pdf</t>
  </si>
  <si>
    <t xml:space="preserve">2026-02-02_IJZ_81_2026_CJ082501_1.pdf</t>
  </si>
  <si>
    <t xml:space="preserve">2026-01-21_UKIM_CNP_ППК26003_CJ082501_2.pdf</t>
  </si>
  <si>
    <t xml:space="preserve">2026-01-20_IJZ_MICRO_4_0007_26_CJ082501_2.pdf</t>
  </si>
  <si>
    <t xml:space="preserve">2026-02-02_IJZ_82_2026_CJ082501_2.pdf</t>
  </si>
  <si>
    <t xml:space="preserve">2026-01-21_UKIM_CNP_ППК26007_CJ092501.pdf</t>
  </si>
  <si>
    <t xml:space="preserve">2026-01-20_IJZ_MICRO_10_0013_26_CJ092501.pdf</t>
  </si>
  <si>
    <t xml:space="preserve">2026-02-02_IJZ_86_2026_CJ092501.pdf</t>
  </si>
  <si>
    <t xml:space="preserve">2025-02-26_UKIM_CNP_ППК25052_CJ1024.pdf</t>
  </si>
  <si>
    <t xml:space="preserve">2025-02-27_IJZ_750_2025_CJ_1024.pdf</t>
  </si>
  <si>
    <t xml:space="preserve">2025-02-24_IJZ_MICRO_164_0272_25_CJ_1024.pdf</t>
  </si>
  <si>
    <t xml:space="preserve">2025-11-28_UKIM_CNP_ППК25370_CLE072501.pdf</t>
  </si>
  <si>
    <t xml:space="preserve">2025-12-01_IJZ_MICRO_1219_2170_25_CLE072501.pdf</t>
  </si>
  <si>
    <t xml:space="preserve">2025-12-02_IJZ_5700_2025_CLE072501.pdf</t>
  </si>
  <si>
    <t xml:space="preserve">2025-04-17</t>
  </si>
  <si>
    <t xml:space="preserve">2025-04-17_UKIM_CNP_ППК25104_GG1024_01.pdf</t>
  </si>
  <si>
    <t xml:space="preserve">2025-04-11</t>
  </si>
  <si>
    <t xml:space="preserve">2025-04-11_IJZ_1766_2025_GG_1024_01.pdf</t>
  </si>
  <si>
    <t xml:space="preserve">2025-04-14</t>
  </si>
  <si>
    <t xml:space="preserve">2025-04-14_IJZ_MICRO_320_0587_25_GG1024-01.pdf</t>
  </si>
  <si>
    <t xml:space="preserve">2025-05-22</t>
  </si>
  <si>
    <t xml:space="preserve">2025-05-22_UKIM_CNP_ППК25140_GG1024_02.pdf</t>
  </si>
  <si>
    <t xml:space="preserve">2025-05-30</t>
  </si>
  <si>
    <t xml:space="preserve">2025-05-30_IJZ_2472_2025_GG_1024_02.pdf</t>
  </si>
  <si>
    <t xml:space="preserve">2025-05-22_IJZ_MICRO_472_0863_25_GG1024-02.pdf</t>
  </si>
  <si>
    <t xml:space="preserve">2025-09-19</t>
  </si>
  <si>
    <t xml:space="preserve">2025-09-19_UKIM_CNP_ППК25279_GP052501.pdf</t>
  </si>
  <si>
    <t xml:space="preserve">2025-09-17_IJZ_MICRO_946_1684_25_GP_052501.pdf</t>
  </si>
  <si>
    <t xml:space="preserve">2025-09-15_IJZ_4348_2025_GP_052501.pdf</t>
  </si>
  <si>
    <t xml:space="preserve">2025-10-08</t>
  </si>
  <si>
    <t xml:space="preserve">2025-10-08_IJZ_MICRO_1009_1813_25_GP062501.pdf</t>
  </si>
  <si>
    <t xml:space="preserve">2025-10-08_IJZ_4762_2025_GP_062501.pdf</t>
  </si>
  <si>
    <t xml:space="preserve">2025-11-24_IJZ_MICRO_1155_2056_25_GP062501.pdf</t>
  </si>
  <si>
    <t xml:space="preserve">2025-12-12</t>
  </si>
  <si>
    <t xml:space="preserve">2025-12-12_UKIM_CNP_ППК25378_GP072501_1.pdf</t>
  </si>
  <si>
    <t xml:space="preserve">2025-12-05</t>
  </si>
  <si>
    <t xml:space="preserve">2025-12-05_IJZ_MICRO_1228_2194_25_GP072501_1.pdf</t>
  </si>
  <si>
    <t xml:space="preserve">2025-12-12_IJZ_5886_2025_GP_072501_1.pdf</t>
  </si>
  <si>
    <t xml:space="preserve">2025-12-12_UKIM_CNP_ППК25379_GP072501_2.pdf</t>
  </si>
  <si>
    <t xml:space="preserve">2025-12-12_IJZ_5887_2025_GP_072501_2.pdf</t>
  </si>
  <si>
    <t xml:space="preserve">2025-12-05_IJZ_MICRO_1229_2195_25_GP072501_2.pdf</t>
  </si>
  <si>
    <t xml:space="preserve">2025-04-17_UKIM_CNP_ППК25105_GP0824_01.pdf</t>
  </si>
  <si>
    <t xml:space="preserve">2025-04-14_IJZ_MICRO_318_0585_25_GP0824-01.pdf</t>
  </si>
  <si>
    <t xml:space="preserve">2025-04-11_IJZ_1767_2025_GP_0824_01.pdf</t>
  </si>
  <si>
    <t xml:space="preserve">2025-04-14_IJZ_MICRO_319_0586_25_GP0824-01.pdf</t>
  </si>
  <si>
    <t xml:space="preserve">2025-07-10_UKIM_CNP_ППК25174_GP0824_02.pdf</t>
  </si>
  <si>
    <t xml:space="preserve">2025-06-26_IJZ_3176_2025_GPO824-02.pdf</t>
  </si>
  <si>
    <t xml:space="preserve">2025-07-02_IJZ_MICRO_627_1_GP_0824-02.pdf</t>
  </si>
  <si>
    <t xml:space="preserve">2025-05-22_UKIM_CNP_None_GP0824_02.pdf</t>
  </si>
  <si>
    <t xml:space="preserve">2025-05-30_IJZ_2471_2025_GP_0824_02.pdf</t>
  </si>
  <si>
    <t xml:space="preserve">2025-05-22_IJZ_MICRO_471_0862_25_GP0824-02.pdf</t>
  </si>
  <si>
    <t xml:space="preserve">2025-07-10_UKIM_CNP_ППК25175_GP0824_03.pdf</t>
  </si>
  <si>
    <t xml:space="preserve">2025-06-26_IJZ_3178_2025_GP_0824-03.pdf</t>
  </si>
  <si>
    <t xml:space="preserve">2025-07-02_IJZ_MICRO_628_1129_25_GP_0824-03.pdf</t>
  </si>
  <si>
    <t xml:space="preserve">2025-12-12_UKIM_CNP_ППК25380_GP082501_1.pdf</t>
  </si>
  <si>
    <t xml:space="preserve">2025-12-05_IJZ_MICRO_1226_2192_25_GP082501_1.pdf</t>
  </si>
  <si>
    <t xml:space="preserve">2025-12-12_IJZ_5888_2025_GP_082501_1.pdf</t>
  </si>
  <si>
    <t xml:space="preserve">2025-12-12_UKIM_CNP_ППК25381_GP082501_2.pdf</t>
  </si>
  <si>
    <t xml:space="preserve">2025-12-12_IJZ_5889_2025_GP_082501_2.pdf</t>
  </si>
  <si>
    <t xml:space="preserve">2025-12-05_IJZ_MICRO_1227_2193_25_GP082501_2.pdf</t>
  </si>
  <si>
    <t xml:space="preserve">2026-01-21_UKIM_CNP_ППК26009_GP092501.pdf</t>
  </si>
  <si>
    <t xml:space="preserve">2026-01-20_IJZ_MICRO_5_0008_26_GP092501.pdf</t>
  </si>
  <si>
    <t xml:space="preserve">2026-02-03</t>
  </si>
  <si>
    <t xml:space="preserve">2026-02-03_IJZ_88_2026_GP092501.pdf</t>
  </si>
  <si>
    <t xml:space="preserve">2025-09-19_UKIM_CNP_ППК25278_HPA052501.pdf</t>
  </si>
  <si>
    <t xml:space="preserve">2025-09-17_IJZ_MICRO_948_1686_25_HPA052501.pdf</t>
  </si>
  <si>
    <t xml:space="preserve">2025-09-15_IJZ_4352_2025_HPA_052501.pdf</t>
  </si>
  <si>
    <t xml:space="preserve">2025-06-19</t>
  </si>
  <si>
    <t xml:space="preserve">2025-06-19_IJZ_2995_2025_HPA_1024-01.pdf</t>
  </si>
  <si>
    <t xml:space="preserve">2025-06-18</t>
  </si>
  <si>
    <t xml:space="preserve">2025-06-18_IJZ_MICRO_587_1066_25_HPA_1024-01.pdf</t>
  </si>
  <si>
    <t xml:space="preserve">2026-04-23</t>
  </si>
  <si>
    <t xml:space="preserve">2026-04-23_IJZ_1628_2026_J311122501.pdf</t>
  </si>
  <si>
    <t xml:space="preserve">2026-04-07</t>
  </si>
  <si>
    <t xml:space="preserve">2026-04-07_IJZ_MICRO_231_0394_26_J31122501.pdf</t>
  </si>
  <si>
    <t xml:space="preserve">2026-04-07_IJZ_MICRO_230_0393_26_J31122501.pdf</t>
  </si>
  <si>
    <t xml:space="preserve">2026-04-23_IJZ_1625_2026_J31122501.pdf</t>
  </si>
  <si>
    <t xml:space="preserve">2025-05-06</t>
  </si>
  <si>
    <t xml:space="preserve">2025-05-06_UKIM_CNP_ППК25118_MB0824_01.pdf</t>
  </si>
  <si>
    <t xml:space="preserve">2025-05-07</t>
  </si>
  <si>
    <t xml:space="preserve">2025-05-07_IJZ_2157_2025_MB_0824_04.pdf</t>
  </si>
  <si>
    <t xml:space="preserve">2025-05-05</t>
  </si>
  <si>
    <t xml:space="preserve">2025-05-05_IJZ_MICRO_406_0744_25_MB0824-04.pdf</t>
  </si>
  <si>
    <t xml:space="preserve">2025-07-28</t>
  </si>
  <si>
    <t xml:space="preserve">2025-07-28_UKIM_CNP_ППК25211_MB0824_05.pdf</t>
  </si>
  <si>
    <t xml:space="preserve">2025-07-29</t>
  </si>
  <si>
    <t xml:space="preserve">2025-07-29_IJZ_MICRO_767_1376_25_MB_0824-05.pdf</t>
  </si>
  <si>
    <t xml:space="preserve">2025-07-28_IJZ_3638_2025_MB_0824_05.pdf</t>
  </si>
  <si>
    <t xml:space="preserve">2025-09-05</t>
  </si>
  <si>
    <t xml:space="preserve">2025-09-05_UKIM_CNP_ППК25257_OPM052501.pdf</t>
  </si>
  <si>
    <t xml:space="preserve">2025-09-02</t>
  </si>
  <si>
    <t xml:space="preserve">2025-09-02_IJZ_MICRO_904_1589_25_OPM_052501.pdf</t>
  </si>
  <si>
    <t xml:space="preserve">2025-08-29</t>
  </si>
  <si>
    <t xml:space="preserve">2025-08-29_IJZ_4157_2025_OPM_052501.pdf</t>
  </si>
  <si>
    <t xml:space="preserve">2026-01-21_UKIM_CNP_ППК26008_OPM092501.pdf</t>
  </si>
  <si>
    <t xml:space="preserve">2026-01-20_IJZ_MICRO_2_0005_26_OPM092501.pdf</t>
  </si>
  <si>
    <t xml:space="preserve">2026-02-03_IJZ_87_2026_OPM092501.pdf</t>
  </si>
  <si>
    <t xml:space="preserve">2025-05-06_UKIM_CNP_ППК25117_OPM1024_01.pdf</t>
  </si>
  <si>
    <t xml:space="preserve">2025-05-07_IJZ_2156_2025_OPM_1024_01.pdf</t>
  </si>
  <si>
    <t xml:space="preserve">2025-05-05_IJZ_MICRO_407_0745_25_OPM_1024-01.pdf</t>
  </si>
  <si>
    <t xml:space="preserve">2025-06-19_IJZ_2994_2025_OPM_1024_02.pdf</t>
  </si>
  <si>
    <t xml:space="preserve">2025-06-18_IJZ_MICRO_588_1067_25_OPM_1024-02.pdf</t>
  </si>
  <si>
    <t xml:space="preserve">2025-07-28_UKIM_CNP_ППК25210_OPM1024_03.pdf</t>
  </si>
  <si>
    <t xml:space="preserve">2025-07-29_IJZ_MICRO_766_1375_25_OPM_1024-03.pdf</t>
  </si>
  <si>
    <t xml:space="preserve">2025-07-28_IJZ_3636_2025_OPM_1024_03.pdf</t>
  </si>
  <si>
    <t xml:space="preserve">2026-04-07_IJZ_MICRO_229_0392_26_OPM122501.pdf</t>
  </si>
  <si>
    <t xml:space="preserve">2026-04-23_IJZ_1627_2026_OPM122501.pdf</t>
  </si>
  <si>
    <t xml:space="preserve">2026-01-21_UKIM_CNP_ППК26001_WC082501.pdf</t>
  </si>
  <si>
    <t xml:space="preserve">2026-01-20_IJZ_MICRO_3_0006_26_WC082501.pdf</t>
  </si>
  <si>
    <t xml:space="preserve">2026-01-20_IJZ_MICRO_8_001_CJ082501_1.pdf</t>
  </si>
  <si>
    <t xml:space="preserve">2026-01-21_UKIM_CNP_ППК26004_PM092501.pdf</t>
  </si>
  <si>
    <t xml:space="preserve">2026-01-20_IJZ_MICRO_6_0009_26_PM092501.pdf</t>
  </si>
  <si>
    <t xml:space="preserve">2026-01-21_UKIM_CNP_ППК26006_SJ092501.pdf</t>
  </si>
  <si>
    <t xml:space="preserve">2026-01-20_IJZ_MICRO_9_0012_26_SJ092501.pdf</t>
  </si>
  <si>
    <t xml:space="preserve">2025-11-28_UKIM_CNP_ППК25368_PM072501.pdf</t>
  </si>
  <si>
    <t xml:space="preserve">2025-12-02_IJZ_5698_2025_PM072501.pdf</t>
  </si>
  <si>
    <t xml:space="preserve">2025-12-01_IJZ_MICRO_1220_2171_25_PM072501.pdf</t>
  </si>
  <si>
    <t xml:space="preserve">2026-02-02_IJZ_83_2026_PM092501.pdf</t>
  </si>
  <si>
    <t xml:space="preserve">2026-02-02_IJZ_85_2026_SJ092501.pdf</t>
  </si>
  <si>
    <t xml:space="preserve">2025-11-28_UKIM_CNP_ППК25369_WC072501.pdf</t>
  </si>
  <si>
    <t xml:space="preserve">2025-12-01_IJZ_MICRO_1221_2172_25_WC072501.pdf</t>
  </si>
  <si>
    <t xml:space="preserve">2025-12-02_IJZ_5699_2025_WC072501.pdf</t>
  </si>
  <si>
    <t xml:space="preserve">2026-02-02_IJZ_80_2026_WC082501.pdf</t>
  </si>
  <si>
    <t xml:space="preserve">File (relative to QC_eCoA)</t>
  </si>
  <si>
    <t xml:space="preserve">Root folder</t>
  </si>
  <si>
    <t xml:space="preserve">Size KB</t>
  </si>
  <si>
    <t xml:space="preserve">Certificates in file</t>
  </si>
  <si>
    <t xml:space="preserve">Certificate IDs</t>
  </si>
  <si>
    <t xml:space="preserve">Blank pages</t>
  </si>
  <si>
    <t xml:space="preserve">Copy status</t>
  </si>
  <si>
    <t xml:space="preserve">ImB_COAs</t>
  </si>
  <si>
    <t xml:space="preserve">primary</t>
  </si>
  <si>
    <t xml:space="preserve">IJZ|84/2026 ; IJZ_MICRO|7/0010/26 ; UKIM_CNP|ППК26005</t>
  </si>
  <si>
    <t xml:space="preserve">IJZ|752/2025 ; IJZ_MICRO|163/0271/25 ; UKIM_CNP|ППК25050</t>
  </si>
  <si>
    <t xml:space="preserve">706eff3d6d097cef</t>
  </si>
  <si>
    <t xml:space="preserve">FARMAHEM|276-31-M/25 ; IJZ|5661/2025 ; IJZ_MICRO|1157/2058/25 ; MAFWE_SPL|108022845/2 ; MAFWE_SPL|10802_2845/2 ; UNKNOWN|None</t>
  </si>
  <si>
    <t xml:space="preserve">IJZ|751/2025 ; IJZ_MICRO|161/0269/25 ; UKIM_CNP|ППК25051</t>
  </si>
  <si>
    <t xml:space="preserve">IJZ|3177/2025 ; IJZ_MICRO|626/1127/25 ; UKIM_CNP|ППК25176</t>
  </si>
  <si>
    <t xml:space="preserve">ImB_COAs/BSS1024_CoA.pdf</t>
  </si>
  <si>
    <t xml:space="preserve">44981a8c93cb746e</t>
  </si>
  <si>
    <t xml:space="preserve">IJZ|4350/2025 ; IJZ_MICRO|949/1687/25 ; UKIM_CNP|ППК25280</t>
  </si>
  <si>
    <t xml:space="preserve">IJZ|4349/2025 ; IJZ_MICRO|947/1685/25 ; UKIM_CNP|ППК25281</t>
  </si>
  <si>
    <t xml:space="preserve">IJZ|4908/2025 ; IJZ_MICRO|1032/1851/25 ; UKIM_CNP|ППК25322</t>
  </si>
  <si>
    <t xml:space="preserve">IJZ|4907/2025 ; IJZ_MICRO|1217/2168/25 ; UKIM_CNP|ППК25321</t>
  </si>
  <si>
    <t xml:space="preserve">redundant copy</t>
  </si>
  <si>
    <t xml:space="preserve">IJZ|5697/2025 ; IJZ_MICRO|1218/2169/25 ; UKIM_CNP|ППК25367</t>
  </si>
  <si>
    <t xml:space="preserve">IJZ|81/2026 ; IJZ_MICRO|8/0011/26 ; UKIM_CNP|ППК26002</t>
  </si>
  <si>
    <t xml:space="preserve">IJZ|82/2026 ; IJZ_MICRO|4/0007/26 ; UKIM_CNP|ППК26003</t>
  </si>
  <si>
    <t xml:space="preserve">IJZ|86/2026 ; IJZ_MICRO|10/0013/26 ; UKIM_CNP|ППК26007</t>
  </si>
  <si>
    <t xml:space="preserve">IJZ|750/2025 ; IJZ_MICRO|164/0272/25 ; UKIM_CNP|ППК25052</t>
  </si>
  <si>
    <t xml:space="preserve">ImB_COAs/CJ1024_CoA.pdf</t>
  </si>
  <si>
    <t xml:space="preserve">fd60f3f7602b50e3</t>
  </si>
  <si>
    <t xml:space="preserve">IJZ|5700/2025 ; IJZ_MICRO|1219/2170/25 ; UKIM_CNP|ППК25370</t>
  </si>
  <si>
    <t xml:space="preserve">IJZ|1766/2025 ; IJZ_MICRO|320/0587/25 ; UKIM_CNP|ППК25104</t>
  </si>
  <si>
    <t xml:space="preserve">IJZ|2472/2025 ; IJZ_MICRO|472/0863/25 ; UKIM_CNP|ППК25140</t>
  </si>
  <si>
    <t xml:space="preserve">IJZ|4348/2025 ; IJZ_MICRO|946/1684/25 ; UKIM_CNP|ППК25279</t>
  </si>
  <si>
    <t xml:space="preserve">IJZ|4762/2025 ; IJZ_MICRO|1009/1813/25 ; IJZ_MICRO|1155/2056/25 ; UNKNOWN|None</t>
  </si>
  <si>
    <t xml:space="preserve">IJZ|5886/2025 ; IJZ_MICRO|1228/2194/25 ; UKIM_CNP|ППК25378</t>
  </si>
  <si>
    <t xml:space="preserve">IJZ|5887/2025 ; IJZ_MICRO|1229/2195/25 ; UKIM_CNP|ППК25379</t>
  </si>
  <si>
    <t xml:space="preserve">IJZ|1767/2025 ; IJZ_MICRO|318/0585/25 ; IJZ_MICRO|319/0586/25 ; UKIM_CNP|ППК25105</t>
  </si>
  <si>
    <t xml:space="preserve">IJZ|3176/2025 ; IJZ_MICRO|627/1 ; UKIM_CNP|ППК25174</t>
  </si>
  <si>
    <t xml:space="preserve">IJZ|2471/2025 ; IJZ_MICRO|471/0862/25 ; UKIM_CNP|None</t>
  </si>
  <si>
    <t xml:space="preserve">ImB_COAs/GP0824_02_bulk_CoA.pdf</t>
  </si>
  <si>
    <t xml:space="preserve">705eaa07cd6fa8ea</t>
  </si>
  <si>
    <t xml:space="preserve">IJZ|3178/2025 ; IJZ_MICRO|628/1129/25 ; UKIM_CNP|ППК25175</t>
  </si>
  <si>
    <t xml:space="preserve">IJZ|5888/2025 ; IJZ_MICRO|1226/2192/25 ; UKIM_CNP|ППК25380</t>
  </si>
  <si>
    <t xml:space="preserve">IJZ|5889/2025 ; IJZ_MICRO|1227/2193/25 ; UKIM_CNP|ППК25381</t>
  </si>
  <si>
    <t xml:space="preserve">IJZ|88/2026 ; IJZ_MICRO|5/0008/26 ; UKIM_CNP|ППК26009</t>
  </si>
  <si>
    <t xml:space="preserve">IJZ|4352/2025 ; IJZ_MICRO|948/1686/25 ; UKIM_CNP|ППК25278</t>
  </si>
  <si>
    <t xml:space="preserve">IJZ|2995/2025 ; IJZ_MICRO|587/1066/25 ; UKIM_CNP|None</t>
  </si>
  <si>
    <t xml:space="preserve">FARMAHEM|100-2-GC/26 ; FARMAHEM|100-2-K/26 ; IJZ|1628/2026 ; IJZ_MICRO|231/0394/26</t>
  </si>
  <si>
    <t xml:space="preserve">FARMAHEM|100-3-GC/26 ; FARMAHEM|100-3-K/26 ; IJZ|1625/2026 ; IJZ_MICRO|230/0393/26</t>
  </si>
  <si>
    <t xml:space="preserve">IJZ|2157/2025 ; IJZ_MICRO|406/0744/25 ; UKIM_CNP|ППК25118</t>
  </si>
  <si>
    <t xml:space="preserve">IJZ|3638/2025 ; IJZ_MICRO|767/1376/25 ; UKIM_CNP|ППК25211</t>
  </si>
  <si>
    <t xml:space="preserve">IJZ|4157/2025 ; IJZ_MICRO|904/1589/25 ; UKIM_CNP|ППК25257</t>
  </si>
  <si>
    <t xml:space="preserve">IJZ|87/2026 ; IJZ_MICRO|2/0005/26 ; UKIM_CNP|ППК26008</t>
  </si>
  <si>
    <t xml:space="preserve">IJZ|2156/2025 ; IJZ_MICRO|407/0745/25 ; UKIM_CNP|ППК25117</t>
  </si>
  <si>
    <t xml:space="preserve">IJZ|2994/2025 ; IJZ_MICRO|588/1067/25 ; UKIM_CNP|None</t>
  </si>
  <si>
    <t xml:space="preserve">IJZ|3636/2025 ; IJZ_MICRO|766/1375/25 ; UKIM_CNP|ППК25210</t>
  </si>
  <si>
    <t xml:space="preserve">FARMAHEM|100-4-GC/26 ; FARMAHEM|100-4-K/26 ; IJZ|1627/2026 ; IJZ_MICRO|229/0392/26</t>
  </si>
  <si>
    <t xml:space="preserve">2548207d9bb9b056</t>
  </si>
  <si>
    <t xml:space="preserve">0030e22b274aaf68</t>
  </si>
  <si>
    <t xml:space="preserve">d35c28ace6db50d5</t>
  </si>
  <si>
    <t xml:space="preserve">ImB_COAs/P050042.pdf</t>
  </si>
  <si>
    <t xml:space="preserve">8264d5a7f7791e67</t>
  </si>
  <si>
    <t xml:space="preserve">ImB_COAs/P050052.pdf</t>
  </si>
  <si>
    <t xml:space="preserve">d88a6ad552ad3e5d</t>
  </si>
  <si>
    <t xml:space="preserve">2a7521a8ad276638</t>
  </si>
  <si>
    <t xml:space="preserve">e268a1cce7f176a8</t>
  </si>
  <si>
    <t xml:space="preserve">e1d67ce1c400224c</t>
  </si>
  <si>
    <t xml:space="preserve">a67f6b9bf89d5fca</t>
  </si>
  <si>
    <t xml:space="preserve">15fc80971c688e75</t>
  </si>
  <si>
    <t xml:space="preserve">148dc8c716e09ce9</t>
  </si>
  <si>
    <t xml:space="preserve">afb581e87254daa4</t>
  </si>
  <si>
    <t xml:space="preserve">aadc7fbb159dd5e9</t>
  </si>
  <si>
    <t xml:space="preserve">fe461bf3c7fdde45</t>
  </si>
  <si>
    <t xml:space="preserve">377f8419aa3d455b</t>
  </si>
  <si>
    <t xml:space="preserve">01ba6faa13803b65</t>
  </si>
  <si>
    <t xml:space="preserve">8e3bc3d25dfe82b5</t>
  </si>
  <si>
    <t xml:space="preserve">b3f56edf0d72a67d</t>
  </si>
  <si>
    <t xml:space="preserve">ImB_COAs/P050212.pdf</t>
  </si>
  <si>
    <t xml:space="preserve">429e3ee4f57a6459</t>
  </si>
  <si>
    <t xml:space="preserve">aeeaa06b7d8f0b06</t>
  </si>
  <si>
    <t xml:space="preserve">cdd4cb6bff8737ad</t>
  </si>
  <si>
    <t xml:space="preserve">9f84c0728e198c00</t>
  </si>
  <si>
    <t xml:space="preserve">83ea1529743eecbd</t>
  </si>
  <si>
    <t xml:space="preserve">dfca1d9da402ed73</t>
  </si>
  <si>
    <t xml:space="preserve">f6e74259edbe915c</t>
  </si>
  <si>
    <t xml:space="preserve">IJZ_MICRO|3/0006/26 ; UKIM_CNP|ППК26001</t>
  </si>
  <si>
    <t xml:space="preserve">2f588dcbf6a2617e</t>
  </si>
  <si>
    <t xml:space="preserve">e7faa1fcd0b72afc</t>
  </si>
  <si>
    <t xml:space="preserve">IJZ_MICRO|8/001 ; UKIM_CNP|ППК26002</t>
  </si>
  <si>
    <t xml:space="preserve">e339a1778310abc6</t>
  </si>
  <si>
    <t xml:space="preserve">a5b0db6261508606</t>
  </si>
  <si>
    <t xml:space="preserve">ImB_COAs/P060032/P060032 Annex 1.pdf</t>
  </si>
  <si>
    <t xml:space="preserve">IJZ_MICRO|4/0007/26 ; UKIM_CNP|ППК26003</t>
  </si>
  <si>
    <t xml:space="preserve">a443499aa0150483</t>
  </si>
  <si>
    <t xml:space="preserve">e7a72cdad5edc8bf</t>
  </si>
  <si>
    <t xml:space="preserve">ImB_COAs/P060042/P060042 Annex 1.pdf</t>
  </si>
  <si>
    <t xml:space="preserve">IJZ_MICRO|2/0005/26 ; UKIM_CNP|ППК26008</t>
  </si>
  <si>
    <t xml:space="preserve">c5574353af2e3969</t>
  </si>
  <si>
    <t xml:space="preserve">3b09ca4d0c07075c</t>
  </si>
  <si>
    <t xml:space="preserve">ImB_COAs/P060052/P060052 Annex1.pdf</t>
  </si>
  <si>
    <t xml:space="preserve">IJZ_MICRO|7/0010/26 ; UKIM_CNP|ППК26005</t>
  </si>
  <si>
    <t xml:space="preserve">326283f2105c45e4</t>
  </si>
  <si>
    <t xml:space="preserve">394a7338c15235a9</t>
  </si>
  <si>
    <t xml:space="preserve">IJZ_MICRO|6/0009/26 ; UKIM_CNP|ППК26004</t>
  </si>
  <si>
    <t xml:space="preserve">5abe4f6ec26d3c94</t>
  </si>
  <si>
    <t xml:space="preserve">82ce2b68c4233784</t>
  </si>
  <si>
    <t xml:space="preserve">ImB_COAs/P060072/P060072 Annex 1.pdf</t>
  </si>
  <si>
    <t xml:space="preserve">IJZ_MICRO|10/0013/26 ; UKIM_CNP|ППК26007</t>
  </si>
  <si>
    <t xml:space="preserve">d431082f2be7f32b</t>
  </si>
  <si>
    <t xml:space="preserve">9f8c502134b69cc4</t>
  </si>
  <si>
    <t xml:space="preserve">IJZ_MICRO|9/0012/26 ; UKIM_CNP|ППК26006</t>
  </si>
  <si>
    <t xml:space="preserve">af55775e5723feeb</t>
  </si>
  <si>
    <t xml:space="preserve">6d57667d0b486e2b</t>
  </si>
  <si>
    <t xml:space="preserve">ImB_COAs/P060092/P060092 Annex 1.pdf</t>
  </si>
  <si>
    <t xml:space="preserve">IJZ_MICRO|5/0008/26 ; UKIM_CNP|ППК26009</t>
  </si>
  <si>
    <t xml:space="preserve">291447cc460a7f09</t>
  </si>
  <si>
    <t xml:space="preserve">d0c932d6172d04b2</t>
  </si>
  <si>
    <t xml:space="preserve">IJZ|5698/2025 ; IJZ_MICRO|1220/2171/25 ; UKIM_CNP|ППК25368</t>
  </si>
  <si>
    <t xml:space="preserve">IJZ|83/2026 ; IJZ_MICRO|6/0009/26 ; UKIM_CNP|ППК26004</t>
  </si>
  <si>
    <t xml:space="preserve">IJZ|85/2026 ; IJZ_MICRO|9/0012/26 ; UKIM_CNP|ППК26006</t>
  </si>
  <si>
    <t xml:space="preserve">IJZ|5699/2025 ; IJZ_MICRO|1221/2172/25 ; UKIM_CNP|ППК25369</t>
  </si>
  <si>
    <t xml:space="preserve">IJZ|80/2026 ; IJZ_MICRO|3/0006/26 ; UKIM_CNP|ППК26001</t>
  </si>
  <si>
    <t xml:space="preserve">ImB_QC_COAs</t>
  </si>
  <si>
    <t xml:space="preserve">Batch / serial as written on the certificates</t>
  </si>
  <si>
    <t xml:space="preserve">Total certificates</t>
  </si>
  <si>
    <t xml:space="preserve">In-house CoA</t>
  </si>
  <si>
    <t xml:space="preserve">UKIM CNP</t>
  </si>
  <si>
    <t xml:space="preserve">Farmahem</t>
  </si>
  <si>
    <t xml:space="preserve">IJZ chemistry</t>
  </si>
  <si>
    <t xml:space="preserve">IJZ microbiology</t>
  </si>
  <si>
    <t xml:space="preserve">Phytosanitary</t>
  </si>
  <si>
    <t xml:space="preserve">IJZ|752/2025 ; IJZ_MICRO|163/0271/25</t>
  </si>
  <si>
    <t xml:space="preserve">IJZ|5661/2025 ; IJZ_MICRO|1157/2058/25</t>
  </si>
  <si>
    <t xml:space="preserve">IJZ|751/2025 ; IJZ_MICRO|161/0269/25</t>
  </si>
  <si>
    <t xml:space="preserve">IJZ|3177/2025 ; IJZ_MICRO|626/1127/25</t>
  </si>
  <si>
    <t xml:space="preserve">IJZ|4350/2025 ; IJZ_MICRO|949/1687/25</t>
  </si>
  <si>
    <t xml:space="preserve">IJZ|4349/2025 ; IJZ_MICRO|947/1685/25</t>
  </si>
  <si>
    <t xml:space="preserve">IJZ|750/2025 ; IJZ_MICRO|164/0272/25</t>
  </si>
  <si>
    <t xml:space="preserve">IJZ_MICRO|1217/2168/25 ; UKIM_CNP|ППК25321</t>
  </si>
  <si>
    <t xml:space="preserve">IJZ_MICRO|1032/1851/25 ; UKIM_CNP|ППК25322</t>
  </si>
  <si>
    <t xml:space="preserve">IJZ_MICRO|1218/2169/25 ; UKIM_CNP|ППК25367</t>
  </si>
  <si>
    <t xml:space="preserve">IJZ|81/2026 ; IJZ_MICRO|8/001 ; IJZ_MICRO|8/0011/26 ; UKIM_CNP|ППК26002</t>
  </si>
  <si>
    <t xml:space="preserve">FARMAHEM|197-3-K/26 ; FARMAHEM|197-3-M/26</t>
  </si>
  <si>
    <t xml:space="preserve">FARMAHEM|197-5-K/26 ; FARMAHEM|197-5-M/26</t>
  </si>
  <si>
    <t xml:space="preserve">FARMAHEM|197-6-K/26 ; FARMAHEM|197-6-M/26</t>
  </si>
  <si>
    <t xml:space="preserve">IJZ|4348/2025 ; IJZ_MICRO|946/1684/25</t>
  </si>
  <si>
    <t xml:space="preserve">IJZ|3178/2025 ; IJZ_MICRO|628/1129/25</t>
  </si>
  <si>
    <t xml:space="preserve">IJZ_MICRO|1009/1813/25 ; IJZ_MICRO|1155/2056/25</t>
  </si>
  <si>
    <t xml:space="preserve">IJZ_MICRO|1228/2194/25 ; UKIM_CNP|ППК25378</t>
  </si>
  <si>
    <t xml:space="preserve">IJZ_MICRO|1229/2195/25 ; UKIM_CNP|ППК25379</t>
  </si>
  <si>
    <t xml:space="preserve">IJZ_MICRO|318/0585/25 ; IJZ_MICRO|319/0586/25</t>
  </si>
  <si>
    <t xml:space="preserve">UKIM_CNP|None ; UKIM_CNP|ППК25174</t>
  </si>
  <si>
    <t xml:space="preserve">IJZ_MICRO|1226/2192/25 ; UKIM_CNP|ППК25380</t>
  </si>
  <si>
    <t xml:space="preserve">IJZ_MICRO|1227/2193/25 ; UKIM_CNP|ППК25381</t>
  </si>
  <si>
    <t xml:space="preserve">FARMAHEM|197-9-K/26 ; FARMAHEM|197-9-M/26</t>
  </si>
  <si>
    <t xml:space="preserve">FARMAHEM|197-11-K/26 ; FARMAHEM|197-11-M/26</t>
  </si>
  <si>
    <t xml:space="preserve">FARMAHEM|197-10-K/26 ; FARMAHEM|197-10-M/26</t>
  </si>
  <si>
    <t xml:space="preserve">IJZ|2995/2025 ; IJZ_MICRO|587/1066/25</t>
  </si>
  <si>
    <t xml:space="preserve">IJZ_MICRO|948/1686/25 ; UKIM_CNP|ППК25278</t>
  </si>
  <si>
    <t xml:space="preserve">FARMAHEM|197-13-K/26 ; FARMAHEM|197-13-M/26</t>
  </si>
  <si>
    <t xml:space="preserve">IJZ|1625/2026 ; IJZ_MICRO|230/0393/26 ; IJZ_MICRO|231/0394/26</t>
  </si>
  <si>
    <t xml:space="preserve">FARMAHEM|051-5-GC/26 ; FARMAHEM|051-5-K/26 ; FARMAHEM|100-1-GC/26 ; FARMAHEM|100-1-K/26</t>
  </si>
  <si>
    <t xml:space="preserve">FARMAHEM|051-1-GC/26 ; FARMAHEM|051-1-K/26</t>
  </si>
  <si>
    <t xml:space="preserve">IJZ|4157/2025 ; IJZ_MICRO|904/1589/25</t>
  </si>
  <si>
    <t xml:space="preserve">IJZ|1627/2026 ; IJZ_MICRO|229/0392/26</t>
  </si>
  <si>
    <t xml:space="preserve">FARMAHEM|100-4-GC/26 ; FARMAHEM|100-4-K/26</t>
  </si>
  <si>
    <t xml:space="preserve">FARMAHEM|197-19-K/26 ; FARMAHEM|197-19-M/26</t>
  </si>
  <si>
    <t xml:space="preserve">PURELYPLANT|P050022 ; UKIM_CNP|ППК26032 ; UKIM_CNP|ППК26033</t>
  </si>
  <si>
    <t xml:space="preserve">PURELYPLANT|P050072 ; UKIM_CNP|ППК26034 ; UKIM_CNP|ППК26035 ; UKIM_CNP|ППК26060</t>
  </si>
  <si>
    <t xml:space="preserve">PURELYPLANT|P050202 ; UKIM_CNP|ППК26036 ; UKIM_CNP|ППК26037</t>
  </si>
  <si>
    <t xml:space="preserve">UKIM_CNP|ППК26057 ; UKIM_CNP|ППК26058</t>
  </si>
  <si>
    <t xml:space="preserve">FARMAHEM|051-2-GC/26 ; FARMAHEM|051-2-K/26</t>
  </si>
  <si>
    <t xml:space="preserve">UNASSIGNED</t>
  </si>
  <si>
    <t xml:space="preserve">MAFWE_SPL|108022845/2 ; MAFWE_SPL|10802_2845/2 ; UNKNOWN|None</t>
  </si>
  <si>
    <t xml:space="preserve">Metric</t>
  </si>
  <si>
    <t xml:space="preserve">Value</t>
  </si>
  <si>
    <t xml:space="preserve">Formula source</t>
  </si>
  <si>
    <t xml:space="preserve">Distinct certificates</t>
  </si>
  <si>
    <t xml:space="preserve">In-house release CoAs (Purely Plant)</t>
  </si>
  <si>
    <t xml:space="preserve">UKIM CNP certificates</t>
  </si>
  <si>
    <t xml:space="preserve">Farmahem reports</t>
  </si>
  <si>
    <t xml:space="preserve">IJZ chemistry reports</t>
  </si>
  <si>
    <t xml:space="preserve">IJZ microbiology reports</t>
  </si>
  <si>
    <t xml:space="preserve">State Phytosanitary Lab reports</t>
  </si>
  <si>
    <t xml:space="preserve">Unidentified documents</t>
  </si>
  <si>
    <t xml:space="preserve">Certificates embedded in multi-certificate bundles</t>
  </si>
  <si>
    <t xml:space="preserve">Certificates with pages missing from the file</t>
  </si>
  <si>
    <t xml:space="preserve">Total test results transcribed</t>
  </si>
  <si>
    <t xml:space="preserve">Findings – CRITICAL</t>
  </si>
  <si>
    <t xml:space="preserve">Findings – MAJOR</t>
  </si>
  <si>
    <t xml:space="preserve">Findings – MINOR</t>
  </si>
  <si>
    <t xml:space="preserve">Physical PDF files on disk</t>
  </si>
  <si>
    <t xml:space="preserve">Distinct batch codes seen on certificates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</si>
</sst>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EB9C"/>
        <bgColor rgb="FFFFFFCC"/>
      </patternFill>
    </fill>
    <fill>
      <patternFill patternType="solid">
        <fgColor rgb="FFFFC7CE"/>
        <bgColor rgb="FFD9D9D9"/>
      </patternFill>
    </fill>
    <fill>
      <patternFill patternType="solid">
        <fgColor rgb="FFC6EFCE"/>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C6EF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50"/>
  </cols>
  <sheetData>
    <row r="1" customFormat="false" ht="32.8" hidden="false" customHeight="false" outlineLevel="0" collapsed="false">
      <c r="A1" s="1" t="s">
        <v>0</v>
      </c>
      <c r="B1" s="2"/>
    </row>
    <row r="2" customFormat="false" ht="23.85" hidden="false" customHeight="false" outlineLevel="0" collapsed="false">
      <c r="A2" s="2" t="s">
        <v>1</v>
      </c>
      <c r="B2" s="2"/>
    </row>
    <row r="3" customFormat="false" ht="15" hidden="false" customHeight="false" outlineLevel="0" collapsed="false">
      <c r="A3" s="2"/>
      <c r="B3" s="2"/>
    </row>
    <row r="4" customFormat="false" ht="15" hidden="false" customHeight="false" outlineLevel="0" collapsed="false">
      <c r="A4" s="2" t="s">
        <v>2</v>
      </c>
      <c r="B4" s="2" t="s">
        <v>3</v>
      </c>
    </row>
    <row r="5" customFormat="false" ht="15" hidden="false" customHeight="false" outlineLevel="0" collapsed="false">
      <c r="A5" s="2" t="s">
        <v>4</v>
      </c>
      <c r="B5" s="2" t="s">
        <v>5</v>
      </c>
    </row>
    <row r="6" customFormat="false" ht="15" hidden="false" customHeight="false" outlineLevel="0" collapsed="false">
      <c r="A6" s="2" t="s">
        <v>6</v>
      </c>
      <c r="B6" s="2" t="s">
        <v>7</v>
      </c>
    </row>
    <row r="7" customFormat="false" ht="15" hidden="false" customHeight="false" outlineLevel="0" collapsed="false">
      <c r="A7" s="2"/>
      <c r="B7" s="2"/>
    </row>
    <row r="8" customFormat="false" ht="15" hidden="false" customHeight="false" outlineLevel="0" collapsed="false">
      <c r="A8" s="3" t="s">
        <v>8</v>
      </c>
      <c r="B8" s="2"/>
    </row>
    <row r="9" customFormat="false" ht="15" hidden="false" customHeight="false" outlineLevel="0" collapsed="false">
      <c r="A9" s="2" t="s">
        <v>9</v>
      </c>
      <c r="B9" s="2" t="s">
        <v>10</v>
      </c>
    </row>
    <row r="10" customFormat="false" ht="15" hidden="false" customHeight="false" outlineLevel="0" collapsed="false">
      <c r="A10" s="2" t="s">
        <v>11</v>
      </c>
      <c r="B10" s="2" t="s">
        <v>12</v>
      </c>
    </row>
    <row r="11" customFormat="false" ht="15" hidden="false" customHeight="false" outlineLevel="0" collapsed="false">
      <c r="A11" s="2" t="s">
        <v>13</v>
      </c>
      <c r="B11" s="2" t="s">
        <v>14</v>
      </c>
    </row>
    <row r="12" customFormat="false" ht="15" hidden="false" customHeight="false" outlineLevel="0" collapsed="false">
      <c r="A12" s="2" t="s">
        <v>15</v>
      </c>
      <c r="B12" s="2" t="s">
        <v>16</v>
      </c>
    </row>
    <row r="13" customFormat="false" ht="15" hidden="false" customHeight="false" outlineLevel="0" collapsed="false">
      <c r="A13" s="2" t="s">
        <v>17</v>
      </c>
      <c r="B13" s="2" t="s">
        <v>18</v>
      </c>
    </row>
    <row r="14" customFormat="false" ht="15" hidden="false" customHeight="false" outlineLevel="0" collapsed="false">
      <c r="A14" s="2" t="s">
        <v>19</v>
      </c>
      <c r="B14" s="2" t="s">
        <v>20</v>
      </c>
    </row>
    <row r="15" customFormat="false" ht="15" hidden="false" customHeight="false" outlineLevel="0" collapsed="false">
      <c r="A15" s="2"/>
      <c r="B15" s="2"/>
    </row>
    <row r="16" customFormat="false" ht="15" hidden="false" customHeight="false" outlineLevel="0" collapsed="false">
      <c r="A16" s="3" t="s">
        <v>21</v>
      </c>
      <c r="B16" s="2"/>
    </row>
    <row r="17" customFormat="false" ht="15" hidden="false" customHeight="false" outlineLevel="0" collapsed="false">
      <c r="A17" s="2" t="s">
        <v>22</v>
      </c>
      <c r="B17" s="2" t="s">
        <v>23</v>
      </c>
    </row>
    <row r="18" customFormat="false" ht="15" hidden="false" customHeight="false" outlineLevel="0" collapsed="false">
      <c r="A18" s="2" t="s">
        <v>24</v>
      </c>
      <c r="B18" s="2" t="s">
        <v>25</v>
      </c>
    </row>
    <row r="19" customFormat="false" ht="23.85" hidden="false" customHeight="false" outlineLevel="0" collapsed="false">
      <c r="A19" s="2" t="s">
        <v>26</v>
      </c>
      <c r="B19" s="2" t="s">
        <v>27</v>
      </c>
    </row>
    <row r="20" customFormat="false" ht="23.85" hidden="false" customHeight="false" outlineLevel="0" collapsed="false">
      <c r="A20" s="2" t="s">
        <v>28</v>
      </c>
      <c r="B20" s="2" t="s">
        <v>29</v>
      </c>
    </row>
    <row r="21" customFormat="false" ht="15" hidden="false" customHeight="false" outlineLevel="0" collapsed="false">
      <c r="A21" s="2" t="s">
        <v>30</v>
      </c>
      <c r="B21" s="2" t="s">
        <v>31</v>
      </c>
    </row>
    <row r="22" customFormat="false" ht="15" hidden="false" customHeight="false" outlineLevel="0" collapsed="false">
      <c r="A22" s="2"/>
      <c r="B22" s="2"/>
    </row>
    <row r="23" customFormat="false" ht="15" hidden="false" customHeight="false" outlineLevel="0" collapsed="false">
      <c r="A23" s="3" t="s">
        <v>32</v>
      </c>
      <c r="B23" s="2"/>
    </row>
    <row r="24" customFormat="false" ht="15" hidden="false" customHeight="false" outlineLevel="0" collapsed="false">
      <c r="A24" s="2"/>
      <c r="B24" s="2" t="s">
        <v>33</v>
      </c>
    </row>
    <row r="25" customFormat="false" ht="15" hidden="false" customHeight="false" outlineLevel="0" collapsed="false">
      <c r="A25" s="2"/>
      <c r="B25" s="2" t="s">
        <v>34</v>
      </c>
    </row>
    <row r="26" customFormat="false" ht="15" hidden="false" customHeight="false" outlineLevel="0" collapsed="false">
      <c r="A26" s="2"/>
      <c r="B26" s="2" t="s">
        <v>35</v>
      </c>
    </row>
    <row r="27" customFormat="false" ht="23.85" hidden="false" customHeight="false" outlineLevel="0" collapsed="false">
      <c r="A27" s="2"/>
      <c r="B27" s="2" t="s">
        <v>36</v>
      </c>
    </row>
    <row r="28" customFormat="false" ht="15" hidden="false" customHeight="false" outlineLevel="0" collapsed="false">
      <c r="A28" s="2"/>
      <c r="B28" s="2"/>
    </row>
    <row r="29" customFormat="false" ht="15" hidden="false" customHeight="false" outlineLevel="0" collapsed="false">
      <c r="A29" s="3" t="s">
        <v>37</v>
      </c>
      <c r="B29" s="2"/>
    </row>
    <row r="30" customFormat="false" ht="35.05" hidden="false" customHeight="false" outlineLevel="0" collapsed="false">
      <c r="A30" s="2"/>
      <c r="B30" s="2" t="s">
        <v>38</v>
      </c>
    </row>
    <row r="31" customFormat="false" ht="23.85" hidden="false" customHeight="false" outlineLevel="0" collapsed="false">
      <c r="A31" s="2"/>
      <c r="B31" s="2" t="s">
        <v>39</v>
      </c>
    </row>
    <row r="32" customFormat="false" ht="15" hidden="false" customHeight="false" outlineLevel="0" collapsed="false">
      <c r="A32" s="2"/>
      <c r="B32" s="2" t="s">
        <v>40</v>
      </c>
    </row>
    <row r="33" customFormat="false" ht="15" hidden="false" customHeight="false" outlineLevel="0" collapsed="false">
      <c r="A33" s="2"/>
      <c r="B33" s="2" t="s">
        <v>41</v>
      </c>
    </row>
    <row r="34" customFormat="false" ht="15" hidden="false" customHeight="false" outlineLevel="0" collapsed="false">
      <c r="A34" s="2"/>
      <c r="B34" s="2"/>
    </row>
    <row r="35" customFormat="false" ht="23.85" hidden="false" customHeight="false" outlineLevel="0" collapsed="false">
      <c r="A35" s="2" t="s">
        <v>42</v>
      </c>
      <c r="B35" s="2"/>
    </row>
    <row r="36" customFormat="false" ht="15" hidden="false" customHeight="false" outlineLevel="0" collapsed="false">
      <c r="A36" s="2"/>
      <c r="B36" s="2" t="s">
        <v>43</v>
      </c>
    </row>
    <row r="37" customFormat="false" ht="15" hidden="false" customHeight="false" outlineLevel="0" collapsed="false">
      <c r="A37" s="3"/>
      <c r="B37" s="2" t="s">
        <v>44</v>
      </c>
    </row>
    <row r="38" customFormat="false" ht="15" hidden="false" customHeight="false" outlineLevel="0" collapsed="false">
      <c r="A38" s="2"/>
      <c r="B38" s="2" t="s">
        <v>45</v>
      </c>
    </row>
    <row r="39" customFormat="false" ht="15" hidden="false" customHeight="false" outlineLevel="0" collapsed="false">
      <c r="A39" s="2"/>
      <c r="B39" s="2" t="s">
        <v>46</v>
      </c>
    </row>
    <row r="40" customFormat="false" ht="15" hidden="false" customHeight="false" outlineLevel="0" collapsed="false">
      <c r="A40" s="2"/>
      <c r="B40" s="2" t="s">
        <v>47</v>
      </c>
    </row>
    <row r="41" customFormat="false" ht="15" hidden="false" customHeight="false" outlineLevel="0" collapsed="false">
      <c r="A41" s="2"/>
      <c r="B41" s="2" t="s">
        <v>48</v>
      </c>
    </row>
    <row r="42" customFormat="false" ht="15" hidden="false" customHeight="false" outlineLevel="0" collapsed="false">
      <c r="A42" s="2"/>
      <c r="B42" s="2"/>
    </row>
    <row r="43" customFormat="false" ht="15" hidden="false" customHeight="false" outlineLevel="0" collapsed="false">
      <c r="A43" s="2" t="s">
        <v>49</v>
      </c>
      <c r="B43" s="2"/>
    </row>
    <row r="44" customFormat="false" ht="15" hidden="false" customHeight="false" outlineLevel="0" collapsed="false">
      <c r="A44" s="2" t="s">
        <v>50</v>
      </c>
      <c r="B44" s="2" t="s">
        <v>51</v>
      </c>
    </row>
    <row r="45" customFormat="false" ht="15" hidden="false" customHeight="false" outlineLevel="0" collapsed="false">
      <c r="A45" s="3" t="s">
        <v>52</v>
      </c>
      <c r="B45" s="2" t="s">
        <v>53</v>
      </c>
    </row>
    <row r="46" customFormat="false" ht="15" hidden="false" customHeight="false" outlineLevel="0" collapsed="false">
      <c r="A46" s="2" t="s">
        <v>54</v>
      </c>
      <c r="B46" s="2" t="s">
        <v>55</v>
      </c>
    </row>
    <row r="47" customFormat="false" ht="15" hidden="false" customHeight="false" outlineLevel="0" collapsed="false">
      <c r="A47" s="2" t="s">
        <v>56</v>
      </c>
      <c r="B47" s="2" t="s">
        <v>57</v>
      </c>
    </row>
    <row r="48" customFormat="false" ht="15" hidden="false" customHeight="false" outlineLevel="0" collapsed="false">
      <c r="A48" s="2" t="s">
        <v>58</v>
      </c>
      <c r="B48" s="2" t="s">
        <v>59</v>
      </c>
    </row>
    <row r="49" customFormat="false" ht="15" hidden="false" customHeight="false" outlineLevel="0" collapsed="false">
      <c r="A49" s="2" t="s">
        <v>60</v>
      </c>
      <c r="B49" s="2" t="s">
        <v>61</v>
      </c>
    </row>
    <row r="50" customFormat="false" ht="15" hidden="false" customHeight="false" outlineLevel="0" collapsed="false">
      <c r="A50" s="2" t="s">
        <v>62</v>
      </c>
      <c r="B50" s="2" t="s">
        <v>63</v>
      </c>
    </row>
    <row r="51" customFormat="false" ht="15" hidden="false" customHeight="false" outlineLevel="0" collapsed="false">
      <c r="A51" s="2" t="s">
        <v>64</v>
      </c>
      <c r="B51" s="2"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2"/>
    <col collapsed="false" customWidth="true" hidden="false" outlineLevel="0" max="4" min="4" style="0" width="24"/>
    <col collapsed="false" customWidth="true" hidden="false" outlineLevel="0" max="5" min="5" style="0" width="22"/>
    <col collapsed="false" customWidth="true" hidden="false" outlineLevel="0" max="6" min="6" style="0" width="42"/>
    <col collapsed="false" customWidth="true" hidden="false" outlineLevel="0" max="8" min="7" style="0" width="12"/>
    <col collapsed="false" customWidth="true" hidden="false" outlineLevel="0" max="9" min="9" style="0" width="14"/>
    <col collapsed="false" customWidth="true" hidden="false" outlineLevel="0" max="10" min="10" style="0" width="24"/>
    <col collapsed="false" customWidth="true" hidden="false" outlineLevel="0" max="11" min="11" style="0" width="18"/>
    <col collapsed="false" customWidth="true" hidden="false" outlineLevel="0" max="12" min="12" style="0" width="30"/>
    <col collapsed="false" customWidth="true" hidden="false" outlineLevel="0" max="13" min="13" style="0" width="16"/>
    <col collapsed="false" customWidth="true" hidden="false" outlineLevel="0" max="14" min="14" style="0" width="42"/>
    <col collapsed="false" customWidth="true" hidden="false" outlineLevel="0" max="15" min="15" style="0" width="9"/>
    <col collapsed="false" customWidth="true" hidden="false" outlineLevel="0" max="16" min="16" style="0" width="22"/>
    <col collapsed="false" customWidth="true" hidden="false" outlineLevel="0" max="18" min="17" style="0" width="9"/>
    <col collapsed="false" customWidth="true" hidden="false" outlineLevel="0" max="19" min="19" style="0" width="16"/>
    <col collapsed="false" customWidth="true" hidden="false" outlineLevel="0" max="20" min="20" style="0" width="14"/>
    <col collapsed="false" customWidth="true" hidden="false" outlineLevel="0" max="21" min="21" style="0" width="10"/>
    <col collapsed="false" customWidth="true" hidden="false" outlineLevel="0" max="22" min="22" style="0" width="60"/>
    <col collapsed="false" customWidth="true" hidden="false" outlineLevel="0" max="23" min="23" style="0" width="12"/>
    <col collapsed="false" customWidth="true" hidden="false" outlineLevel="0" max="24" min="24" style="0" width="90"/>
  </cols>
  <sheetData>
    <row r="1" customFormat="false" ht="33.75" hidden="false" customHeight="true" outlineLevel="0" collapsed="false">
      <c r="A1" s="4" t="s">
        <v>66</v>
      </c>
      <c r="B1" s="4" t="s">
        <v>67</v>
      </c>
      <c r="C1" s="4" t="s">
        <v>68</v>
      </c>
      <c r="D1" s="4" t="s">
        <v>69</v>
      </c>
      <c r="E1" s="4" t="s">
        <v>70</v>
      </c>
      <c r="F1" s="4" t="s">
        <v>71</v>
      </c>
      <c r="G1" s="4" t="s">
        <v>72</v>
      </c>
      <c r="H1" s="4" t="s">
        <v>73</v>
      </c>
      <c r="I1" s="4" t="s">
        <v>74</v>
      </c>
      <c r="J1" s="4" t="s">
        <v>75</v>
      </c>
      <c r="K1" s="4" t="s">
        <v>76</v>
      </c>
      <c r="L1" s="4" t="s">
        <v>77</v>
      </c>
      <c r="M1" s="4" t="s">
        <v>78</v>
      </c>
      <c r="N1" s="4" t="s">
        <v>79</v>
      </c>
      <c r="O1" s="4" t="s">
        <v>80</v>
      </c>
      <c r="P1" s="4" t="s">
        <v>81</v>
      </c>
      <c r="Q1" s="4" t="s">
        <v>82</v>
      </c>
      <c r="R1" s="4" t="s">
        <v>83</v>
      </c>
      <c r="S1" s="4" t="s">
        <v>84</v>
      </c>
      <c r="T1" s="4" t="s">
        <v>85</v>
      </c>
      <c r="U1" s="4" t="s">
        <v>86</v>
      </c>
      <c r="V1" s="4" t="s">
        <v>87</v>
      </c>
      <c r="W1" s="4" t="s">
        <v>88</v>
      </c>
      <c r="X1" s="4" t="s">
        <v>89</v>
      </c>
    </row>
    <row r="2" customFormat="false" ht="35.05" hidden="false" customHeight="false" outlineLevel="0" collapsed="false">
      <c r="A2" s="5" t="s">
        <v>90</v>
      </c>
      <c r="B2" s="5" t="s">
        <v>91</v>
      </c>
      <c r="C2" s="5" t="s">
        <v>92</v>
      </c>
      <c r="D2" s="5" t="s">
        <v>93</v>
      </c>
      <c r="E2" s="5" t="s">
        <v>94</v>
      </c>
      <c r="F2" s="6" t="s">
        <v>95</v>
      </c>
      <c r="G2" s="5" t="s">
        <v>96</v>
      </c>
      <c r="H2" s="5" t="s">
        <v>97</v>
      </c>
      <c r="I2" s="5" t="s">
        <v>98</v>
      </c>
      <c r="J2" s="5" t="s">
        <v>99</v>
      </c>
      <c r="K2" s="5"/>
      <c r="L2" s="5" t="s">
        <v>100</v>
      </c>
      <c r="M2" s="5" t="s">
        <v>101</v>
      </c>
      <c r="N2" s="6"/>
      <c r="O2" s="5" t="s">
        <v>102</v>
      </c>
      <c r="P2" s="5"/>
      <c r="Q2" s="5" t="n">
        <v>2</v>
      </c>
      <c r="R2" s="5"/>
      <c r="S2" s="5" t="s">
        <v>103</v>
      </c>
      <c r="T2" s="5" t="s">
        <v>104</v>
      </c>
      <c r="U2" s="5" t="n">
        <v>2</v>
      </c>
      <c r="V2" s="6" t="s">
        <v>105</v>
      </c>
      <c r="W2" s="5" t="s">
        <v>106</v>
      </c>
      <c r="X2" s="6" t="s">
        <v>107</v>
      </c>
    </row>
    <row r="3" customFormat="false" ht="35.05" hidden="false" customHeight="false" outlineLevel="0" collapsed="false">
      <c r="A3" s="5" t="s">
        <v>108</v>
      </c>
      <c r="B3" s="5" t="s">
        <v>91</v>
      </c>
      <c r="C3" s="5" t="s">
        <v>92</v>
      </c>
      <c r="D3" s="5" t="s">
        <v>109</v>
      </c>
      <c r="E3" s="5" t="s">
        <v>110</v>
      </c>
      <c r="F3" s="6" t="s">
        <v>111</v>
      </c>
      <c r="G3" s="5" t="s">
        <v>112</v>
      </c>
      <c r="H3" s="5" t="s">
        <v>97</v>
      </c>
      <c r="I3" s="5" t="s">
        <v>96</v>
      </c>
      <c r="J3" s="5" t="s">
        <v>99</v>
      </c>
      <c r="K3" s="5"/>
      <c r="L3" s="5" t="s">
        <v>100</v>
      </c>
      <c r="M3" s="5" t="s">
        <v>101</v>
      </c>
      <c r="N3" s="6"/>
      <c r="O3" s="5" t="s">
        <v>113</v>
      </c>
      <c r="P3" s="5"/>
      <c r="Q3" s="5" t="n">
        <v>2</v>
      </c>
      <c r="R3" s="5"/>
      <c r="S3" s="5" t="s">
        <v>103</v>
      </c>
      <c r="T3" s="5" t="s">
        <v>104</v>
      </c>
      <c r="U3" s="5" t="n">
        <v>2</v>
      </c>
      <c r="V3" s="6" t="s">
        <v>114</v>
      </c>
      <c r="W3" s="5" t="s">
        <v>106</v>
      </c>
      <c r="X3" s="6" t="s">
        <v>115</v>
      </c>
    </row>
    <row r="4" customFormat="false" ht="23.85" hidden="false" customHeight="false" outlineLevel="0" collapsed="false">
      <c r="A4" s="5" t="s">
        <v>116</v>
      </c>
      <c r="B4" s="5" t="s">
        <v>91</v>
      </c>
      <c r="C4" s="5" t="s">
        <v>92</v>
      </c>
      <c r="D4" s="5" t="s">
        <v>117</v>
      </c>
      <c r="E4" s="5" t="s">
        <v>118</v>
      </c>
      <c r="F4" s="6" t="s">
        <v>95</v>
      </c>
      <c r="G4" s="5" t="s">
        <v>96</v>
      </c>
      <c r="H4" s="5" t="s">
        <v>97</v>
      </c>
      <c r="I4" s="5" t="s">
        <v>98</v>
      </c>
      <c r="J4" s="6" t="s">
        <v>119</v>
      </c>
      <c r="K4" s="5"/>
      <c r="L4" s="5" t="s">
        <v>100</v>
      </c>
      <c r="M4" s="5" t="s">
        <v>120</v>
      </c>
      <c r="N4" s="6"/>
      <c r="O4" s="5" t="s">
        <v>121</v>
      </c>
      <c r="P4" s="5"/>
      <c r="Q4" s="5" t="n">
        <v>2</v>
      </c>
      <c r="R4" s="5"/>
      <c r="S4" s="5" t="s">
        <v>103</v>
      </c>
      <c r="T4" s="5" t="s">
        <v>104</v>
      </c>
      <c r="U4" s="5" t="n">
        <v>2</v>
      </c>
      <c r="V4" s="6" t="s">
        <v>122</v>
      </c>
      <c r="W4" s="5" t="s">
        <v>106</v>
      </c>
      <c r="X4" s="6" t="s">
        <v>123</v>
      </c>
    </row>
    <row r="5" customFormat="false" ht="23.85" hidden="false" customHeight="false" outlineLevel="0" collapsed="false">
      <c r="A5" s="5" t="s">
        <v>124</v>
      </c>
      <c r="B5" s="5" t="s">
        <v>91</v>
      </c>
      <c r="C5" s="5" t="s">
        <v>92</v>
      </c>
      <c r="D5" s="5" t="s">
        <v>125</v>
      </c>
      <c r="E5" s="5" t="s">
        <v>125</v>
      </c>
      <c r="F5" s="6" t="s">
        <v>111</v>
      </c>
      <c r="G5" s="5" t="s">
        <v>112</v>
      </c>
      <c r="H5" s="5" t="s">
        <v>97</v>
      </c>
      <c r="I5" s="5" t="s">
        <v>96</v>
      </c>
      <c r="J5" s="6" t="s">
        <v>119</v>
      </c>
      <c r="K5" s="5"/>
      <c r="L5" s="5" t="s">
        <v>100</v>
      </c>
      <c r="M5" s="5" t="s">
        <v>120</v>
      </c>
      <c r="N5" s="6"/>
      <c r="O5" s="5" t="s">
        <v>126</v>
      </c>
      <c r="P5" s="5"/>
      <c r="Q5" s="5" t="n">
        <v>2</v>
      </c>
      <c r="R5" s="5"/>
      <c r="S5" s="5" t="s">
        <v>103</v>
      </c>
      <c r="T5" s="5" t="s">
        <v>104</v>
      </c>
      <c r="U5" s="5" t="n">
        <v>2</v>
      </c>
      <c r="V5" s="6" t="s">
        <v>127</v>
      </c>
      <c r="W5" s="5" t="s">
        <v>106</v>
      </c>
      <c r="X5" s="6" t="s">
        <v>128</v>
      </c>
    </row>
    <row r="6" customFormat="false" ht="57.45" hidden="false" customHeight="false" outlineLevel="0" collapsed="false">
      <c r="A6" s="5" t="s">
        <v>129</v>
      </c>
      <c r="B6" s="5" t="s">
        <v>91</v>
      </c>
      <c r="C6" s="5" t="s">
        <v>92</v>
      </c>
      <c r="D6" s="5" t="s">
        <v>130</v>
      </c>
      <c r="E6" s="5" t="s">
        <v>131</v>
      </c>
      <c r="F6" s="6" t="s">
        <v>95</v>
      </c>
      <c r="G6" s="5" t="s">
        <v>96</v>
      </c>
      <c r="H6" s="5" t="s">
        <v>97</v>
      </c>
      <c r="I6" s="5" t="s">
        <v>98</v>
      </c>
      <c r="J6" s="5" t="s">
        <v>132</v>
      </c>
      <c r="K6" s="5"/>
      <c r="L6" s="5" t="s">
        <v>100</v>
      </c>
      <c r="M6" s="5" t="s">
        <v>133</v>
      </c>
      <c r="N6" s="6"/>
      <c r="O6" s="5" t="s">
        <v>103</v>
      </c>
      <c r="P6" s="5"/>
      <c r="Q6" s="5" t="n">
        <v>2</v>
      </c>
      <c r="R6" s="5"/>
      <c r="S6" s="5" t="s">
        <v>103</v>
      </c>
      <c r="T6" s="5" t="s">
        <v>104</v>
      </c>
      <c r="U6" s="5" t="n">
        <v>2</v>
      </c>
      <c r="V6" s="6" t="s">
        <v>134</v>
      </c>
      <c r="W6" s="5" t="s">
        <v>106</v>
      </c>
      <c r="X6" s="6" t="s">
        <v>135</v>
      </c>
    </row>
    <row r="7" customFormat="false" ht="23.85" hidden="false" customHeight="false" outlineLevel="0" collapsed="false">
      <c r="A7" s="5" t="s">
        <v>136</v>
      </c>
      <c r="B7" s="5" t="s">
        <v>91</v>
      </c>
      <c r="C7" s="5" t="s">
        <v>92</v>
      </c>
      <c r="D7" s="5" t="s">
        <v>137</v>
      </c>
      <c r="E7" s="5" t="s">
        <v>137</v>
      </c>
      <c r="F7" s="6" t="s">
        <v>111</v>
      </c>
      <c r="G7" s="5" t="s">
        <v>112</v>
      </c>
      <c r="H7" s="5" t="s">
        <v>97</v>
      </c>
      <c r="I7" s="5" t="s">
        <v>96</v>
      </c>
      <c r="J7" s="6" t="s">
        <v>138</v>
      </c>
      <c r="K7" s="5"/>
      <c r="L7" s="5" t="s">
        <v>100</v>
      </c>
      <c r="M7" s="5" t="s">
        <v>133</v>
      </c>
      <c r="N7" s="6"/>
      <c r="O7" s="5" t="s">
        <v>126</v>
      </c>
      <c r="P7" s="5"/>
      <c r="Q7" s="5" t="n">
        <v>2</v>
      </c>
      <c r="R7" s="5"/>
      <c r="S7" s="5" t="s">
        <v>103</v>
      </c>
      <c r="T7" s="5" t="s">
        <v>104</v>
      </c>
      <c r="U7" s="5" t="n">
        <v>2</v>
      </c>
      <c r="V7" s="6" t="s">
        <v>139</v>
      </c>
      <c r="W7" s="5" t="s">
        <v>106</v>
      </c>
      <c r="X7" s="6" t="s">
        <v>140</v>
      </c>
    </row>
    <row r="8" customFormat="false" ht="57.45" hidden="false" customHeight="false" outlineLevel="0" collapsed="false">
      <c r="A8" s="5" t="s">
        <v>141</v>
      </c>
      <c r="B8" s="5" t="s">
        <v>91</v>
      </c>
      <c r="C8" s="5" t="s">
        <v>92</v>
      </c>
      <c r="D8" s="5" t="s">
        <v>142</v>
      </c>
      <c r="E8" s="5" t="s">
        <v>143</v>
      </c>
      <c r="F8" s="6" t="s">
        <v>95</v>
      </c>
      <c r="G8" s="5" t="s">
        <v>96</v>
      </c>
      <c r="H8" s="5" t="s">
        <v>97</v>
      </c>
      <c r="I8" s="5" t="s">
        <v>98</v>
      </c>
      <c r="J8" s="5" t="s">
        <v>144</v>
      </c>
      <c r="K8" s="5"/>
      <c r="L8" s="5" t="s">
        <v>100</v>
      </c>
      <c r="M8" s="5" t="s">
        <v>145</v>
      </c>
      <c r="N8" s="6"/>
      <c r="O8" s="5" t="s">
        <v>103</v>
      </c>
      <c r="P8" s="5"/>
      <c r="Q8" s="5" t="n">
        <v>2</v>
      </c>
      <c r="R8" s="5"/>
      <c r="S8" s="5" t="s">
        <v>103</v>
      </c>
      <c r="T8" s="5" t="s">
        <v>104</v>
      </c>
      <c r="U8" s="5" t="n">
        <v>2</v>
      </c>
      <c r="V8" s="6" t="s">
        <v>146</v>
      </c>
      <c r="W8" s="5" t="s">
        <v>106</v>
      </c>
      <c r="X8" s="6" t="s">
        <v>135</v>
      </c>
    </row>
    <row r="9" customFormat="false" ht="23.85" hidden="false" customHeight="false" outlineLevel="0" collapsed="false">
      <c r="A9" s="5" t="s">
        <v>147</v>
      </c>
      <c r="B9" s="5" t="s">
        <v>91</v>
      </c>
      <c r="C9" s="5" t="s">
        <v>92</v>
      </c>
      <c r="D9" s="5" t="s">
        <v>148</v>
      </c>
      <c r="E9" s="5" t="s">
        <v>148</v>
      </c>
      <c r="F9" s="6" t="s">
        <v>111</v>
      </c>
      <c r="G9" s="5" t="s">
        <v>112</v>
      </c>
      <c r="H9" s="5" t="s">
        <v>97</v>
      </c>
      <c r="I9" s="5" t="s">
        <v>96</v>
      </c>
      <c r="J9" s="6" t="s">
        <v>149</v>
      </c>
      <c r="K9" s="5"/>
      <c r="L9" s="5" t="s">
        <v>100</v>
      </c>
      <c r="M9" s="5" t="s">
        <v>145</v>
      </c>
      <c r="N9" s="6"/>
      <c r="O9" s="5" t="s">
        <v>126</v>
      </c>
      <c r="P9" s="5"/>
      <c r="Q9" s="5" t="n">
        <v>2</v>
      </c>
      <c r="R9" s="5"/>
      <c r="S9" s="5" t="s">
        <v>103</v>
      </c>
      <c r="T9" s="5" t="s">
        <v>104</v>
      </c>
      <c r="U9" s="5" t="n">
        <v>2</v>
      </c>
      <c r="V9" s="6" t="s">
        <v>150</v>
      </c>
      <c r="W9" s="5" t="s">
        <v>106</v>
      </c>
      <c r="X9" s="6" t="s">
        <v>151</v>
      </c>
    </row>
    <row r="10" customFormat="false" ht="35.05" hidden="false" customHeight="false" outlineLevel="0" collapsed="false">
      <c r="A10" s="5" t="s">
        <v>152</v>
      </c>
      <c r="B10" s="5" t="s">
        <v>91</v>
      </c>
      <c r="C10" s="5" t="s">
        <v>92</v>
      </c>
      <c r="D10" s="5" t="s">
        <v>153</v>
      </c>
      <c r="E10" s="5" t="s">
        <v>154</v>
      </c>
      <c r="F10" s="6" t="s">
        <v>95</v>
      </c>
      <c r="G10" s="5" t="s">
        <v>96</v>
      </c>
      <c r="H10" s="5" t="s">
        <v>97</v>
      </c>
      <c r="I10" s="5" t="s">
        <v>98</v>
      </c>
      <c r="J10" s="6" t="s">
        <v>155</v>
      </c>
      <c r="K10" s="5"/>
      <c r="L10" s="5" t="s">
        <v>100</v>
      </c>
      <c r="M10" s="5" t="s">
        <v>156</v>
      </c>
      <c r="N10" s="6"/>
      <c r="O10" s="5" t="s">
        <v>121</v>
      </c>
      <c r="P10" s="5"/>
      <c r="Q10" s="5" t="n">
        <v>2</v>
      </c>
      <c r="R10" s="5"/>
      <c r="S10" s="5" t="s">
        <v>103</v>
      </c>
      <c r="T10" s="5" t="s">
        <v>104</v>
      </c>
      <c r="U10" s="5" t="n">
        <v>2</v>
      </c>
      <c r="V10" s="6" t="s">
        <v>157</v>
      </c>
      <c r="W10" s="5" t="s">
        <v>106</v>
      </c>
      <c r="X10" s="6" t="s">
        <v>158</v>
      </c>
    </row>
    <row r="11" customFormat="false" ht="23.85" hidden="false" customHeight="false" outlineLevel="0" collapsed="false">
      <c r="A11" s="5" t="s">
        <v>159</v>
      </c>
      <c r="B11" s="5" t="s">
        <v>91</v>
      </c>
      <c r="C11" s="5" t="s">
        <v>92</v>
      </c>
      <c r="D11" s="5" t="s">
        <v>160</v>
      </c>
      <c r="E11" s="5" t="s">
        <v>160</v>
      </c>
      <c r="F11" s="6" t="s">
        <v>111</v>
      </c>
      <c r="G11" s="5" t="s">
        <v>112</v>
      </c>
      <c r="H11" s="5" t="s">
        <v>97</v>
      </c>
      <c r="I11" s="5" t="s">
        <v>96</v>
      </c>
      <c r="J11" s="6" t="s">
        <v>155</v>
      </c>
      <c r="K11" s="5"/>
      <c r="L11" s="5" t="s">
        <v>100</v>
      </c>
      <c r="M11" s="5" t="s">
        <v>156</v>
      </c>
      <c r="N11" s="6"/>
      <c r="O11" s="5" t="s">
        <v>126</v>
      </c>
      <c r="P11" s="5"/>
      <c r="Q11" s="5" t="n">
        <v>2</v>
      </c>
      <c r="R11" s="5"/>
      <c r="S11" s="5" t="s">
        <v>103</v>
      </c>
      <c r="T11" s="5" t="s">
        <v>104</v>
      </c>
      <c r="U11" s="5" t="n">
        <v>2</v>
      </c>
      <c r="V11" s="6" t="s">
        <v>161</v>
      </c>
      <c r="W11" s="5" t="s">
        <v>106</v>
      </c>
      <c r="X11" s="6" t="s">
        <v>162</v>
      </c>
    </row>
    <row r="12" customFormat="false" ht="23.85" hidden="false" customHeight="false" outlineLevel="0" collapsed="false">
      <c r="A12" s="5" t="s">
        <v>163</v>
      </c>
      <c r="B12" s="5" t="s">
        <v>91</v>
      </c>
      <c r="C12" s="5" t="s">
        <v>92</v>
      </c>
      <c r="D12" s="5" t="s">
        <v>164</v>
      </c>
      <c r="E12" s="5" t="s">
        <v>165</v>
      </c>
      <c r="F12" s="6" t="s">
        <v>95</v>
      </c>
      <c r="G12" s="5" t="s">
        <v>96</v>
      </c>
      <c r="H12" s="5" t="s">
        <v>97</v>
      </c>
      <c r="I12" s="5" t="s">
        <v>98</v>
      </c>
      <c r="J12" s="6" t="s">
        <v>166</v>
      </c>
      <c r="K12" s="5"/>
      <c r="L12" s="5" t="s">
        <v>100</v>
      </c>
      <c r="M12" s="5" t="s">
        <v>167</v>
      </c>
      <c r="N12" s="6"/>
      <c r="O12" s="5" t="s">
        <v>121</v>
      </c>
      <c r="P12" s="5"/>
      <c r="Q12" s="5" t="n">
        <v>2</v>
      </c>
      <c r="R12" s="5"/>
      <c r="S12" s="5" t="s">
        <v>103</v>
      </c>
      <c r="T12" s="5" t="s">
        <v>104</v>
      </c>
      <c r="U12" s="5" t="n">
        <v>2</v>
      </c>
      <c r="V12" s="6" t="s">
        <v>168</v>
      </c>
      <c r="W12" s="5" t="s">
        <v>106</v>
      </c>
      <c r="X12" s="6" t="s">
        <v>169</v>
      </c>
    </row>
    <row r="13" customFormat="false" ht="35.05" hidden="false" customHeight="false" outlineLevel="0" collapsed="false">
      <c r="A13" s="5" t="s">
        <v>170</v>
      </c>
      <c r="B13" s="5" t="s">
        <v>91</v>
      </c>
      <c r="C13" s="5" t="s">
        <v>92</v>
      </c>
      <c r="D13" s="5" t="s">
        <v>171</v>
      </c>
      <c r="E13" s="5" t="s">
        <v>172</v>
      </c>
      <c r="F13" s="6" t="s">
        <v>111</v>
      </c>
      <c r="G13" s="5" t="s">
        <v>112</v>
      </c>
      <c r="H13" s="5" t="s">
        <v>97</v>
      </c>
      <c r="I13" s="5" t="s">
        <v>96</v>
      </c>
      <c r="J13" s="5" t="s">
        <v>173</v>
      </c>
      <c r="K13" s="5"/>
      <c r="L13" s="5" t="s">
        <v>100</v>
      </c>
      <c r="M13" s="5" t="s">
        <v>167</v>
      </c>
      <c r="N13" s="6"/>
      <c r="O13" s="5" t="s">
        <v>113</v>
      </c>
      <c r="P13" s="5"/>
      <c r="Q13" s="5" t="n">
        <v>2</v>
      </c>
      <c r="R13" s="5"/>
      <c r="S13" s="5" t="s">
        <v>103</v>
      </c>
      <c r="T13" s="5" t="s">
        <v>104</v>
      </c>
      <c r="U13" s="5" t="n">
        <v>2</v>
      </c>
      <c r="V13" s="6" t="s">
        <v>174</v>
      </c>
      <c r="W13" s="5" t="s">
        <v>106</v>
      </c>
      <c r="X13" s="6" t="s">
        <v>175</v>
      </c>
    </row>
    <row r="14" customFormat="false" ht="23.85" hidden="false" customHeight="false" outlineLevel="0" collapsed="false">
      <c r="A14" s="5" t="s">
        <v>176</v>
      </c>
      <c r="B14" s="5" t="s">
        <v>91</v>
      </c>
      <c r="C14" s="5" t="s">
        <v>92</v>
      </c>
      <c r="D14" s="5" t="s">
        <v>177</v>
      </c>
      <c r="E14" s="5" t="s">
        <v>178</v>
      </c>
      <c r="F14" s="6" t="s">
        <v>95</v>
      </c>
      <c r="G14" s="5" t="s">
        <v>179</v>
      </c>
      <c r="H14" s="5" t="s">
        <v>180</v>
      </c>
      <c r="I14" s="5" t="s">
        <v>181</v>
      </c>
      <c r="J14" s="6" t="s">
        <v>155</v>
      </c>
      <c r="K14" s="5"/>
      <c r="L14" s="5" t="s">
        <v>100</v>
      </c>
      <c r="M14" s="5" t="s">
        <v>182</v>
      </c>
      <c r="N14" s="6"/>
      <c r="O14" s="5" t="s">
        <v>126</v>
      </c>
      <c r="P14" s="5"/>
      <c r="Q14" s="5" t="n">
        <v>2</v>
      </c>
      <c r="R14" s="5"/>
      <c r="S14" s="5" t="s">
        <v>103</v>
      </c>
      <c r="T14" s="5" t="s">
        <v>104</v>
      </c>
      <c r="U14" s="5" t="n">
        <v>2</v>
      </c>
      <c r="V14" s="6" t="s">
        <v>183</v>
      </c>
      <c r="W14" s="5" t="s">
        <v>106</v>
      </c>
      <c r="X14" s="6" t="s">
        <v>184</v>
      </c>
    </row>
    <row r="15" customFormat="false" ht="23.85" hidden="false" customHeight="false" outlineLevel="0" collapsed="false">
      <c r="A15" s="5" t="s">
        <v>185</v>
      </c>
      <c r="B15" s="5" t="s">
        <v>91</v>
      </c>
      <c r="C15" s="5" t="s">
        <v>92</v>
      </c>
      <c r="D15" s="5" t="s">
        <v>186</v>
      </c>
      <c r="E15" s="5" t="s">
        <v>186</v>
      </c>
      <c r="F15" s="6" t="s">
        <v>111</v>
      </c>
      <c r="G15" s="5" t="s">
        <v>179</v>
      </c>
      <c r="H15" s="5" t="s">
        <v>187</v>
      </c>
      <c r="I15" s="5" t="s">
        <v>188</v>
      </c>
      <c r="J15" s="6" t="s">
        <v>155</v>
      </c>
      <c r="K15" s="5"/>
      <c r="L15" s="5" t="s">
        <v>100</v>
      </c>
      <c r="M15" s="5" t="s">
        <v>189</v>
      </c>
      <c r="N15" s="6"/>
      <c r="O15" s="5" t="s">
        <v>126</v>
      </c>
      <c r="P15" s="5"/>
      <c r="Q15" s="5" t="n">
        <v>2</v>
      </c>
      <c r="R15" s="5"/>
      <c r="S15" s="5" t="s">
        <v>103</v>
      </c>
      <c r="T15" s="5" t="s">
        <v>104</v>
      </c>
      <c r="U15" s="5" t="n">
        <v>2</v>
      </c>
      <c r="V15" s="6" t="s">
        <v>190</v>
      </c>
      <c r="W15" s="5" t="s">
        <v>106</v>
      </c>
      <c r="X15" s="6" t="s">
        <v>191</v>
      </c>
    </row>
    <row r="16" customFormat="false" ht="46.25" hidden="false" customHeight="false" outlineLevel="0" collapsed="false">
      <c r="A16" s="5" t="s">
        <v>192</v>
      </c>
      <c r="B16" s="5" t="s">
        <v>91</v>
      </c>
      <c r="C16" s="5" t="s">
        <v>92</v>
      </c>
      <c r="D16" s="5" t="s">
        <v>193</v>
      </c>
      <c r="E16" s="5" t="s">
        <v>194</v>
      </c>
      <c r="F16" s="6" t="s">
        <v>95</v>
      </c>
      <c r="G16" s="5" t="s">
        <v>179</v>
      </c>
      <c r="H16" s="5" t="s">
        <v>180</v>
      </c>
      <c r="I16" s="5" t="s">
        <v>181</v>
      </c>
      <c r="J16" s="6" t="s">
        <v>195</v>
      </c>
      <c r="K16" s="5"/>
      <c r="L16" s="5" t="s">
        <v>100</v>
      </c>
      <c r="M16" s="5" t="s">
        <v>196</v>
      </c>
      <c r="N16" s="6"/>
      <c r="O16" s="5" t="s">
        <v>126</v>
      </c>
      <c r="P16" s="5"/>
      <c r="Q16" s="5" t="n">
        <v>2</v>
      </c>
      <c r="R16" s="5"/>
      <c r="S16" s="5" t="s">
        <v>103</v>
      </c>
      <c r="T16" s="7" t="s">
        <v>197</v>
      </c>
      <c r="U16" s="5" t="n">
        <v>4</v>
      </c>
      <c r="V16" s="6" t="s">
        <v>198</v>
      </c>
      <c r="W16" s="5" t="s">
        <v>199</v>
      </c>
      <c r="X16" s="6" t="s">
        <v>200</v>
      </c>
    </row>
    <row r="17" customFormat="false" ht="35.05" hidden="false" customHeight="false" outlineLevel="0" collapsed="false">
      <c r="A17" s="5" t="s">
        <v>201</v>
      </c>
      <c r="B17" s="5" t="s">
        <v>91</v>
      </c>
      <c r="C17" s="5" t="s">
        <v>92</v>
      </c>
      <c r="D17" s="5" t="s">
        <v>202</v>
      </c>
      <c r="E17" s="5" t="s">
        <v>202</v>
      </c>
      <c r="F17" s="6" t="s">
        <v>111</v>
      </c>
      <c r="G17" s="5" t="s">
        <v>179</v>
      </c>
      <c r="H17" s="5" t="s">
        <v>187</v>
      </c>
      <c r="I17" s="5" t="s">
        <v>188</v>
      </c>
      <c r="J17" s="6" t="s">
        <v>203</v>
      </c>
      <c r="K17" s="5"/>
      <c r="L17" s="5" t="s">
        <v>100</v>
      </c>
      <c r="M17" s="5" t="s">
        <v>204</v>
      </c>
      <c r="N17" s="6"/>
      <c r="O17" s="5" t="s">
        <v>126</v>
      </c>
      <c r="P17" s="5"/>
      <c r="Q17" s="5" t="n">
        <v>2</v>
      </c>
      <c r="R17" s="5"/>
      <c r="S17" s="5" t="s">
        <v>103</v>
      </c>
      <c r="T17" s="7" t="s">
        <v>197</v>
      </c>
      <c r="U17" s="5" t="n">
        <v>4</v>
      </c>
      <c r="V17" s="6" t="s">
        <v>205</v>
      </c>
      <c r="W17" s="5" t="s">
        <v>106</v>
      </c>
      <c r="X17" s="6" t="s">
        <v>206</v>
      </c>
    </row>
    <row r="18" customFormat="false" ht="57.45" hidden="false" customHeight="false" outlineLevel="0" collapsed="false">
      <c r="A18" s="5" t="s">
        <v>207</v>
      </c>
      <c r="B18" s="5" t="s">
        <v>91</v>
      </c>
      <c r="C18" s="5" t="s">
        <v>92</v>
      </c>
      <c r="D18" s="5" t="s">
        <v>208</v>
      </c>
      <c r="E18" s="5" t="s">
        <v>209</v>
      </c>
      <c r="F18" s="6" t="s">
        <v>95</v>
      </c>
      <c r="G18" s="5" t="s">
        <v>179</v>
      </c>
      <c r="H18" s="5" t="s">
        <v>180</v>
      </c>
      <c r="I18" s="5" t="s">
        <v>181</v>
      </c>
      <c r="J18" s="5" t="s">
        <v>210</v>
      </c>
      <c r="K18" s="5"/>
      <c r="L18" s="5" t="s">
        <v>100</v>
      </c>
      <c r="M18" s="5" t="s">
        <v>211</v>
      </c>
      <c r="N18" s="6"/>
      <c r="O18" s="5" t="s">
        <v>113</v>
      </c>
      <c r="P18" s="5"/>
      <c r="Q18" s="5" t="n">
        <v>2</v>
      </c>
      <c r="R18" s="5"/>
      <c r="S18" s="5" t="s">
        <v>103</v>
      </c>
      <c r="T18" s="7" t="s">
        <v>197</v>
      </c>
      <c r="U18" s="5" t="n">
        <v>4</v>
      </c>
      <c r="V18" s="6" t="s">
        <v>212</v>
      </c>
      <c r="W18" s="5" t="s">
        <v>213</v>
      </c>
      <c r="X18" s="6" t="s">
        <v>214</v>
      </c>
    </row>
    <row r="19" customFormat="false" ht="46.25" hidden="false" customHeight="false" outlineLevel="0" collapsed="false">
      <c r="A19" s="5" t="s">
        <v>215</v>
      </c>
      <c r="B19" s="5" t="s">
        <v>91</v>
      </c>
      <c r="C19" s="5" t="s">
        <v>92</v>
      </c>
      <c r="D19" s="5" t="s">
        <v>216</v>
      </c>
      <c r="E19" s="5" t="s">
        <v>217</v>
      </c>
      <c r="F19" s="6" t="s">
        <v>111</v>
      </c>
      <c r="G19" s="5" t="s">
        <v>179</v>
      </c>
      <c r="H19" s="5" t="s">
        <v>187</v>
      </c>
      <c r="I19" s="5" t="s">
        <v>188</v>
      </c>
      <c r="J19" s="5" t="s">
        <v>218</v>
      </c>
      <c r="K19" s="5"/>
      <c r="L19" s="5" t="s">
        <v>100</v>
      </c>
      <c r="M19" s="5" t="s">
        <v>219</v>
      </c>
      <c r="N19" s="6"/>
      <c r="O19" s="5" t="s">
        <v>113</v>
      </c>
      <c r="P19" s="5"/>
      <c r="Q19" s="5" t="n">
        <v>2</v>
      </c>
      <c r="R19" s="5"/>
      <c r="S19" s="5" t="s">
        <v>103</v>
      </c>
      <c r="T19" s="7" t="s">
        <v>197</v>
      </c>
      <c r="U19" s="5" t="n">
        <v>4</v>
      </c>
      <c r="V19" s="6" t="s">
        <v>220</v>
      </c>
      <c r="W19" s="5" t="s">
        <v>221</v>
      </c>
      <c r="X19" s="6" t="s">
        <v>222</v>
      </c>
    </row>
    <row r="20" customFormat="false" ht="102.2" hidden="false" customHeight="false" outlineLevel="0" collapsed="false">
      <c r="A20" s="5" t="s">
        <v>223</v>
      </c>
      <c r="B20" s="5" t="s">
        <v>91</v>
      </c>
      <c r="C20" s="5" t="s">
        <v>92</v>
      </c>
      <c r="D20" s="5" t="s">
        <v>224</v>
      </c>
      <c r="E20" s="5" t="s">
        <v>225</v>
      </c>
      <c r="F20" s="6" t="s">
        <v>95</v>
      </c>
      <c r="G20" s="5" t="s">
        <v>179</v>
      </c>
      <c r="H20" s="5" t="s">
        <v>180</v>
      </c>
      <c r="I20" s="5" t="s">
        <v>181</v>
      </c>
      <c r="J20" s="5" t="s">
        <v>226</v>
      </c>
      <c r="K20" s="5"/>
      <c r="L20" s="5" t="s">
        <v>100</v>
      </c>
      <c r="M20" s="5" t="s">
        <v>227</v>
      </c>
      <c r="N20" s="6"/>
      <c r="O20" s="5" t="s">
        <v>228</v>
      </c>
      <c r="P20" s="5"/>
      <c r="Q20" s="5" t="n">
        <v>3</v>
      </c>
      <c r="R20" s="5"/>
      <c r="S20" s="5" t="s">
        <v>103</v>
      </c>
      <c r="T20" s="7" t="s">
        <v>197</v>
      </c>
      <c r="U20" s="5" t="n">
        <v>4</v>
      </c>
      <c r="V20" s="6" t="s">
        <v>229</v>
      </c>
      <c r="W20" s="5" t="s">
        <v>230</v>
      </c>
      <c r="X20" s="6" t="s">
        <v>231</v>
      </c>
    </row>
    <row r="21" customFormat="false" ht="35.05" hidden="false" customHeight="false" outlineLevel="0" collapsed="false">
      <c r="A21" s="5" t="s">
        <v>232</v>
      </c>
      <c r="B21" s="5" t="s">
        <v>91</v>
      </c>
      <c r="C21" s="5" t="s">
        <v>92</v>
      </c>
      <c r="D21" s="5" t="s">
        <v>233</v>
      </c>
      <c r="E21" s="5" t="s">
        <v>234</v>
      </c>
      <c r="F21" s="6" t="s">
        <v>111</v>
      </c>
      <c r="G21" s="5" t="s">
        <v>179</v>
      </c>
      <c r="H21" s="5" t="s">
        <v>187</v>
      </c>
      <c r="I21" s="5" t="s">
        <v>188</v>
      </c>
      <c r="J21" s="5" t="s">
        <v>226</v>
      </c>
      <c r="K21" s="5"/>
      <c r="L21" s="5" t="s">
        <v>100</v>
      </c>
      <c r="M21" s="5" t="s">
        <v>235</v>
      </c>
      <c r="N21" s="6"/>
      <c r="O21" s="5" t="s">
        <v>113</v>
      </c>
      <c r="P21" s="5"/>
      <c r="Q21" s="5" t="n">
        <v>2</v>
      </c>
      <c r="R21" s="5"/>
      <c r="S21" s="5" t="s">
        <v>103</v>
      </c>
      <c r="T21" s="5" t="s">
        <v>104</v>
      </c>
      <c r="U21" s="5" t="n">
        <v>4</v>
      </c>
      <c r="V21" s="6" t="s">
        <v>236</v>
      </c>
      <c r="W21" s="5" t="s">
        <v>106</v>
      </c>
      <c r="X21" s="6" t="s">
        <v>237</v>
      </c>
    </row>
    <row r="22" customFormat="false" ht="23.85" hidden="false" customHeight="false" outlineLevel="0" collapsed="false">
      <c r="A22" s="5" t="s">
        <v>238</v>
      </c>
      <c r="B22" s="5" t="s">
        <v>91</v>
      </c>
      <c r="C22" s="5" t="s">
        <v>92</v>
      </c>
      <c r="D22" s="5" t="s">
        <v>239</v>
      </c>
      <c r="E22" s="5" t="s">
        <v>240</v>
      </c>
      <c r="F22" s="6" t="s">
        <v>111</v>
      </c>
      <c r="G22" s="5" t="s">
        <v>241</v>
      </c>
      <c r="H22" s="5" t="s">
        <v>242</v>
      </c>
      <c r="I22" s="5" t="s">
        <v>243</v>
      </c>
      <c r="J22" s="5" t="s">
        <v>244</v>
      </c>
      <c r="K22" s="5"/>
      <c r="L22" s="5" t="s">
        <v>100</v>
      </c>
      <c r="M22" s="5" t="s">
        <v>245</v>
      </c>
      <c r="N22" s="6"/>
      <c r="O22" s="5" t="s">
        <v>103</v>
      </c>
      <c r="P22" s="5"/>
      <c r="Q22" s="5" t="n">
        <v>2</v>
      </c>
      <c r="R22" s="5"/>
      <c r="S22" s="5" t="s">
        <v>103</v>
      </c>
      <c r="T22" s="5" t="s">
        <v>104</v>
      </c>
      <c r="U22" s="5" t="n">
        <v>2</v>
      </c>
      <c r="V22" s="6" t="s">
        <v>246</v>
      </c>
      <c r="W22" s="5" t="s">
        <v>106</v>
      </c>
      <c r="X22" s="6" t="s">
        <v>247</v>
      </c>
    </row>
    <row r="23" customFormat="false" ht="23.85" hidden="false" customHeight="false" outlineLevel="0" collapsed="false">
      <c r="A23" s="5" t="s">
        <v>248</v>
      </c>
      <c r="B23" s="5" t="s">
        <v>91</v>
      </c>
      <c r="C23" s="5" t="s">
        <v>92</v>
      </c>
      <c r="D23" s="5" t="s">
        <v>249</v>
      </c>
      <c r="E23" s="5" t="s">
        <v>249</v>
      </c>
      <c r="F23" s="6" t="s">
        <v>250</v>
      </c>
      <c r="G23" s="5" t="s">
        <v>251</v>
      </c>
      <c r="H23" s="5" t="s">
        <v>252</v>
      </c>
      <c r="I23" s="5" t="s">
        <v>253</v>
      </c>
      <c r="J23" s="6" t="s">
        <v>254</v>
      </c>
      <c r="K23" s="5"/>
      <c r="L23" s="5" t="s">
        <v>100</v>
      </c>
      <c r="M23" s="5" t="s">
        <v>245</v>
      </c>
      <c r="N23" s="6"/>
      <c r="O23" s="5" t="s">
        <v>126</v>
      </c>
      <c r="P23" s="5"/>
      <c r="Q23" s="5" t="n">
        <v>2</v>
      </c>
      <c r="R23" s="5"/>
      <c r="S23" s="5" t="s">
        <v>103</v>
      </c>
      <c r="T23" s="5" t="s">
        <v>104</v>
      </c>
      <c r="U23" s="5" t="n">
        <v>2</v>
      </c>
      <c r="V23" s="6" t="s">
        <v>255</v>
      </c>
      <c r="W23" s="5" t="s">
        <v>106</v>
      </c>
      <c r="X23" s="6" t="s">
        <v>256</v>
      </c>
    </row>
    <row r="24" customFormat="false" ht="23.85" hidden="false" customHeight="false" outlineLevel="0" collapsed="false">
      <c r="A24" s="5" t="s">
        <v>257</v>
      </c>
      <c r="B24" s="5" t="s">
        <v>91</v>
      </c>
      <c r="C24" s="5" t="s">
        <v>92</v>
      </c>
      <c r="D24" s="5" t="s">
        <v>258</v>
      </c>
      <c r="E24" s="5" t="s">
        <v>259</v>
      </c>
      <c r="F24" s="6" t="s">
        <v>111</v>
      </c>
      <c r="G24" s="5" t="s">
        <v>241</v>
      </c>
      <c r="H24" s="5" t="s">
        <v>242</v>
      </c>
      <c r="I24" s="5" t="s">
        <v>243</v>
      </c>
      <c r="J24" s="5" t="s">
        <v>260</v>
      </c>
      <c r="K24" s="5"/>
      <c r="L24" s="5" t="s">
        <v>100</v>
      </c>
      <c r="M24" s="5" t="s">
        <v>261</v>
      </c>
      <c r="N24" s="6"/>
      <c r="O24" s="5" t="s">
        <v>103</v>
      </c>
      <c r="P24" s="5"/>
      <c r="Q24" s="5" t="n">
        <v>2</v>
      </c>
      <c r="R24" s="5"/>
      <c r="S24" s="5" t="s">
        <v>103</v>
      </c>
      <c r="T24" s="5" t="s">
        <v>104</v>
      </c>
      <c r="U24" s="5" t="n">
        <v>2</v>
      </c>
      <c r="V24" s="6" t="s">
        <v>262</v>
      </c>
      <c r="W24" s="5" t="s">
        <v>106</v>
      </c>
      <c r="X24" s="6" t="s">
        <v>247</v>
      </c>
    </row>
    <row r="25" customFormat="false" ht="46.25" hidden="false" customHeight="false" outlineLevel="0" collapsed="false">
      <c r="A25" s="5" t="s">
        <v>263</v>
      </c>
      <c r="B25" s="5" t="s">
        <v>91</v>
      </c>
      <c r="C25" s="5" t="s">
        <v>92</v>
      </c>
      <c r="D25" s="5" t="s">
        <v>264</v>
      </c>
      <c r="E25" s="5" t="s">
        <v>265</v>
      </c>
      <c r="F25" s="6" t="s">
        <v>250</v>
      </c>
      <c r="G25" s="5" t="s">
        <v>251</v>
      </c>
      <c r="H25" s="5" t="s">
        <v>252</v>
      </c>
      <c r="I25" s="5" t="s">
        <v>253</v>
      </c>
      <c r="J25" s="5" t="s">
        <v>260</v>
      </c>
      <c r="K25" s="5"/>
      <c r="L25" s="5" t="s">
        <v>100</v>
      </c>
      <c r="M25" s="5" t="s">
        <v>261</v>
      </c>
      <c r="N25" s="6"/>
      <c r="O25" s="5" t="s">
        <v>103</v>
      </c>
      <c r="P25" s="5"/>
      <c r="Q25" s="5" t="n">
        <v>2</v>
      </c>
      <c r="R25" s="5"/>
      <c r="S25" s="5" t="s">
        <v>103</v>
      </c>
      <c r="T25" s="5" t="s">
        <v>104</v>
      </c>
      <c r="U25" s="5" t="n">
        <v>2</v>
      </c>
      <c r="V25" s="6" t="s">
        <v>266</v>
      </c>
      <c r="W25" s="5" t="s">
        <v>106</v>
      </c>
      <c r="X25" s="6" t="s">
        <v>267</v>
      </c>
    </row>
    <row r="26" customFormat="false" ht="23.85" hidden="false" customHeight="false" outlineLevel="0" collapsed="false">
      <c r="A26" s="5" t="s">
        <v>268</v>
      </c>
      <c r="B26" s="5" t="s">
        <v>91</v>
      </c>
      <c r="C26" s="5" t="s">
        <v>92</v>
      </c>
      <c r="D26" s="5" t="s">
        <v>269</v>
      </c>
      <c r="E26" s="5" t="s">
        <v>270</v>
      </c>
      <c r="F26" s="6" t="s">
        <v>111</v>
      </c>
      <c r="G26" s="5" t="s">
        <v>241</v>
      </c>
      <c r="H26" s="5" t="s">
        <v>242</v>
      </c>
      <c r="I26" s="5" t="s">
        <v>271</v>
      </c>
      <c r="J26" s="5" t="s">
        <v>272</v>
      </c>
      <c r="K26" s="5"/>
      <c r="L26" s="5" t="s">
        <v>100</v>
      </c>
      <c r="M26" s="5" t="s">
        <v>273</v>
      </c>
      <c r="N26" s="6"/>
      <c r="O26" s="5" t="s">
        <v>103</v>
      </c>
      <c r="P26" s="5"/>
      <c r="Q26" s="5" t="n">
        <v>2</v>
      </c>
      <c r="R26" s="5"/>
      <c r="S26" s="5" t="s">
        <v>103</v>
      </c>
      <c r="T26" s="5" t="s">
        <v>104</v>
      </c>
      <c r="U26" s="5" t="n">
        <v>2</v>
      </c>
      <c r="V26" s="6" t="s">
        <v>274</v>
      </c>
      <c r="W26" s="5" t="s">
        <v>106</v>
      </c>
      <c r="X26" s="6" t="s">
        <v>247</v>
      </c>
    </row>
    <row r="27" customFormat="false" ht="23.85" hidden="false" customHeight="false" outlineLevel="0" collapsed="false">
      <c r="A27" s="5" t="s">
        <v>275</v>
      </c>
      <c r="B27" s="5" t="s">
        <v>91</v>
      </c>
      <c r="C27" s="5" t="s">
        <v>92</v>
      </c>
      <c r="D27" s="5" t="s">
        <v>276</v>
      </c>
      <c r="E27" s="5" t="s">
        <v>277</v>
      </c>
      <c r="F27" s="6" t="s">
        <v>250</v>
      </c>
      <c r="G27" s="5" t="s">
        <v>251</v>
      </c>
      <c r="H27" s="5" t="s">
        <v>252</v>
      </c>
      <c r="I27" s="5" t="s">
        <v>253</v>
      </c>
      <c r="J27" s="5" t="s">
        <v>272</v>
      </c>
      <c r="K27" s="5"/>
      <c r="L27" s="5" t="s">
        <v>100</v>
      </c>
      <c r="M27" s="5" t="s">
        <v>273</v>
      </c>
      <c r="N27" s="6"/>
      <c r="O27" s="5" t="s">
        <v>103</v>
      </c>
      <c r="P27" s="5"/>
      <c r="Q27" s="5" t="n">
        <v>2</v>
      </c>
      <c r="R27" s="5"/>
      <c r="S27" s="5" t="s">
        <v>103</v>
      </c>
      <c r="T27" s="5" t="s">
        <v>104</v>
      </c>
      <c r="U27" s="5" t="n">
        <v>2</v>
      </c>
      <c r="V27" s="6" t="s">
        <v>278</v>
      </c>
      <c r="W27" s="5" t="s">
        <v>106</v>
      </c>
      <c r="X27" s="6" t="s">
        <v>279</v>
      </c>
    </row>
    <row r="28" customFormat="false" ht="23.85" hidden="false" customHeight="false" outlineLevel="0" collapsed="false">
      <c r="A28" s="5" t="s">
        <v>280</v>
      </c>
      <c r="B28" s="5" t="s">
        <v>91</v>
      </c>
      <c r="C28" s="5" t="s">
        <v>92</v>
      </c>
      <c r="D28" s="5" t="s">
        <v>281</v>
      </c>
      <c r="E28" s="5" t="s">
        <v>282</v>
      </c>
      <c r="F28" s="6" t="s">
        <v>111</v>
      </c>
      <c r="G28" s="5" t="s">
        <v>241</v>
      </c>
      <c r="H28" s="5" t="s">
        <v>242</v>
      </c>
      <c r="I28" s="5" t="s">
        <v>271</v>
      </c>
      <c r="J28" s="5" t="s">
        <v>283</v>
      </c>
      <c r="K28" s="5"/>
      <c r="L28" s="5" t="s">
        <v>100</v>
      </c>
      <c r="M28" s="5" t="s">
        <v>284</v>
      </c>
      <c r="N28" s="6"/>
      <c r="O28" s="5" t="s">
        <v>103</v>
      </c>
      <c r="P28" s="5"/>
      <c r="Q28" s="5" t="n">
        <v>2</v>
      </c>
      <c r="R28" s="5"/>
      <c r="S28" s="5" t="s">
        <v>103</v>
      </c>
      <c r="T28" s="5" t="s">
        <v>104</v>
      </c>
      <c r="U28" s="5" t="n">
        <v>2</v>
      </c>
      <c r="V28" s="6" t="s">
        <v>285</v>
      </c>
      <c r="W28" s="5" t="s">
        <v>106</v>
      </c>
      <c r="X28" s="6" t="s">
        <v>247</v>
      </c>
    </row>
    <row r="29" customFormat="false" ht="23.85" hidden="false" customHeight="false" outlineLevel="0" collapsed="false">
      <c r="A29" s="5" t="s">
        <v>286</v>
      </c>
      <c r="B29" s="5" t="s">
        <v>91</v>
      </c>
      <c r="C29" s="5" t="s">
        <v>92</v>
      </c>
      <c r="D29" s="5" t="s">
        <v>287</v>
      </c>
      <c r="E29" s="5" t="s">
        <v>288</v>
      </c>
      <c r="F29" s="6" t="s">
        <v>250</v>
      </c>
      <c r="G29" s="5" t="s">
        <v>251</v>
      </c>
      <c r="H29" s="5" t="s">
        <v>252</v>
      </c>
      <c r="I29" s="5" t="s">
        <v>253</v>
      </c>
      <c r="J29" s="5" t="s">
        <v>289</v>
      </c>
      <c r="K29" s="5"/>
      <c r="L29" s="5" t="s">
        <v>100</v>
      </c>
      <c r="M29" s="5" t="s">
        <v>284</v>
      </c>
      <c r="N29" s="6"/>
      <c r="O29" s="5" t="s">
        <v>113</v>
      </c>
      <c r="P29" s="5"/>
      <c r="Q29" s="5" t="n">
        <v>2</v>
      </c>
      <c r="R29" s="5"/>
      <c r="S29" s="5" t="s">
        <v>103</v>
      </c>
      <c r="T29" s="5" t="s">
        <v>104</v>
      </c>
      <c r="U29" s="5" t="n">
        <v>2</v>
      </c>
      <c r="V29" s="6" t="s">
        <v>290</v>
      </c>
      <c r="W29" s="5" t="s">
        <v>106</v>
      </c>
      <c r="X29" s="6" t="s">
        <v>291</v>
      </c>
    </row>
    <row r="30" customFormat="false" ht="23.85" hidden="false" customHeight="false" outlineLevel="0" collapsed="false">
      <c r="A30" s="5" t="s">
        <v>292</v>
      </c>
      <c r="B30" s="5" t="s">
        <v>91</v>
      </c>
      <c r="C30" s="5" t="s">
        <v>92</v>
      </c>
      <c r="D30" s="5" t="s">
        <v>293</v>
      </c>
      <c r="E30" s="5" t="s">
        <v>294</v>
      </c>
      <c r="F30" s="6" t="s">
        <v>111</v>
      </c>
      <c r="G30" s="5" t="s">
        <v>241</v>
      </c>
      <c r="H30" s="5" t="s">
        <v>242</v>
      </c>
      <c r="I30" s="5" t="s">
        <v>271</v>
      </c>
      <c r="J30" s="5" t="s">
        <v>295</v>
      </c>
      <c r="K30" s="5"/>
      <c r="L30" s="5" t="s">
        <v>100</v>
      </c>
      <c r="M30" s="5" t="s">
        <v>296</v>
      </c>
      <c r="N30" s="6"/>
      <c r="O30" s="5" t="s">
        <v>113</v>
      </c>
      <c r="P30" s="5"/>
      <c r="Q30" s="5" t="n">
        <v>2</v>
      </c>
      <c r="R30" s="5"/>
      <c r="S30" s="5" t="s">
        <v>103</v>
      </c>
      <c r="T30" s="5" t="s">
        <v>104</v>
      </c>
      <c r="U30" s="5" t="n">
        <v>2</v>
      </c>
      <c r="V30" s="6" t="s">
        <v>297</v>
      </c>
      <c r="W30" s="5" t="s">
        <v>106</v>
      </c>
      <c r="X30" s="6" t="s">
        <v>298</v>
      </c>
    </row>
    <row r="31" customFormat="false" ht="46.25" hidden="false" customHeight="false" outlineLevel="0" collapsed="false">
      <c r="A31" s="5" t="s">
        <v>299</v>
      </c>
      <c r="B31" s="5" t="s">
        <v>91</v>
      </c>
      <c r="C31" s="5" t="s">
        <v>92</v>
      </c>
      <c r="D31" s="5" t="s">
        <v>300</v>
      </c>
      <c r="E31" s="5" t="s">
        <v>301</v>
      </c>
      <c r="F31" s="6" t="s">
        <v>250</v>
      </c>
      <c r="G31" s="5" t="s">
        <v>251</v>
      </c>
      <c r="H31" s="5" t="s">
        <v>252</v>
      </c>
      <c r="I31" s="5" t="s">
        <v>253</v>
      </c>
      <c r="J31" s="5" t="s">
        <v>295</v>
      </c>
      <c r="K31" s="5"/>
      <c r="L31" s="5" t="s">
        <v>100</v>
      </c>
      <c r="M31" s="5" t="s">
        <v>296</v>
      </c>
      <c r="N31" s="6"/>
      <c r="O31" s="5" t="s">
        <v>113</v>
      </c>
      <c r="P31" s="5"/>
      <c r="Q31" s="5" t="n">
        <v>2</v>
      </c>
      <c r="R31" s="5"/>
      <c r="S31" s="5" t="s">
        <v>103</v>
      </c>
      <c r="T31" s="5" t="s">
        <v>104</v>
      </c>
      <c r="U31" s="5" t="n">
        <v>2</v>
      </c>
      <c r="V31" s="6" t="s">
        <v>302</v>
      </c>
      <c r="W31" s="5" t="s">
        <v>106</v>
      </c>
      <c r="X31" s="6" t="s">
        <v>303</v>
      </c>
    </row>
    <row r="32" customFormat="false" ht="23.85" hidden="false" customHeight="false" outlineLevel="0" collapsed="false">
      <c r="A32" s="5" t="s">
        <v>304</v>
      </c>
      <c r="B32" s="5" t="s">
        <v>91</v>
      </c>
      <c r="C32" s="5" t="s">
        <v>92</v>
      </c>
      <c r="D32" s="5" t="s">
        <v>305</v>
      </c>
      <c r="E32" s="5" t="s">
        <v>306</v>
      </c>
      <c r="F32" s="6" t="s">
        <v>111</v>
      </c>
      <c r="G32" s="5" t="s">
        <v>241</v>
      </c>
      <c r="H32" s="5" t="s">
        <v>242</v>
      </c>
      <c r="I32" s="5" t="s">
        <v>271</v>
      </c>
      <c r="J32" s="5" t="s">
        <v>307</v>
      </c>
      <c r="K32" s="5"/>
      <c r="L32" s="5" t="s">
        <v>100</v>
      </c>
      <c r="M32" s="5" t="s">
        <v>308</v>
      </c>
      <c r="N32" s="6"/>
      <c r="O32" s="5" t="s">
        <v>113</v>
      </c>
      <c r="P32" s="5"/>
      <c r="Q32" s="5" t="n">
        <v>2</v>
      </c>
      <c r="R32" s="5"/>
      <c r="S32" s="5" t="s">
        <v>103</v>
      </c>
      <c r="T32" s="5" t="s">
        <v>104</v>
      </c>
      <c r="U32" s="5" t="n">
        <v>2</v>
      </c>
      <c r="V32" s="6" t="s">
        <v>309</v>
      </c>
      <c r="W32" s="5" t="s">
        <v>106</v>
      </c>
      <c r="X32" s="6" t="s">
        <v>310</v>
      </c>
    </row>
    <row r="33" customFormat="false" ht="23.85" hidden="false" customHeight="false" outlineLevel="0" collapsed="false">
      <c r="A33" s="5" t="s">
        <v>311</v>
      </c>
      <c r="B33" s="5" t="s">
        <v>91</v>
      </c>
      <c r="C33" s="5" t="s">
        <v>92</v>
      </c>
      <c r="D33" s="5" t="s">
        <v>312</v>
      </c>
      <c r="E33" s="5" t="s">
        <v>312</v>
      </c>
      <c r="F33" s="6" t="s">
        <v>250</v>
      </c>
      <c r="G33" s="5" t="s">
        <v>251</v>
      </c>
      <c r="H33" s="5" t="s">
        <v>252</v>
      </c>
      <c r="I33" s="5" t="s">
        <v>253</v>
      </c>
      <c r="J33" s="6" t="s">
        <v>313</v>
      </c>
      <c r="K33" s="5"/>
      <c r="L33" s="5" t="s">
        <v>100</v>
      </c>
      <c r="M33" s="5" t="s">
        <v>308</v>
      </c>
      <c r="N33" s="6"/>
      <c r="O33" s="5" t="s">
        <v>126</v>
      </c>
      <c r="P33" s="5"/>
      <c r="Q33" s="5" t="n">
        <v>2</v>
      </c>
      <c r="R33" s="5"/>
      <c r="S33" s="5" t="s">
        <v>103</v>
      </c>
      <c r="T33" s="5" t="s">
        <v>104</v>
      </c>
      <c r="U33" s="5" t="n">
        <v>2</v>
      </c>
      <c r="V33" s="6" t="s">
        <v>314</v>
      </c>
      <c r="W33" s="5" t="s">
        <v>106</v>
      </c>
      <c r="X33" s="6" t="s">
        <v>315</v>
      </c>
    </row>
    <row r="34" customFormat="false" ht="23.85" hidden="false" customHeight="false" outlineLevel="0" collapsed="false">
      <c r="A34" s="5" t="s">
        <v>316</v>
      </c>
      <c r="B34" s="5" t="s">
        <v>91</v>
      </c>
      <c r="C34" s="5" t="s">
        <v>92</v>
      </c>
      <c r="D34" s="5" t="s">
        <v>317</v>
      </c>
      <c r="E34" s="5" t="s">
        <v>318</v>
      </c>
      <c r="F34" s="6" t="s">
        <v>111</v>
      </c>
      <c r="G34" s="5" t="s">
        <v>241</v>
      </c>
      <c r="H34" s="5" t="s">
        <v>242</v>
      </c>
      <c r="I34" s="5" t="s">
        <v>271</v>
      </c>
      <c r="J34" s="5" t="s">
        <v>319</v>
      </c>
      <c r="K34" s="5"/>
      <c r="L34" s="5" t="s">
        <v>100</v>
      </c>
      <c r="M34" s="5" t="s">
        <v>320</v>
      </c>
      <c r="N34" s="6"/>
      <c r="O34" s="5" t="s">
        <v>113</v>
      </c>
      <c r="P34" s="5"/>
      <c r="Q34" s="5" t="n">
        <v>2</v>
      </c>
      <c r="R34" s="5"/>
      <c r="S34" s="5" t="s">
        <v>103</v>
      </c>
      <c r="T34" s="5" t="s">
        <v>104</v>
      </c>
      <c r="U34" s="5" t="n">
        <v>2</v>
      </c>
      <c r="V34" s="6" t="s">
        <v>321</v>
      </c>
      <c r="W34" s="5" t="s">
        <v>106</v>
      </c>
      <c r="X34" s="6" t="s">
        <v>322</v>
      </c>
    </row>
    <row r="35" customFormat="false" ht="23.85" hidden="false" customHeight="false" outlineLevel="0" collapsed="false">
      <c r="A35" s="5" t="s">
        <v>323</v>
      </c>
      <c r="B35" s="5" t="s">
        <v>91</v>
      </c>
      <c r="C35" s="5" t="s">
        <v>92</v>
      </c>
      <c r="D35" s="5" t="s">
        <v>324</v>
      </c>
      <c r="E35" s="5" t="s">
        <v>324</v>
      </c>
      <c r="F35" s="6" t="s">
        <v>250</v>
      </c>
      <c r="G35" s="5" t="s">
        <v>251</v>
      </c>
      <c r="H35" s="5" t="s">
        <v>252</v>
      </c>
      <c r="I35" s="5" t="s">
        <v>253</v>
      </c>
      <c r="J35" s="6" t="s">
        <v>325</v>
      </c>
      <c r="K35" s="5"/>
      <c r="L35" s="5" t="s">
        <v>100</v>
      </c>
      <c r="M35" s="5" t="s">
        <v>320</v>
      </c>
      <c r="N35" s="6"/>
      <c r="O35" s="5" t="s">
        <v>126</v>
      </c>
      <c r="P35" s="5"/>
      <c r="Q35" s="5" t="n">
        <v>2</v>
      </c>
      <c r="R35" s="5"/>
      <c r="S35" s="5" t="s">
        <v>103</v>
      </c>
      <c r="T35" s="5" t="s">
        <v>104</v>
      </c>
      <c r="U35" s="5" t="n">
        <v>2</v>
      </c>
      <c r="V35" s="6" t="s">
        <v>326</v>
      </c>
      <c r="W35" s="5" t="s">
        <v>106</v>
      </c>
      <c r="X35" s="6" t="s">
        <v>256</v>
      </c>
    </row>
    <row r="36" customFormat="false" ht="23.85" hidden="false" customHeight="false" outlineLevel="0" collapsed="false">
      <c r="A36" s="5" t="s">
        <v>327</v>
      </c>
      <c r="B36" s="5" t="s">
        <v>91</v>
      </c>
      <c r="C36" s="5" t="s">
        <v>92</v>
      </c>
      <c r="D36" s="5" t="s">
        <v>328</v>
      </c>
      <c r="E36" s="5" t="s">
        <v>329</v>
      </c>
      <c r="F36" s="6" t="s">
        <v>111</v>
      </c>
      <c r="G36" s="5" t="s">
        <v>241</v>
      </c>
      <c r="H36" s="5" t="s">
        <v>242</v>
      </c>
      <c r="I36" s="5" t="s">
        <v>271</v>
      </c>
      <c r="J36" s="5" t="s">
        <v>330</v>
      </c>
      <c r="K36" s="5"/>
      <c r="L36" s="5" t="s">
        <v>100</v>
      </c>
      <c r="M36" s="5" t="s">
        <v>331</v>
      </c>
      <c r="N36" s="6"/>
      <c r="O36" s="5" t="s">
        <v>113</v>
      </c>
      <c r="P36" s="5"/>
      <c r="Q36" s="5" t="n">
        <v>2</v>
      </c>
      <c r="R36" s="5"/>
      <c r="S36" s="5" t="s">
        <v>103</v>
      </c>
      <c r="T36" s="5" t="s">
        <v>104</v>
      </c>
      <c r="U36" s="5" t="n">
        <v>2</v>
      </c>
      <c r="V36" s="6" t="s">
        <v>332</v>
      </c>
      <c r="W36" s="5" t="s">
        <v>106</v>
      </c>
      <c r="X36" s="6" t="s">
        <v>322</v>
      </c>
    </row>
    <row r="37" customFormat="false" ht="23.85" hidden="false" customHeight="false" outlineLevel="0" collapsed="false">
      <c r="A37" s="5" t="s">
        <v>333</v>
      </c>
      <c r="B37" s="5" t="s">
        <v>91</v>
      </c>
      <c r="C37" s="5" t="s">
        <v>92</v>
      </c>
      <c r="D37" s="5" t="s">
        <v>334</v>
      </c>
      <c r="E37" s="5" t="s">
        <v>335</v>
      </c>
      <c r="F37" s="6" t="s">
        <v>250</v>
      </c>
      <c r="G37" s="5" t="s">
        <v>251</v>
      </c>
      <c r="H37" s="5" t="s">
        <v>252</v>
      </c>
      <c r="I37" s="5" t="s">
        <v>253</v>
      </c>
      <c r="J37" s="5" t="s">
        <v>336</v>
      </c>
      <c r="K37" s="5"/>
      <c r="L37" s="5" t="s">
        <v>100</v>
      </c>
      <c r="M37" s="5" t="s">
        <v>331</v>
      </c>
      <c r="N37" s="6"/>
      <c r="O37" s="5" t="s">
        <v>103</v>
      </c>
      <c r="P37" s="5"/>
      <c r="Q37" s="5" t="n">
        <v>2</v>
      </c>
      <c r="R37" s="5"/>
      <c r="S37" s="5" t="s">
        <v>103</v>
      </c>
      <c r="T37" s="5" t="s">
        <v>104</v>
      </c>
      <c r="U37" s="5" t="n">
        <v>2</v>
      </c>
      <c r="V37" s="6" t="s">
        <v>337</v>
      </c>
      <c r="W37" s="5" t="s">
        <v>106</v>
      </c>
      <c r="X37" s="6" t="s">
        <v>279</v>
      </c>
    </row>
    <row r="38" customFormat="false" ht="23.85" hidden="false" customHeight="false" outlineLevel="0" collapsed="false">
      <c r="A38" s="5" t="s">
        <v>338</v>
      </c>
      <c r="B38" s="5" t="s">
        <v>91</v>
      </c>
      <c r="C38" s="5" t="s">
        <v>92</v>
      </c>
      <c r="D38" s="5" t="s">
        <v>339</v>
      </c>
      <c r="E38" s="5" t="s">
        <v>340</v>
      </c>
      <c r="F38" s="6" t="s">
        <v>111</v>
      </c>
      <c r="G38" s="5" t="s">
        <v>241</v>
      </c>
      <c r="H38" s="5" t="s">
        <v>242</v>
      </c>
      <c r="I38" s="5" t="s">
        <v>271</v>
      </c>
      <c r="J38" s="5" t="s">
        <v>341</v>
      </c>
      <c r="K38" s="5"/>
      <c r="L38" s="5" t="s">
        <v>100</v>
      </c>
      <c r="M38" s="5" t="s">
        <v>342</v>
      </c>
      <c r="N38" s="6"/>
      <c r="O38" s="5" t="s">
        <v>113</v>
      </c>
      <c r="P38" s="5"/>
      <c r="Q38" s="5" t="n">
        <v>2</v>
      </c>
      <c r="R38" s="5"/>
      <c r="S38" s="5" t="s">
        <v>103</v>
      </c>
      <c r="T38" s="5" t="s">
        <v>104</v>
      </c>
      <c r="U38" s="5" t="n">
        <v>2</v>
      </c>
      <c r="V38" s="6" t="s">
        <v>343</v>
      </c>
      <c r="W38" s="5" t="s">
        <v>106</v>
      </c>
      <c r="X38" s="6" t="s">
        <v>344</v>
      </c>
    </row>
    <row r="39" customFormat="false" ht="23.85" hidden="false" customHeight="false" outlineLevel="0" collapsed="false">
      <c r="A39" s="5" t="s">
        <v>345</v>
      </c>
      <c r="B39" s="5" t="s">
        <v>91</v>
      </c>
      <c r="C39" s="5" t="s">
        <v>92</v>
      </c>
      <c r="D39" s="5" t="s">
        <v>346</v>
      </c>
      <c r="E39" s="5" t="s">
        <v>347</v>
      </c>
      <c r="F39" s="6" t="s">
        <v>250</v>
      </c>
      <c r="G39" s="5" t="s">
        <v>251</v>
      </c>
      <c r="H39" s="5" t="s">
        <v>252</v>
      </c>
      <c r="I39" s="5" t="s">
        <v>253</v>
      </c>
      <c r="J39" s="5" t="s">
        <v>348</v>
      </c>
      <c r="K39" s="5"/>
      <c r="L39" s="5" t="s">
        <v>100</v>
      </c>
      <c r="M39" s="5" t="s">
        <v>342</v>
      </c>
      <c r="N39" s="6"/>
      <c r="O39" s="5" t="s">
        <v>103</v>
      </c>
      <c r="P39" s="5"/>
      <c r="Q39" s="5" t="n">
        <v>2</v>
      </c>
      <c r="R39" s="5"/>
      <c r="S39" s="5" t="s">
        <v>103</v>
      </c>
      <c r="T39" s="5" t="s">
        <v>104</v>
      </c>
      <c r="U39" s="5" t="n">
        <v>2</v>
      </c>
      <c r="V39" s="6" t="s">
        <v>349</v>
      </c>
      <c r="W39" s="5" t="s">
        <v>106</v>
      </c>
      <c r="X39" s="6" t="s">
        <v>279</v>
      </c>
    </row>
    <row r="40" customFormat="false" ht="23.85" hidden="false" customHeight="false" outlineLevel="0" collapsed="false">
      <c r="A40" s="5" t="s">
        <v>350</v>
      </c>
      <c r="B40" s="5" t="s">
        <v>91</v>
      </c>
      <c r="C40" s="5" t="s">
        <v>92</v>
      </c>
      <c r="D40" s="5" t="s">
        <v>351</v>
      </c>
      <c r="E40" s="5" t="s">
        <v>352</v>
      </c>
      <c r="F40" s="6" t="s">
        <v>111</v>
      </c>
      <c r="G40" s="5" t="s">
        <v>241</v>
      </c>
      <c r="H40" s="5" t="s">
        <v>242</v>
      </c>
      <c r="I40" s="5" t="s">
        <v>271</v>
      </c>
      <c r="J40" s="5" t="s">
        <v>353</v>
      </c>
      <c r="K40" s="5"/>
      <c r="L40" s="5" t="s">
        <v>100</v>
      </c>
      <c r="M40" s="5" t="s">
        <v>354</v>
      </c>
      <c r="N40" s="6"/>
      <c r="O40" s="5" t="s">
        <v>103</v>
      </c>
      <c r="P40" s="5"/>
      <c r="Q40" s="5" t="n">
        <v>2</v>
      </c>
      <c r="R40" s="5"/>
      <c r="S40" s="5" t="s">
        <v>103</v>
      </c>
      <c r="T40" s="5" t="s">
        <v>104</v>
      </c>
      <c r="U40" s="5" t="n">
        <v>2</v>
      </c>
      <c r="V40" s="6" t="s">
        <v>355</v>
      </c>
      <c r="W40" s="5" t="s">
        <v>106</v>
      </c>
      <c r="X40" s="6" t="s">
        <v>247</v>
      </c>
    </row>
    <row r="41" customFormat="false" ht="23.85" hidden="false" customHeight="false" outlineLevel="0" collapsed="false">
      <c r="A41" s="5" t="s">
        <v>356</v>
      </c>
      <c r="B41" s="5" t="s">
        <v>91</v>
      </c>
      <c r="C41" s="5" t="s">
        <v>92</v>
      </c>
      <c r="D41" s="5" t="s">
        <v>357</v>
      </c>
      <c r="E41" s="5" t="s">
        <v>358</v>
      </c>
      <c r="F41" s="6" t="s">
        <v>250</v>
      </c>
      <c r="G41" s="5" t="s">
        <v>251</v>
      </c>
      <c r="H41" s="5" t="s">
        <v>252</v>
      </c>
      <c r="I41" s="5" t="s">
        <v>253</v>
      </c>
      <c r="J41" s="5" t="s">
        <v>359</v>
      </c>
      <c r="K41" s="5"/>
      <c r="L41" s="5" t="s">
        <v>100</v>
      </c>
      <c r="M41" s="5" t="s">
        <v>354</v>
      </c>
      <c r="N41" s="6"/>
      <c r="O41" s="5" t="s">
        <v>113</v>
      </c>
      <c r="P41" s="5"/>
      <c r="Q41" s="5" t="n">
        <v>2</v>
      </c>
      <c r="R41" s="5"/>
      <c r="S41" s="5" t="s">
        <v>103</v>
      </c>
      <c r="T41" s="5" t="s">
        <v>104</v>
      </c>
      <c r="U41" s="5" t="n">
        <v>2</v>
      </c>
      <c r="V41" s="6" t="s">
        <v>360</v>
      </c>
      <c r="W41" s="5" t="s">
        <v>106</v>
      </c>
      <c r="X41" s="6" t="s">
        <v>361</v>
      </c>
    </row>
    <row r="42" customFormat="false" ht="35.05" hidden="false" customHeight="false" outlineLevel="0" collapsed="false">
      <c r="A42" s="5" t="s">
        <v>362</v>
      </c>
      <c r="B42" s="5" t="s">
        <v>91</v>
      </c>
      <c r="C42" s="5" t="s">
        <v>92</v>
      </c>
      <c r="D42" s="5" t="s">
        <v>363</v>
      </c>
      <c r="E42" s="5" t="s">
        <v>364</v>
      </c>
      <c r="F42" s="6" t="s">
        <v>111</v>
      </c>
      <c r="G42" s="5" t="s">
        <v>241</v>
      </c>
      <c r="H42" s="5" t="s">
        <v>242</v>
      </c>
      <c r="I42" s="5" t="s">
        <v>271</v>
      </c>
      <c r="J42" s="5" t="s">
        <v>365</v>
      </c>
      <c r="K42" s="5"/>
      <c r="L42" s="5" t="s">
        <v>100</v>
      </c>
      <c r="M42" s="5" t="s">
        <v>366</v>
      </c>
      <c r="N42" s="6"/>
      <c r="O42" s="5" t="s">
        <v>103</v>
      </c>
      <c r="P42" s="5"/>
      <c r="Q42" s="5" t="n">
        <v>2</v>
      </c>
      <c r="R42" s="5"/>
      <c r="S42" s="5" t="s">
        <v>103</v>
      </c>
      <c r="T42" s="5" t="s">
        <v>104</v>
      </c>
      <c r="U42" s="5" t="n">
        <v>2</v>
      </c>
      <c r="V42" s="6" t="s">
        <v>367</v>
      </c>
      <c r="W42" s="5" t="s">
        <v>106</v>
      </c>
      <c r="X42" s="6" t="s">
        <v>368</v>
      </c>
    </row>
    <row r="43" customFormat="false" ht="46.25" hidden="false" customHeight="false" outlineLevel="0" collapsed="false">
      <c r="A43" s="5" t="s">
        <v>369</v>
      </c>
      <c r="B43" s="5" t="s">
        <v>91</v>
      </c>
      <c r="C43" s="5" t="s">
        <v>92</v>
      </c>
      <c r="D43" s="5" t="s">
        <v>370</v>
      </c>
      <c r="E43" s="5" t="s">
        <v>371</v>
      </c>
      <c r="F43" s="6" t="s">
        <v>250</v>
      </c>
      <c r="G43" s="5" t="s">
        <v>251</v>
      </c>
      <c r="H43" s="5" t="s">
        <v>252</v>
      </c>
      <c r="I43" s="5" t="s">
        <v>253</v>
      </c>
      <c r="J43" s="5" t="s">
        <v>365</v>
      </c>
      <c r="K43" s="5"/>
      <c r="L43" s="5" t="s">
        <v>100</v>
      </c>
      <c r="M43" s="5" t="s">
        <v>366</v>
      </c>
      <c r="N43" s="6"/>
      <c r="O43" s="5" t="s">
        <v>103</v>
      </c>
      <c r="P43" s="5"/>
      <c r="Q43" s="5" t="n">
        <v>2</v>
      </c>
      <c r="R43" s="5"/>
      <c r="S43" s="5" t="s">
        <v>103</v>
      </c>
      <c r="T43" s="5" t="s">
        <v>104</v>
      </c>
      <c r="U43" s="5" t="n">
        <v>2</v>
      </c>
      <c r="V43" s="6" t="s">
        <v>372</v>
      </c>
      <c r="W43" s="5" t="s">
        <v>106</v>
      </c>
      <c r="X43" s="6" t="s">
        <v>373</v>
      </c>
    </row>
    <row r="44" customFormat="false" ht="23.85" hidden="false" customHeight="false" outlineLevel="0" collapsed="false">
      <c r="A44" s="5" t="s">
        <v>374</v>
      </c>
      <c r="B44" s="5" t="s">
        <v>91</v>
      </c>
      <c r="C44" s="5" t="s">
        <v>92</v>
      </c>
      <c r="D44" s="5" t="s">
        <v>375</v>
      </c>
      <c r="E44" s="5" t="s">
        <v>376</v>
      </c>
      <c r="F44" s="6" t="s">
        <v>111</v>
      </c>
      <c r="G44" s="5" t="s">
        <v>241</v>
      </c>
      <c r="H44" s="5" t="s">
        <v>242</v>
      </c>
      <c r="I44" s="5" t="s">
        <v>243</v>
      </c>
      <c r="J44" s="5" t="s">
        <v>377</v>
      </c>
      <c r="K44" s="5"/>
      <c r="L44" s="5" t="s">
        <v>100</v>
      </c>
      <c r="M44" s="5" t="s">
        <v>378</v>
      </c>
      <c r="N44" s="6"/>
      <c r="O44" s="5" t="s">
        <v>103</v>
      </c>
      <c r="P44" s="5"/>
      <c r="Q44" s="5" t="n">
        <v>2</v>
      </c>
      <c r="R44" s="5"/>
      <c r="S44" s="5" t="s">
        <v>103</v>
      </c>
      <c r="T44" s="5" t="s">
        <v>104</v>
      </c>
      <c r="U44" s="5" t="n">
        <v>2</v>
      </c>
      <c r="V44" s="6" t="s">
        <v>379</v>
      </c>
      <c r="W44" s="5" t="s">
        <v>106</v>
      </c>
      <c r="X44" s="6" t="s">
        <v>247</v>
      </c>
    </row>
    <row r="45" customFormat="false" ht="23.85" hidden="false" customHeight="false" outlineLevel="0" collapsed="false">
      <c r="A45" s="5" t="s">
        <v>380</v>
      </c>
      <c r="B45" s="5" t="s">
        <v>91</v>
      </c>
      <c r="C45" s="5" t="s">
        <v>92</v>
      </c>
      <c r="D45" s="5" t="s">
        <v>381</v>
      </c>
      <c r="E45" s="5" t="s">
        <v>382</v>
      </c>
      <c r="F45" s="6" t="s">
        <v>250</v>
      </c>
      <c r="G45" s="5" t="s">
        <v>251</v>
      </c>
      <c r="H45" s="5" t="s">
        <v>252</v>
      </c>
      <c r="I45" s="5" t="s">
        <v>253</v>
      </c>
      <c r="J45" s="5" t="s">
        <v>383</v>
      </c>
      <c r="K45" s="5"/>
      <c r="L45" s="5" t="s">
        <v>100</v>
      </c>
      <c r="M45" s="5" t="s">
        <v>378</v>
      </c>
      <c r="N45" s="6"/>
      <c r="O45" s="5" t="s">
        <v>113</v>
      </c>
      <c r="P45" s="5"/>
      <c r="Q45" s="5" t="n">
        <v>2</v>
      </c>
      <c r="R45" s="5"/>
      <c r="S45" s="5" t="s">
        <v>103</v>
      </c>
      <c r="T45" s="5" t="s">
        <v>104</v>
      </c>
      <c r="U45" s="5" t="n">
        <v>2</v>
      </c>
      <c r="V45" s="6" t="s">
        <v>384</v>
      </c>
      <c r="W45" s="5" t="s">
        <v>106</v>
      </c>
      <c r="X45" s="6" t="s">
        <v>385</v>
      </c>
    </row>
    <row r="46" customFormat="false" ht="23.85" hidden="false" customHeight="false" outlineLevel="0" collapsed="false">
      <c r="A46" s="5" t="s">
        <v>386</v>
      </c>
      <c r="B46" s="5" t="s">
        <v>91</v>
      </c>
      <c r="C46" s="5" t="s">
        <v>92</v>
      </c>
      <c r="D46" s="5" t="s">
        <v>387</v>
      </c>
      <c r="E46" s="5" t="s">
        <v>387</v>
      </c>
      <c r="F46" s="6" t="s">
        <v>111</v>
      </c>
      <c r="G46" s="5" t="s">
        <v>241</v>
      </c>
      <c r="H46" s="5" t="s">
        <v>242</v>
      </c>
      <c r="I46" s="5" t="s">
        <v>271</v>
      </c>
      <c r="J46" s="6" t="s">
        <v>388</v>
      </c>
      <c r="K46" s="5"/>
      <c r="L46" s="5" t="s">
        <v>100</v>
      </c>
      <c r="M46" s="5" t="s">
        <v>389</v>
      </c>
      <c r="N46" s="6"/>
      <c r="O46" s="5" t="s">
        <v>126</v>
      </c>
      <c r="P46" s="5"/>
      <c r="Q46" s="5" t="n">
        <v>2</v>
      </c>
      <c r="R46" s="5"/>
      <c r="S46" s="5" t="s">
        <v>103</v>
      </c>
      <c r="T46" s="5" t="s">
        <v>104</v>
      </c>
      <c r="U46" s="5" t="n">
        <v>2</v>
      </c>
      <c r="V46" s="6" t="s">
        <v>390</v>
      </c>
      <c r="W46" s="5" t="s">
        <v>106</v>
      </c>
      <c r="X46" s="6" t="s">
        <v>391</v>
      </c>
    </row>
    <row r="47" customFormat="false" ht="23.85" hidden="false" customHeight="false" outlineLevel="0" collapsed="false">
      <c r="A47" s="5" t="s">
        <v>392</v>
      </c>
      <c r="B47" s="5" t="s">
        <v>91</v>
      </c>
      <c r="C47" s="5" t="s">
        <v>92</v>
      </c>
      <c r="D47" s="5" t="s">
        <v>393</v>
      </c>
      <c r="E47" s="5" t="s">
        <v>394</v>
      </c>
      <c r="F47" s="6" t="s">
        <v>250</v>
      </c>
      <c r="G47" s="5" t="s">
        <v>251</v>
      </c>
      <c r="H47" s="5" t="s">
        <v>252</v>
      </c>
      <c r="I47" s="5" t="s">
        <v>253</v>
      </c>
      <c r="J47" s="5" t="s">
        <v>395</v>
      </c>
      <c r="K47" s="5"/>
      <c r="L47" s="5" t="s">
        <v>100</v>
      </c>
      <c r="M47" s="5" t="s">
        <v>389</v>
      </c>
      <c r="N47" s="6"/>
      <c r="O47" s="5" t="s">
        <v>113</v>
      </c>
      <c r="P47" s="5"/>
      <c r="Q47" s="5" t="n">
        <v>2</v>
      </c>
      <c r="R47" s="5"/>
      <c r="S47" s="5" t="s">
        <v>103</v>
      </c>
      <c r="T47" s="5" t="s">
        <v>104</v>
      </c>
      <c r="U47" s="5" t="n">
        <v>2</v>
      </c>
      <c r="V47" s="6" t="s">
        <v>396</v>
      </c>
      <c r="W47" s="5" t="s">
        <v>106</v>
      </c>
      <c r="X47" s="6" t="s">
        <v>291</v>
      </c>
    </row>
    <row r="48" customFormat="false" ht="23.85" hidden="false" customHeight="false" outlineLevel="0" collapsed="false">
      <c r="A48" s="5" t="s">
        <v>397</v>
      </c>
      <c r="B48" s="5" t="s">
        <v>91</v>
      </c>
      <c r="C48" s="5" t="s">
        <v>92</v>
      </c>
      <c r="D48" s="5" t="s">
        <v>398</v>
      </c>
      <c r="E48" s="5" t="s">
        <v>399</v>
      </c>
      <c r="F48" s="6" t="s">
        <v>111</v>
      </c>
      <c r="G48" s="5" t="s">
        <v>241</v>
      </c>
      <c r="H48" s="5" t="s">
        <v>242</v>
      </c>
      <c r="I48" s="5" t="s">
        <v>271</v>
      </c>
      <c r="J48" s="5" t="s">
        <v>400</v>
      </c>
      <c r="K48" s="5"/>
      <c r="L48" s="5" t="s">
        <v>100</v>
      </c>
      <c r="M48" s="5" t="s">
        <v>401</v>
      </c>
      <c r="N48" s="6"/>
      <c r="O48" s="5" t="s">
        <v>113</v>
      </c>
      <c r="P48" s="5"/>
      <c r="Q48" s="5" t="n">
        <v>2</v>
      </c>
      <c r="R48" s="5"/>
      <c r="S48" s="5" t="s">
        <v>103</v>
      </c>
      <c r="T48" s="5" t="s">
        <v>104</v>
      </c>
      <c r="U48" s="5" t="n">
        <v>2</v>
      </c>
      <c r="V48" s="6" t="s">
        <v>402</v>
      </c>
      <c r="W48" s="5" t="s">
        <v>106</v>
      </c>
      <c r="X48" s="6" t="s">
        <v>403</v>
      </c>
    </row>
    <row r="49" customFormat="false" ht="23.85" hidden="false" customHeight="false" outlineLevel="0" collapsed="false">
      <c r="A49" s="5" t="s">
        <v>404</v>
      </c>
      <c r="B49" s="5" t="s">
        <v>91</v>
      </c>
      <c r="C49" s="5" t="s">
        <v>92</v>
      </c>
      <c r="D49" s="5" t="s">
        <v>405</v>
      </c>
      <c r="E49" s="5" t="s">
        <v>406</v>
      </c>
      <c r="F49" s="6" t="s">
        <v>250</v>
      </c>
      <c r="G49" s="5" t="s">
        <v>251</v>
      </c>
      <c r="H49" s="5" t="s">
        <v>252</v>
      </c>
      <c r="I49" s="5" t="s">
        <v>253</v>
      </c>
      <c r="J49" s="5" t="s">
        <v>407</v>
      </c>
      <c r="K49" s="5"/>
      <c r="L49" s="5" t="s">
        <v>100</v>
      </c>
      <c r="M49" s="5" t="s">
        <v>401</v>
      </c>
      <c r="N49" s="6"/>
      <c r="O49" s="5" t="s">
        <v>103</v>
      </c>
      <c r="P49" s="5"/>
      <c r="Q49" s="5" t="n">
        <v>2</v>
      </c>
      <c r="R49" s="5"/>
      <c r="S49" s="5" t="s">
        <v>103</v>
      </c>
      <c r="T49" s="5" t="s">
        <v>104</v>
      </c>
      <c r="U49" s="5" t="n">
        <v>2</v>
      </c>
      <c r="V49" s="6" t="s">
        <v>408</v>
      </c>
      <c r="W49" s="5" t="s">
        <v>106</v>
      </c>
      <c r="X49" s="6" t="s">
        <v>279</v>
      </c>
    </row>
    <row r="50" customFormat="false" ht="23.85" hidden="false" customHeight="false" outlineLevel="0" collapsed="false">
      <c r="A50" s="5" t="s">
        <v>409</v>
      </c>
      <c r="B50" s="5" t="s">
        <v>91</v>
      </c>
      <c r="C50" s="5" t="s">
        <v>92</v>
      </c>
      <c r="D50" s="5" t="s">
        <v>410</v>
      </c>
      <c r="E50" s="5" t="s">
        <v>410</v>
      </c>
      <c r="F50" s="6" t="s">
        <v>111</v>
      </c>
      <c r="G50" s="5" t="s">
        <v>241</v>
      </c>
      <c r="H50" s="5" t="s">
        <v>242</v>
      </c>
      <c r="I50" s="5" t="s">
        <v>243</v>
      </c>
      <c r="J50" s="6" t="s">
        <v>411</v>
      </c>
      <c r="K50" s="5"/>
      <c r="L50" s="5" t="s">
        <v>100</v>
      </c>
      <c r="M50" s="5" t="s">
        <v>412</v>
      </c>
      <c r="N50" s="6"/>
      <c r="O50" s="5" t="s">
        <v>126</v>
      </c>
      <c r="P50" s="5"/>
      <c r="Q50" s="5" t="n">
        <v>2</v>
      </c>
      <c r="R50" s="5"/>
      <c r="S50" s="5" t="s">
        <v>103</v>
      </c>
      <c r="T50" s="5" t="s">
        <v>104</v>
      </c>
      <c r="U50" s="5" t="n">
        <v>2</v>
      </c>
      <c r="V50" s="6" t="s">
        <v>413</v>
      </c>
      <c r="W50" s="5" t="s">
        <v>106</v>
      </c>
      <c r="X50" s="6" t="s">
        <v>414</v>
      </c>
    </row>
    <row r="51" customFormat="false" ht="23.85" hidden="false" customHeight="false" outlineLevel="0" collapsed="false">
      <c r="A51" s="5" t="s">
        <v>415</v>
      </c>
      <c r="B51" s="5" t="s">
        <v>91</v>
      </c>
      <c r="C51" s="5" t="s">
        <v>92</v>
      </c>
      <c r="D51" s="5" t="s">
        <v>416</v>
      </c>
      <c r="E51" s="5" t="s">
        <v>416</v>
      </c>
      <c r="F51" s="6" t="s">
        <v>250</v>
      </c>
      <c r="G51" s="5" t="s">
        <v>251</v>
      </c>
      <c r="H51" s="5" t="s">
        <v>252</v>
      </c>
      <c r="I51" s="5" t="s">
        <v>253</v>
      </c>
      <c r="J51" s="6" t="s">
        <v>411</v>
      </c>
      <c r="K51" s="5"/>
      <c r="L51" s="5" t="s">
        <v>100</v>
      </c>
      <c r="M51" s="5" t="s">
        <v>412</v>
      </c>
      <c r="N51" s="6"/>
      <c r="O51" s="5" t="s">
        <v>126</v>
      </c>
      <c r="P51" s="5"/>
      <c r="Q51" s="5" t="n">
        <v>2</v>
      </c>
      <c r="R51" s="5"/>
      <c r="S51" s="5" t="s">
        <v>103</v>
      </c>
      <c r="T51" s="5" t="s">
        <v>104</v>
      </c>
      <c r="U51" s="5" t="n">
        <v>2</v>
      </c>
      <c r="V51" s="6" t="s">
        <v>417</v>
      </c>
      <c r="W51" s="5" t="s">
        <v>106</v>
      </c>
      <c r="X51" s="6" t="s">
        <v>418</v>
      </c>
    </row>
    <row r="52" customFormat="false" ht="23.85" hidden="false" customHeight="false" outlineLevel="0" collapsed="false">
      <c r="A52" s="5" t="s">
        <v>419</v>
      </c>
      <c r="B52" s="5" t="s">
        <v>91</v>
      </c>
      <c r="C52" s="5" t="s">
        <v>92</v>
      </c>
      <c r="D52" s="5" t="s">
        <v>420</v>
      </c>
      <c r="E52" s="5" t="s">
        <v>421</v>
      </c>
      <c r="F52" s="6" t="s">
        <v>111</v>
      </c>
      <c r="G52" s="5" t="s">
        <v>241</v>
      </c>
      <c r="H52" s="5" t="s">
        <v>242</v>
      </c>
      <c r="I52" s="5" t="s">
        <v>243</v>
      </c>
      <c r="J52" s="5" t="s">
        <v>422</v>
      </c>
      <c r="K52" s="5"/>
      <c r="L52" s="5" t="s">
        <v>100</v>
      </c>
      <c r="M52" s="5" t="s">
        <v>423</v>
      </c>
      <c r="N52" s="6"/>
      <c r="O52" s="5" t="s">
        <v>103</v>
      </c>
      <c r="P52" s="5"/>
      <c r="Q52" s="5" t="n">
        <v>2</v>
      </c>
      <c r="R52" s="5"/>
      <c r="S52" s="5" t="s">
        <v>103</v>
      </c>
      <c r="T52" s="5" t="s">
        <v>104</v>
      </c>
      <c r="U52" s="5" t="n">
        <v>2</v>
      </c>
      <c r="V52" s="6" t="s">
        <v>424</v>
      </c>
      <c r="W52" s="5" t="s">
        <v>106</v>
      </c>
      <c r="X52" s="6" t="s">
        <v>247</v>
      </c>
    </row>
    <row r="53" customFormat="false" ht="23.85" hidden="false" customHeight="false" outlineLevel="0" collapsed="false">
      <c r="A53" s="5" t="s">
        <v>425</v>
      </c>
      <c r="B53" s="5" t="s">
        <v>91</v>
      </c>
      <c r="C53" s="5" t="s">
        <v>92</v>
      </c>
      <c r="D53" s="5" t="s">
        <v>426</v>
      </c>
      <c r="E53" s="5" t="s">
        <v>427</v>
      </c>
      <c r="F53" s="6" t="s">
        <v>250</v>
      </c>
      <c r="G53" s="5" t="s">
        <v>251</v>
      </c>
      <c r="H53" s="5" t="s">
        <v>252</v>
      </c>
      <c r="I53" s="5" t="s">
        <v>253</v>
      </c>
      <c r="J53" s="5" t="s">
        <v>428</v>
      </c>
      <c r="K53" s="5"/>
      <c r="L53" s="5" t="s">
        <v>100</v>
      </c>
      <c r="M53" s="5" t="s">
        <v>423</v>
      </c>
      <c r="N53" s="6"/>
      <c r="O53" s="5" t="s">
        <v>113</v>
      </c>
      <c r="P53" s="5"/>
      <c r="Q53" s="5" t="n">
        <v>2</v>
      </c>
      <c r="R53" s="5"/>
      <c r="S53" s="5" t="s">
        <v>103</v>
      </c>
      <c r="T53" s="5" t="s">
        <v>104</v>
      </c>
      <c r="U53" s="5" t="n">
        <v>2</v>
      </c>
      <c r="V53" s="6" t="s">
        <v>429</v>
      </c>
      <c r="W53" s="5" t="s">
        <v>106</v>
      </c>
      <c r="X53" s="6" t="s">
        <v>430</v>
      </c>
    </row>
    <row r="54" customFormat="false" ht="35.05" hidden="false" customHeight="false" outlineLevel="0" collapsed="false">
      <c r="A54" s="5" t="s">
        <v>431</v>
      </c>
      <c r="B54" s="5" t="s">
        <v>91</v>
      </c>
      <c r="C54" s="5" t="s">
        <v>92</v>
      </c>
      <c r="D54" s="5" t="s">
        <v>432</v>
      </c>
      <c r="E54" s="5" t="s">
        <v>433</v>
      </c>
      <c r="F54" s="6" t="s">
        <v>111</v>
      </c>
      <c r="G54" s="5" t="s">
        <v>241</v>
      </c>
      <c r="H54" s="5" t="s">
        <v>242</v>
      </c>
      <c r="I54" s="5" t="s">
        <v>243</v>
      </c>
      <c r="J54" s="5" t="s">
        <v>434</v>
      </c>
      <c r="K54" s="5"/>
      <c r="L54" s="5" t="s">
        <v>100</v>
      </c>
      <c r="M54" s="5" t="s">
        <v>435</v>
      </c>
      <c r="N54" s="6"/>
      <c r="O54" s="5" t="s">
        <v>113</v>
      </c>
      <c r="P54" s="5"/>
      <c r="Q54" s="5" t="n">
        <v>2</v>
      </c>
      <c r="R54" s="5"/>
      <c r="S54" s="5" t="s">
        <v>103</v>
      </c>
      <c r="T54" s="5" t="s">
        <v>104</v>
      </c>
      <c r="U54" s="5" t="n">
        <v>2</v>
      </c>
      <c r="V54" s="6" t="s">
        <v>436</v>
      </c>
      <c r="W54" s="5" t="s">
        <v>106</v>
      </c>
      <c r="X54" s="6" t="s">
        <v>437</v>
      </c>
    </row>
    <row r="55" customFormat="false" ht="23.85" hidden="false" customHeight="false" outlineLevel="0" collapsed="false">
      <c r="A55" s="5" t="s">
        <v>438</v>
      </c>
      <c r="B55" s="5" t="s">
        <v>91</v>
      </c>
      <c r="C55" s="5" t="s">
        <v>92</v>
      </c>
      <c r="D55" s="5" t="s">
        <v>439</v>
      </c>
      <c r="E55" s="5" t="s">
        <v>440</v>
      </c>
      <c r="F55" s="6" t="s">
        <v>250</v>
      </c>
      <c r="G55" s="5" t="s">
        <v>251</v>
      </c>
      <c r="H55" s="5" t="s">
        <v>252</v>
      </c>
      <c r="I55" s="5" t="s">
        <v>253</v>
      </c>
      <c r="J55" s="5" t="s">
        <v>434</v>
      </c>
      <c r="K55" s="5"/>
      <c r="L55" s="5" t="s">
        <v>100</v>
      </c>
      <c r="M55" s="5" t="s">
        <v>435</v>
      </c>
      <c r="N55" s="6"/>
      <c r="O55" s="5" t="s">
        <v>113</v>
      </c>
      <c r="P55" s="5"/>
      <c r="Q55" s="5" t="n">
        <v>2</v>
      </c>
      <c r="R55" s="5"/>
      <c r="S55" s="5" t="s">
        <v>103</v>
      </c>
      <c r="T55" s="5" t="s">
        <v>104</v>
      </c>
      <c r="U55" s="5" t="n">
        <v>2</v>
      </c>
      <c r="V55" s="6" t="s">
        <v>441</v>
      </c>
      <c r="W55" s="5" t="s">
        <v>106</v>
      </c>
      <c r="X55" s="6" t="s">
        <v>442</v>
      </c>
    </row>
    <row r="56" customFormat="false" ht="23.85" hidden="false" customHeight="false" outlineLevel="0" collapsed="false">
      <c r="A56" s="5" t="s">
        <v>443</v>
      </c>
      <c r="B56" s="5" t="s">
        <v>91</v>
      </c>
      <c r="C56" s="5" t="s">
        <v>92</v>
      </c>
      <c r="D56" s="5" t="s">
        <v>444</v>
      </c>
      <c r="E56" s="5" t="s">
        <v>444</v>
      </c>
      <c r="F56" s="6" t="s">
        <v>111</v>
      </c>
      <c r="G56" s="5" t="s">
        <v>241</v>
      </c>
      <c r="H56" s="5" t="s">
        <v>242</v>
      </c>
      <c r="I56" s="5" t="s">
        <v>243</v>
      </c>
      <c r="J56" s="6" t="s">
        <v>445</v>
      </c>
      <c r="K56" s="5"/>
      <c r="L56" s="5" t="s">
        <v>100</v>
      </c>
      <c r="M56" s="5" t="s">
        <v>446</v>
      </c>
      <c r="N56" s="6"/>
      <c r="O56" s="5" t="s">
        <v>126</v>
      </c>
      <c r="P56" s="5"/>
      <c r="Q56" s="5" t="n">
        <v>2</v>
      </c>
      <c r="R56" s="5"/>
      <c r="S56" s="5" t="s">
        <v>103</v>
      </c>
      <c r="T56" s="5" t="s">
        <v>104</v>
      </c>
      <c r="U56" s="5" t="n">
        <v>2</v>
      </c>
      <c r="V56" s="6" t="s">
        <v>447</v>
      </c>
      <c r="W56" s="5" t="s">
        <v>106</v>
      </c>
      <c r="X56" s="6" t="s">
        <v>448</v>
      </c>
    </row>
    <row r="57" customFormat="false" ht="23.85" hidden="false" customHeight="false" outlineLevel="0" collapsed="false">
      <c r="A57" s="5" t="s">
        <v>449</v>
      </c>
      <c r="B57" s="5" t="s">
        <v>91</v>
      </c>
      <c r="C57" s="5" t="s">
        <v>92</v>
      </c>
      <c r="D57" s="5" t="s">
        <v>450</v>
      </c>
      <c r="E57" s="5" t="s">
        <v>450</v>
      </c>
      <c r="F57" s="6" t="s">
        <v>250</v>
      </c>
      <c r="G57" s="5" t="s">
        <v>251</v>
      </c>
      <c r="H57" s="5" t="s">
        <v>252</v>
      </c>
      <c r="I57" s="5" t="s">
        <v>253</v>
      </c>
      <c r="J57" s="6" t="s">
        <v>445</v>
      </c>
      <c r="K57" s="5"/>
      <c r="L57" s="5" t="s">
        <v>100</v>
      </c>
      <c r="M57" s="5" t="s">
        <v>446</v>
      </c>
      <c r="N57" s="6"/>
      <c r="O57" s="5" t="s">
        <v>126</v>
      </c>
      <c r="P57" s="5"/>
      <c r="Q57" s="5" t="n">
        <v>2</v>
      </c>
      <c r="R57" s="5"/>
      <c r="S57" s="5" t="s">
        <v>103</v>
      </c>
      <c r="T57" s="5" t="s">
        <v>104</v>
      </c>
      <c r="U57" s="5" t="n">
        <v>2</v>
      </c>
      <c r="V57" s="6" t="s">
        <v>451</v>
      </c>
      <c r="W57" s="5" t="s">
        <v>106</v>
      </c>
      <c r="X57" s="6" t="s">
        <v>452</v>
      </c>
    </row>
    <row r="58" customFormat="false" ht="23.85" hidden="false" customHeight="false" outlineLevel="0" collapsed="false">
      <c r="A58" s="5" t="s">
        <v>453</v>
      </c>
      <c r="B58" s="5" t="s">
        <v>91</v>
      </c>
      <c r="C58" s="5" t="s">
        <v>92</v>
      </c>
      <c r="D58" s="5" t="s">
        <v>454</v>
      </c>
      <c r="E58" s="5" t="s">
        <v>455</v>
      </c>
      <c r="F58" s="6" t="s">
        <v>111</v>
      </c>
      <c r="G58" s="5" t="s">
        <v>241</v>
      </c>
      <c r="H58" s="5" t="s">
        <v>242</v>
      </c>
      <c r="I58" s="5" t="s">
        <v>243</v>
      </c>
      <c r="J58" s="5" t="s">
        <v>456</v>
      </c>
      <c r="K58" s="5"/>
      <c r="L58" s="5" t="s">
        <v>100</v>
      </c>
      <c r="M58" s="5" t="s">
        <v>457</v>
      </c>
      <c r="N58" s="6"/>
      <c r="O58" s="5" t="s">
        <v>103</v>
      </c>
      <c r="P58" s="5"/>
      <c r="Q58" s="5" t="n">
        <v>2</v>
      </c>
      <c r="R58" s="5"/>
      <c r="S58" s="5" t="s">
        <v>103</v>
      </c>
      <c r="T58" s="5" t="s">
        <v>104</v>
      </c>
      <c r="U58" s="5" t="n">
        <v>2</v>
      </c>
      <c r="V58" s="6" t="s">
        <v>458</v>
      </c>
      <c r="W58" s="5" t="s">
        <v>106</v>
      </c>
      <c r="X58" s="6" t="s">
        <v>247</v>
      </c>
    </row>
    <row r="59" customFormat="false" ht="23.85" hidden="false" customHeight="false" outlineLevel="0" collapsed="false">
      <c r="A59" s="5" t="s">
        <v>459</v>
      </c>
      <c r="B59" s="5" t="s">
        <v>91</v>
      </c>
      <c r="C59" s="5" t="s">
        <v>92</v>
      </c>
      <c r="D59" s="5" t="s">
        <v>460</v>
      </c>
      <c r="E59" s="5" t="s">
        <v>460</v>
      </c>
      <c r="F59" s="6" t="s">
        <v>250</v>
      </c>
      <c r="G59" s="5" t="s">
        <v>251</v>
      </c>
      <c r="H59" s="5" t="s">
        <v>252</v>
      </c>
      <c r="I59" s="5" t="s">
        <v>253</v>
      </c>
      <c r="J59" s="6" t="s">
        <v>461</v>
      </c>
      <c r="K59" s="5"/>
      <c r="L59" s="5" t="s">
        <v>100</v>
      </c>
      <c r="M59" s="5" t="s">
        <v>457</v>
      </c>
      <c r="N59" s="6"/>
      <c r="O59" s="5" t="s">
        <v>126</v>
      </c>
      <c r="P59" s="5"/>
      <c r="Q59" s="5" t="n">
        <v>2</v>
      </c>
      <c r="R59" s="5"/>
      <c r="S59" s="5" t="s">
        <v>103</v>
      </c>
      <c r="T59" s="5" t="s">
        <v>104</v>
      </c>
      <c r="U59" s="5" t="n">
        <v>2</v>
      </c>
      <c r="V59" s="6" t="s">
        <v>462</v>
      </c>
      <c r="W59" s="5" t="s">
        <v>106</v>
      </c>
      <c r="X59" s="6" t="s">
        <v>256</v>
      </c>
    </row>
    <row r="60" customFormat="false" ht="23.85" hidden="false" customHeight="false" outlineLevel="0" collapsed="false">
      <c r="A60" s="5" t="s">
        <v>463</v>
      </c>
      <c r="B60" s="5" t="s">
        <v>91</v>
      </c>
      <c r="C60" s="5" t="s">
        <v>92</v>
      </c>
      <c r="D60" s="5" t="s">
        <v>464</v>
      </c>
      <c r="E60" s="5" t="s">
        <v>464</v>
      </c>
      <c r="F60" s="6" t="s">
        <v>111</v>
      </c>
      <c r="G60" s="5" t="s">
        <v>241</v>
      </c>
      <c r="H60" s="5" t="s">
        <v>242</v>
      </c>
      <c r="I60" s="5" t="s">
        <v>243</v>
      </c>
      <c r="J60" s="6" t="s">
        <v>465</v>
      </c>
      <c r="K60" s="5"/>
      <c r="L60" s="5" t="s">
        <v>100</v>
      </c>
      <c r="M60" s="5" t="s">
        <v>466</v>
      </c>
      <c r="N60" s="6"/>
      <c r="O60" s="5" t="s">
        <v>126</v>
      </c>
      <c r="P60" s="5"/>
      <c r="Q60" s="5" t="n">
        <v>2</v>
      </c>
      <c r="R60" s="5"/>
      <c r="S60" s="5" t="s">
        <v>103</v>
      </c>
      <c r="T60" s="5" t="s">
        <v>104</v>
      </c>
      <c r="U60" s="5" t="n">
        <v>2</v>
      </c>
      <c r="V60" s="6" t="s">
        <v>467</v>
      </c>
      <c r="W60" s="5" t="s">
        <v>106</v>
      </c>
      <c r="X60" s="6" t="s">
        <v>391</v>
      </c>
    </row>
    <row r="61" customFormat="false" ht="23.85" hidden="false" customHeight="false" outlineLevel="0" collapsed="false">
      <c r="A61" s="5" t="s">
        <v>468</v>
      </c>
      <c r="B61" s="5" t="s">
        <v>91</v>
      </c>
      <c r="C61" s="5" t="s">
        <v>92</v>
      </c>
      <c r="D61" s="5" t="s">
        <v>469</v>
      </c>
      <c r="E61" s="5" t="s">
        <v>470</v>
      </c>
      <c r="F61" s="6" t="s">
        <v>250</v>
      </c>
      <c r="G61" s="5" t="s">
        <v>251</v>
      </c>
      <c r="H61" s="5" t="s">
        <v>252</v>
      </c>
      <c r="I61" s="5" t="s">
        <v>253</v>
      </c>
      <c r="J61" s="5" t="s">
        <v>471</v>
      </c>
      <c r="K61" s="5"/>
      <c r="L61" s="5" t="s">
        <v>100</v>
      </c>
      <c r="M61" s="5" t="s">
        <v>466</v>
      </c>
      <c r="N61" s="6"/>
      <c r="O61" s="5" t="s">
        <v>103</v>
      </c>
      <c r="P61" s="5"/>
      <c r="Q61" s="5" t="n">
        <v>2</v>
      </c>
      <c r="R61" s="5"/>
      <c r="S61" s="5" t="s">
        <v>103</v>
      </c>
      <c r="T61" s="5" t="s">
        <v>104</v>
      </c>
      <c r="U61" s="5" t="n">
        <v>2</v>
      </c>
      <c r="V61" s="6" t="s">
        <v>472</v>
      </c>
      <c r="W61" s="5" t="s">
        <v>106</v>
      </c>
      <c r="X61" s="6" t="s">
        <v>279</v>
      </c>
    </row>
    <row r="62" customFormat="false" ht="23.85" hidden="false" customHeight="false" outlineLevel="0" collapsed="false">
      <c r="A62" s="5" t="s">
        <v>473</v>
      </c>
      <c r="B62" s="5" t="s">
        <v>91</v>
      </c>
      <c r="C62" s="5" t="s">
        <v>92</v>
      </c>
      <c r="D62" s="5" t="s">
        <v>474</v>
      </c>
      <c r="E62" s="5" t="s">
        <v>475</v>
      </c>
      <c r="F62" s="6" t="s">
        <v>111</v>
      </c>
      <c r="G62" s="5" t="s">
        <v>241</v>
      </c>
      <c r="H62" s="5" t="s">
        <v>242</v>
      </c>
      <c r="I62" s="5" t="s">
        <v>243</v>
      </c>
      <c r="J62" s="5" t="s">
        <v>476</v>
      </c>
      <c r="K62" s="5"/>
      <c r="L62" s="5" t="s">
        <v>100</v>
      </c>
      <c r="M62" s="5" t="s">
        <v>477</v>
      </c>
      <c r="N62" s="6"/>
      <c r="O62" s="5" t="s">
        <v>103</v>
      </c>
      <c r="P62" s="5"/>
      <c r="Q62" s="5" t="n">
        <v>2</v>
      </c>
      <c r="R62" s="5"/>
      <c r="S62" s="5" t="s">
        <v>103</v>
      </c>
      <c r="T62" s="5" t="s">
        <v>104</v>
      </c>
      <c r="U62" s="5" t="n">
        <v>2</v>
      </c>
      <c r="V62" s="6" t="s">
        <v>478</v>
      </c>
      <c r="W62" s="5" t="s">
        <v>106</v>
      </c>
      <c r="X62" s="6" t="s">
        <v>247</v>
      </c>
    </row>
    <row r="63" customFormat="false" ht="23.85" hidden="false" customHeight="false" outlineLevel="0" collapsed="false">
      <c r="A63" s="5" t="s">
        <v>479</v>
      </c>
      <c r="B63" s="5" t="s">
        <v>91</v>
      </c>
      <c r="C63" s="5" t="s">
        <v>92</v>
      </c>
      <c r="D63" s="5" t="s">
        <v>480</v>
      </c>
      <c r="E63" s="5" t="s">
        <v>481</v>
      </c>
      <c r="F63" s="6" t="s">
        <v>250</v>
      </c>
      <c r="G63" s="5" t="s">
        <v>251</v>
      </c>
      <c r="H63" s="5" t="s">
        <v>252</v>
      </c>
      <c r="I63" s="5" t="s">
        <v>253</v>
      </c>
      <c r="J63" s="5" t="s">
        <v>476</v>
      </c>
      <c r="K63" s="5"/>
      <c r="L63" s="5" t="s">
        <v>100</v>
      </c>
      <c r="M63" s="5" t="s">
        <v>477</v>
      </c>
      <c r="N63" s="6"/>
      <c r="O63" s="5" t="s">
        <v>103</v>
      </c>
      <c r="P63" s="5"/>
      <c r="Q63" s="5" t="n">
        <v>2</v>
      </c>
      <c r="R63" s="5"/>
      <c r="S63" s="5" t="s">
        <v>103</v>
      </c>
      <c r="T63" s="5" t="s">
        <v>104</v>
      </c>
      <c r="U63" s="5" t="n">
        <v>2</v>
      </c>
      <c r="V63" s="6" t="s">
        <v>482</v>
      </c>
      <c r="W63" s="5" t="s">
        <v>106</v>
      </c>
      <c r="X63" s="6" t="s">
        <v>279</v>
      </c>
    </row>
    <row r="64" customFormat="false" ht="68.65" hidden="false" customHeight="false" outlineLevel="0" collapsed="false">
      <c r="A64" s="5" t="s">
        <v>483</v>
      </c>
      <c r="B64" s="5" t="s">
        <v>91</v>
      </c>
      <c r="C64" s="5" t="s">
        <v>92</v>
      </c>
      <c r="D64" s="5" t="s">
        <v>484</v>
      </c>
      <c r="E64" s="5" t="s">
        <v>485</v>
      </c>
      <c r="F64" s="6" t="s">
        <v>250</v>
      </c>
      <c r="G64" s="5" t="s">
        <v>486</v>
      </c>
      <c r="H64" s="5" t="s">
        <v>487</v>
      </c>
      <c r="I64" s="5" t="s">
        <v>488</v>
      </c>
      <c r="J64" s="5" t="s">
        <v>489</v>
      </c>
      <c r="K64" s="5"/>
      <c r="L64" s="5" t="s">
        <v>490</v>
      </c>
      <c r="M64" s="5" t="s">
        <v>491</v>
      </c>
      <c r="N64" s="6"/>
      <c r="O64" s="5" t="s">
        <v>103</v>
      </c>
      <c r="P64" s="5"/>
      <c r="Q64" s="5" t="n">
        <v>2</v>
      </c>
      <c r="R64" s="5"/>
      <c r="S64" s="5" t="s">
        <v>103</v>
      </c>
      <c r="T64" s="7" t="s">
        <v>197</v>
      </c>
      <c r="U64" s="5" t="n">
        <v>2</v>
      </c>
      <c r="V64" s="6" t="s">
        <v>492</v>
      </c>
      <c r="W64" s="5" t="s">
        <v>493</v>
      </c>
      <c r="X64" s="6" t="s">
        <v>494</v>
      </c>
    </row>
    <row r="65" customFormat="false" ht="91" hidden="false" customHeight="false" outlineLevel="0" collapsed="false">
      <c r="A65" s="5" t="s">
        <v>495</v>
      </c>
      <c r="B65" s="5" t="s">
        <v>496</v>
      </c>
      <c r="C65" s="5" t="s">
        <v>497</v>
      </c>
      <c r="D65" s="5" t="s">
        <v>498</v>
      </c>
      <c r="E65" s="5" t="s">
        <v>498</v>
      </c>
      <c r="F65" s="6" t="s">
        <v>499</v>
      </c>
      <c r="G65" s="5" t="s">
        <v>500</v>
      </c>
      <c r="H65" s="5" t="s">
        <v>180</v>
      </c>
      <c r="I65" s="5" t="s">
        <v>500</v>
      </c>
      <c r="J65" s="5" t="s">
        <v>501</v>
      </c>
      <c r="K65" s="5"/>
      <c r="L65" s="5" t="s">
        <v>502</v>
      </c>
      <c r="M65" s="5" t="s">
        <v>498</v>
      </c>
      <c r="N65" s="6" t="s">
        <v>503</v>
      </c>
      <c r="O65" s="5"/>
      <c r="P65" s="5" t="s">
        <v>504</v>
      </c>
      <c r="Q65" s="5" t="n">
        <v>3</v>
      </c>
      <c r="R65" s="5" t="n">
        <v>4</v>
      </c>
      <c r="S65" s="8" t="s">
        <v>505</v>
      </c>
      <c r="T65" s="7" t="s">
        <v>197</v>
      </c>
      <c r="U65" s="5" t="n">
        <v>2</v>
      </c>
      <c r="V65" s="6" t="s">
        <v>506</v>
      </c>
      <c r="W65" s="5" t="s">
        <v>507</v>
      </c>
      <c r="X65" s="6" t="s">
        <v>508</v>
      </c>
    </row>
    <row r="66" customFormat="false" ht="79.85" hidden="false" customHeight="false" outlineLevel="0" collapsed="false">
      <c r="A66" s="5" t="s">
        <v>509</v>
      </c>
      <c r="B66" s="5" t="s">
        <v>496</v>
      </c>
      <c r="C66" s="5" t="s">
        <v>497</v>
      </c>
      <c r="D66" s="5" t="s">
        <v>510</v>
      </c>
      <c r="E66" s="5" t="s">
        <v>510</v>
      </c>
      <c r="F66" s="6" t="s">
        <v>499</v>
      </c>
      <c r="G66" s="5" t="s">
        <v>500</v>
      </c>
      <c r="H66" s="5" t="s">
        <v>180</v>
      </c>
      <c r="I66" s="5" t="s">
        <v>500</v>
      </c>
      <c r="J66" s="5" t="s">
        <v>511</v>
      </c>
      <c r="K66" s="5"/>
      <c r="L66" s="5" t="s">
        <v>512</v>
      </c>
      <c r="M66" s="5" t="s">
        <v>510</v>
      </c>
      <c r="N66" s="6" t="s">
        <v>513</v>
      </c>
      <c r="O66" s="5"/>
      <c r="P66" s="5" t="s">
        <v>504</v>
      </c>
      <c r="Q66" s="5" t="n">
        <v>4</v>
      </c>
      <c r="R66" s="5" t="n">
        <v>4</v>
      </c>
      <c r="S66" s="5" t="s">
        <v>103</v>
      </c>
      <c r="T66" s="7" t="s">
        <v>197</v>
      </c>
      <c r="U66" s="5" t="n">
        <v>2</v>
      </c>
      <c r="V66" s="6" t="s">
        <v>514</v>
      </c>
      <c r="W66" s="5" t="s">
        <v>515</v>
      </c>
      <c r="X66" s="6" t="s">
        <v>516</v>
      </c>
    </row>
    <row r="67" customFormat="false" ht="57.45" hidden="false" customHeight="false" outlineLevel="0" collapsed="false">
      <c r="A67" s="5" t="s">
        <v>517</v>
      </c>
      <c r="B67" s="5" t="s">
        <v>496</v>
      </c>
      <c r="C67" s="5" t="s">
        <v>497</v>
      </c>
      <c r="D67" s="5" t="s">
        <v>518</v>
      </c>
      <c r="E67" s="5" t="s">
        <v>518</v>
      </c>
      <c r="F67" s="6" t="s">
        <v>499</v>
      </c>
      <c r="G67" s="5" t="s">
        <v>500</v>
      </c>
      <c r="H67" s="5" t="s">
        <v>180</v>
      </c>
      <c r="I67" s="5" t="s">
        <v>500</v>
      </c>
      <c r="J67" s="5" t="s">
        <v>519</v>
      </c>
      <c r="K67" s="5"/>
      <c r="L67" s="5" t="s">
        <v>512</v>
      </c>
      <c r="M67" s="5" t="s">
        <v>518</v>
      </c>
      <c r="N67" s="6" t="s">
        <v>513</v>
      </c>
      <c r="O67" s="5"/>
      <c r="P67" s="5" t="s">
        <v>504</v>
      </c>
      <c r="Q67" s="5" t="n">
        <v>4</v>
      </c>
      <c r="R67" s="5" t="n">
        <v>4</v>
      </c>
      <c r="S67" s="5" t="s">
        <v>103</v>
      </c>
      <c r="T67" s="7" t="s">
        <v>197</v>
      </c>
      <c r="U67" s="5" t="n">
        <v>2</v>
      </c>
      <c r="V67" s="6" t="s">
        <v>520</v>
      </c>
      <c r="W67" s="5" t="s">
        <v>521</v>
      </c>
      <c r="X67" s="6" t="s">
        <v>522</v>
      </c>
    </row>
    <row r="68" customFormat="false" ht="68.65" hidden="false" customHeight="false" outlineLevel="0" collapsed="false">
      <c r="A68" s="5" t="s">
        <v>523</v>
      </c>
      <c r="B68" s="5" t="s">
        <v>496</v>
      </c>
      <c r="C68" s="5" t="s">
        <v>497</v>
      </c>
      <c r="D68" s="5" t="s">
        <v>524</v>
      </c>
      <c r="E68" s="5" t="s">
        <v>524</v>
      </c>
      <c r="F68" s="6" t="s">
        <v>499</v>
      </c>
      <c r="G68" s="5" t="s">
        <v>525</v>
      </c>
      <c r="H68" s="5" t="s">
        <v>526</v>
      </c>
      <c r="I68" s="5" t="s">
        <v>525</v>
      </c>
      <c r="J68" s="5" t="s">
        <v>527</v>
      </c>
      <c r="K68" s="5"/>
      <c r="L68" s="5" t="s">
        <v>528</v>
      </c>
      <c r="M68" s="5" t="s">
        <v>524</v>
      </c>
      <c r="N68" s="6" t="s">
        <v>513</v>
      </c>
      <c r="O68" s="5"/>
      <c r="P68" s="5" t="s">
        <v>529</v>
      </c>
      <c r="Q68" s="5" t="n">
        <v>4</v>
      </c>
      <c r="R68" s="5" t="n">
        <v>4</v>
      </c>
      <c r="S68" s="5" t="s">
        <v>103</v>
      </c>
      <c r="T68" s="7" t="s">
        <v>197</v>
      </c>
      <c r="U68" s="5" t="n">
        <v>2</v>
      </c>
      <c r="V68" s="6" t="s">
        <v>530</v>
      </c>
      <c r="W68" s="5" t="s">
        <v>531</v>
      </c>
      <c r="X68" s="6" t="s">
        <v>532</v>
      </c>
    </row>
    <row r="69" customFormat="false" ht="68.65" hidden="false" customHeight="false" outlineLevel="0" collapsed="false">
      <c r="A69" s="5" t="s">
        <v>533</v>
      </c>
      <c r="B69" s="5" t="s">
        <v>496</v>
      </c>
      <c r="C69" s="5" t="s">
        <v>497</v>
      </c>
      <c r="D69" s="5" t="s">
        <v>534</v>
      </c>
      <c r="E69" s="5" t="s">
        <v>534</v>
      </c>
      <c r="F69" s="6" t="s">
        <v>499</v>
      </c>
      <c r="G69" s="5" t="s">
        <v>525</v>
      </c>
      <c r="H69" s="5" t="s">
        <v>526</v>
      </c>
      <c r="I69" s="5" t="s">
        <v>525</v>
      </c>
      <c r="J69" s="5" t="s">
        <v>535</v>
      </c>
      <c r="K69" s="5"/>
      <c r="L69" s="5" t="s">
        <v>536</v>
      </c>
      <c r="M69" s="5" t="s">
        <v>534</v>
      </c>
      <c r="N69" s="6" t="s">
        <v>513</v>
      </c>
      <c r="O69" s="5"/>
      <c r="P69" s="5" t="s">
        <v>529</v>
      </c>
      <c r="Q69" s="5" t="n">
        <v>4</v>
      </c>
      <c r="R69" s="5" t="n">
        <v>4</v>
      </c>
      <c r="S69" s="5" t="s">
        <v>103</v>
      </c>
      <c r="T69" s="7" t="s">
        <v>197</v>
      </c>
      <c r="U69" s="5" t="n">
        <v>2</v>
      </c>
      <c r="V69" s="6" t="s">
        <v>537</v>
      </c>
      <c r="W69" s="5" t="s">
        <v>538</v>
      </c>
      <c r="X69" s="6" t="s">
        <v>539</v>
      </c>
    </row>
    <row r="70" customFormat="false" ht="46.25" hidden="false" customHeight="false" outlineLevel="0" collapsed="false">
      <c r="A70" s="5" t="s">
        <v>540</v>
      </c>
      <c r="B70" s="5" t="s">
        <v>496</v>
      </c>
      <c r="C70" s="5" t="s">
        <v>497</v>
      </c>
      <c r="D70" s="5" t="s">
        <v>541</v>
      </c>
      <c r="E70" s="5" t="s">
        <v>541</v>
      </c>
      <c r="F70" s="6" t="s">
        <v>499</v>
      </c>
      <c r="G70" s="5" t="s">
        <v>542</v>
      </c>
      <c r="H70" s="5" t="s">
        <v>543</v>
      </c>
      <c r="I70" s="5" t="s">
        <v>544</v>
      </c>
      <c r="J70" s="5" t="s">
        <v>545</v>
      </c>
      <c r="K70" s="5"/>
      <c r="L70" s="5" t="s">
        <v>528</v>
      </c>
      <c r="M70" s="5" t="s">
        <v>541</v>
      </c>
      <c r="N70" s="6" t="s">
        <v>513</v>
      </c>
      <c r="O70" s="5"/>
      <c r="P70" s="5" t="s">
        <v>529</v>
      </c>
      <c r="Q70" s="5" t="n">
        <v>4</v>
      </c>
      <c r="R70" s="5" t="n">
        <v>4</v>
      </c>
      <c r="S70" s="5" t="s">
        <v>103</v>
      </c>
      <c r="T70" s="7" t="s">
        <v>197</v>
      </c>
      <c r="U70" s="5" t="n">
        <v>2</v>
      </c>
      <c r="V70" s="6" t="s">
        <v>546</v>
      </c>
      <c r="W70" s="5" t="s">
        <v>531</v>
      </c>
      <c r="X70" s="6" t="s">
        <v>547</v>
      </c>
    </row>
    <row r="71" customFormat="false" ht="46.25" hidden="false" customHeight="false" outlineLevel="0" collapsed="false">
      <c r="A71" s="5" t="s">
        <v>548</v>
      </c>
      <c r="B71" s="5" t="s">
        <v>496</v>
      </c>
      <c r="C71" s="5" t="s">
        <v>497</v>
      </c>
      <c r="D71" s="5" t="s">
        <v>549</v>
      </c>
      <c r="E71" s="5" t="s">
        <v>549</v>
      </c>
      <c r="F71" s="6" t="s">
        <v>499</v>
      </c>
      <c r="G71" s="5" t="s">
        <v>542</v>
      </c>
      <c r="H71" s="5" t="s">
        <v>543</v>
      </c>
      <c r="I71" s="5" t="s">
        <v>544</v>
      </c>
      <c r="J71" s="5" t="s">
        <v>550</v>
      </c>
      <c r="K71" s="5"/>
      <c r="L71" s="5" t="s">
        <v>528</v>
      </c>
      <c r="M71" s="5" t="s">
        <v>549</v>
      </c>
      <c r="N71" s="6" t="s">
        <v>513</v>
      </c>
      <c r="O71" s="5"/>
      <c r="P71" s="5" t="s">
        <v>529</v>
      </c>
      <c r="Q71" s="5" t="n">
        <v>4</v>
      </c>
      <c r="R71" s="5" t="n">
        <v>4</v>
      </c>
      <c r="S71" s="5" t="s">
        <v>103</v>
      </c>
      <c r="T71" s="7" t="s">
        <v>197</v>
      </c>
      <c r="U71" s="5" t="n">
        <v>2</v>
      </c>
      <c r="V71" s="6" t="s">
        <v>551</v>
      </c>
      <c r="W71" s="5" t="s">
        <v>531</v>
      </c>
      <c r="X71" s="6" t="s">
        <v>552</v>
      </c>
    </row>
    <row r="72" customFormat="false" ht="57.45" hidden="false" customHeight="false" outlineLevel="0" collapsed="false">
      <c r="A72" s="5" t="s">
        <v>553</v>
      </c>
      <c r="B72" s="5" t="s">
        <v>496</v>
      </c>
      <c r="C72" s="5" t="s">
        <v>497</v>
      </c>
      <c r="D72" s="5" t="s">
        <v>554</v>
      </c>
      <c r="E72" s="5" t="s">
        <v>554</v>
      </c>
      <c r="F72" s="6" t="s">
        <v>499</v>
      </c>
      <c r="G72" s="5" t="s">
        <v>555</v>
      </c>
      <c r="H72" s="5" t="s">
        <v>556</v>
      </c>
      <c r="I72" s="5" t="s">
        <v>555</v>
      </c>
      <c r="J72" s="5" t="s">
        <v>557</v>
      </c>
      <c r="K72" s="5"/>
      <c r="L72" s="5" t="s">
        <v>536</v>
      </c>
      <c r="M72" s="5" t="s">
        <v>554</v>
      </c>
      <c r="N72" s="6" t="s">
        <v>513</v>
      </c>
      <c r="O72" s="5"/>
      <c r="P72" s="5" t="s">
        <v>529</v>
      </c>
      <c r="Q72" s="5" t="n">
        <v>4</v>
      </c>
      <c r="R72" s="5" t="n">
        <v>4</v>
      </c>
      <c r="S72" s="5" t="s">
        <v>103</v>
      </c>
      <c r="T72" s="7" t="s">
        <v>197</v>
      </c>
      <c r="U72" s="5" t="n">
        <v>2</v>
      </c>
      <c r="V72" s="6" t="s">
        <v>558</v>
      </c>
      <c r="W72" s="5" t="s">
        <v>531</v>
      </c>
      <c r="X72" s="6" t="s">
        <v>559</v>
      </c>
    </row>
    <row r="73" customFormat="false" ht="46.25" hidden="false" customHeight="false" outlineLevel="0" collapsed="false">
      <c r="A73" s="5" t="s">
        <v>560</v>
      </c>
      <c r="B73" s="5" t="s">
        <v>496</v>
      </c>
      <c r="C73" s="5" t="s">
        <v>497</v>
      </c>
      <c r="D73" s="5" t="s">
        <v>561</v>
      </c>
      <c r="E73" s="5" t="s">
        <v>561</v>
      </c>
      <c r="F73" s="6" t="s">
        <v>499</v>
      </c>
      <c r="G73" s="5" t="s">
        <v>555</v>
      </c>
      <c r="H73" s="5" t="s">
        <v>556</v>
      </c>
      <c r="I73" s="5" t="s">
        <v>555</v>
      </c>
      <c r="J73" s="5" t="s">
        <v>562</v>
      </c>
      <c r="K73" s="5"/>
      <c r="L73" s="5" t="s">
        <v>536</v>
      </c>
      <c r="M73" s="5" t="s">
        <v>561</v>
      </c>
      <c r="N73" s="6" t="s">
        <v>513</v>
      </c>
      <c r="O73" s="5"/>
      <c r="P73" s="5" t="s">
        <v>529</v>
      </c>
      <c r="Q73" s="5" t="n">
        <v>4</v>
      </c>
      <c r="R73" s="5" t="n">
        <v>4</v>
      </c>
      <c r="S73" s="5" t="s">
        <v>103</v>
      </c>
      <c r="T73" s="7" t="s">
        <v>197</v>
      </c>
      <c r="U73" s="5" t="n">
        <v>2</v>
      </c>
      <c r="V73" s="6" t="s">
        <v>563</v>
      </c>
      <c r="W73" s="5" t="s">
        <v>531</v>
      </c>
      <c r="X73" s="6" t="s">
        <v>564</v>
      </c>
    </row>
    <row r="74" customFormat="false" ht="46.25" hidden="false" customHeight="false" outlineLevel="0" collapsed="false">
      <c r="A74" s="5" t="s">
        <v>565</v>
      </c>
      <c r="B74" s="5" t="s">
        <v>496</v>
      </c>
      <c r="C74" s="5" t="s">
        <v>497</v>
      </c>
      <c r="D74" s="5" t="s">
        <v>566</v>
      </c>
      <c r="E74" s="5" t="s">
        <v>566</v>
      </c>
      <c r="F74" s="6" t="s">
        <v>499</v>
      </c>
      <c r="G74" s="5" t="s">
        <v>567</v>
      </c>
      <c r="H74" s="5" t="s">
        <v>568</v>
      </c>
      <c r="I74" s="5" t="s">
        <v>567</v>
      </c>
      <c r="J74" s="5" t="s">
        <v>569</v>
      </c>
      <c r="K74" s="5"/>
      <c r="L74" s="5" t="s">
        <v>528</v>
      </c>
      <c r="M74" s="5" t="s">
        <v>566</v>
      </c>
      <c r="N74" s="6" t="s">
        <v>513</v>
      </c>
      <c r="O74" s="5"/>
      <c r="P74" s="5" t="s">
        <v>529</v>
      </c>
      <c r="Q74" s="5" t="n">
        <v>4</v>
      </c>
      <c r="R74" s="5" t="n">
        <v>4</v>
      </c>
      <c r="S74" s="5" t="s">
        <v>103</v>
      </c>
      <c r="T74" s="7" t="s">
        <v>197</v>
      </c>
      <c r="U74" s="5" t="n">
        <v>2</v>
      </c>
      <c r="V74" s="6" t="s">
        <v>570</v>
      </c>
      <c r="W74" s="5" t="s">
        <v>531</v>
      </c>
      <c r="X74" s="6" t="s">
        <v>571</v>
      </c>
    </row>
    <row r="75" customFormat="false" ht="46.25" hidden="false" customHeight="false" outlineLevel="0" collapsed="false">
      <c r="A75" s="5" t="s">
        <v>572</v>
      </c>
      <c r="B75" s="5" t="s">
        <v>496</v>
      </c>
      <c r="C75" s="5" t="s">
        <v>497</v>
      </c>
      <c r="D75" s="5" t="s">
        <v>573</v>
      </c>
      <c r="E75" s="5" t="s">
        <v>573</v>
      </c>
      <c r="F75" s="6" t="s">
        <v>499</v>
      </c>
      <c r="G75" s="5" t="s">
        <v>567</v>
      </c>
      <c r="H75" s="5" t="s">
        <v>568</v>
      </c>
      <c r="I75" s="5" t="s">
        <v>567</v>
      </c>
      <c r="J75" s="5" t="s">
        <v>574</v>
      </c>
      <c r="K75" s="5"/>
      <c r="L75" s="5" t="s">
        <v>528</v>
      </c>
      <c r="M75" s="5" t="s">
        <v>573</v>
      </c>
      <c r="N75" s="6" t="s">
        <v>513</v>
      </c>
      <c r="O75" s="5"/>
      <c r="P75" s="5" t="s">
        <v>529</v>
      </c>
      <c r="Q75" s="5" t="n">
        <v>4</v>
      </c>
      <c r="R75" s="5" t="n">
        <v>4</v>
      </c>
      <c r="S75" s="5" t="s">
        <v>103</v>
      </c>
      <c r="T75" s="7" t="s">
        <v>197</v>
      </c>
      <c r="U75" s="5" t="n">
        <v>2</v>
      </c>
      <c r="V75" s="6" t="s">
        <v>575</v>
      </c>
      <c r="W75" s="5" t="s">
        <v>576</v>
      </c>
      <c r="X75" s="6" t="s">
        <v>577</v>
      </c>
    </row>
    <row r="76" customFormat="false" ht="79.85" hidden="false" customHeight="false" outlineLevel="0" collapsed="false">
      <c r="A76" s="5" t="s">
        <v>578</v>
      </c>
      <c r="B76" s="5" t="s">
        <v>496</v>
      </c>
      <c r="C76" s="5" t="s">
        <v>497</v>
      </c>
      <c r="D76" s="5" t="s">
        <v>579</v>
      </c>
      <c r="E76" s="5" t="s">
        <v>579</v>
      </c>
      <c r="F76" s="6" t="s">
        <v>499</v>
      </c>
      <c r="G76" s="5" t="s">
        <v>580</v>
      </c>
      <c r="H76" s="5" t="s">
        <v>581</v>
      </c>
      <c r="I76" s="5" t="s">
        <v>580</v>
      </c>
      <c r="J76" s="5" t="s">
        <v>582</v>
      </c>
      <c r="K76" s="5" t="s">
        <v>583</v>
      </c>
      <c r="L76" s="5" t="s">
        <v>536</v>
      </c>
      <c r="M76" s="5" t="s">
        <v>579</v>
      </c>
      <c r="N76" s="6" t="s">
        <v>513</v>
      </c>
      <c r="O76" s="5"/>
      <c r="P76" s="5" t="s">
        <v>529</v>
      </c>
      <c r="Q76" s="5" t="n">
        <v>4</v>
      </c>
      <c r="R76" s="5" t="n">
        <v>4</v>
      </c>
      <c r="S76" s="5" t="s">
        <v>103</v>
      </c>
      <c r="T76" s="7" t="s">
        <v>197</v>
      </c>
      <c r="U76" s="5" t="n">
        <v>2</v>
      </c>
      <c r="V76" s="6" t="s">
        <v>584</v>
      </c>
      <c r="W76" s="5" t="s">
        <v>531</v>
      </c>
      <c r="X76" s="6" t="s">
        <v>585</v>
      </c>
    </row>
    <row r="77" customFormat="false" ht="57.45" hidden="false" customHeight="false" outlineLevel="0" collapsed="false">
      <c r="A77" s="5" t="s">
        <v>586</v>
      </c>
      <c r="B77" s="5" t="s">
        <v>496</v>
      </c>
      <c r="C77" s="5" t="s">
        <v>497</v>
      </c>
      <c r="D77" s="5" t="s">
        <v>587</v>
      </c>
      <c r="E77" s="5" t="s">
        <v>587</v>
      </c>
      <c r="F77" s="6" t="s">
        <v>499</v>
      </c>
      <c r="G77" s="5" t="s">
        <v>580</v>
      </c>
      <c r="H77" s="5" t="s">
        <v>581</v>
      </c>
      <c r="I77" s="5" t="s">
        <v>580</v>
      </c>
      <c r="J77" s="5" t="s">
        <v>588</v>
      </c>
      <c r="K77" s="5" t="s">
        <v>589</v>
      </c>
      <c r="L77" s="5" t="s">
        <v>528</v>
      </c>
      <c r="M77" s="5" t="s">
        <v>587</v>
      </c>
      <c r="N77" s="6" t="s">
        <v>513</v>
      </c>
      <c r="O77" s="5"/>
      <c r="P77" s="5" t="s">
        <v>529</v>
      </c>
      <c r="Q77" s="5" t="n">
        <v>4</v>
      </c>
      <c r="R77" s="5" t="n">
        <v>4</v>
      </c>
      <c r="S77" s="5" t="s">
        <v>103</v>
      </c>
      <c r="T77" s="7" t="s">
        <v>197</v>
      </c>
      <c r="U77" s="5" t="n">
        <v>2</v>
      </c>
      <c r="V77" s="6" t="s">
        <v>590</v>
      </c>
      <c r="W77" s="5" t="s">
        <v>531</v>
      </c>
      <c r="X77" s="6" t="s">
        <v>591</v>
      </c>
    </row>
    <row r="78" customFormat="false" ht="68.65" hidden="false" customHeight="false" outlineLevel="0" collapsed="false">
      <c r="A78" s="5" t="s">
        <v>592</v>
      </c>
      <c r="B78" s="5" t="s">
        <v>496</v>
      </c>
      <c r="C78" s="5" t="s">
        <v>497</v>
      </c>
      <c r="D78" s="5" t="s">
        <v>593</v>
      </c>
      <c r="E78" s="5" t="s">
        <v>593</v>
      </c>
      <c r="F78" s="6" t="s">
        <v>499</v>
      </c>
      <c r="G78" s="5" t="s">
        <v>580</v>
      </c>
      <c r="H78" s="5" t="s">
        <v>581</v>
      </c>
      <c r="I78" s="5" t="s">
        <v>580</v>
      </c>
      <c r="J78" s="5" t="s">
        <v>594</v>
      </c>
      <c r="K78" s="5" t="s">
        <v>595</v>
      </c>
      <c r="L78" s="5" t="s">
        <v>528</v>
      </c>
      <c r="M78" s="5" t="s">
        <v>593</v>
      </c>
      <c r="N78" s="6" t="s">
        <v>513</v>
      </c>
      <c r="O78" s="5"/>
      <c r="P78" s="5" t="s">
        <v>529</v>
      </c>
      <c r="Q78" s="5" t="n">
        <v>4</v>
      </c>
      <c r="R78" s="5" t="n">
        <v>4</v>
      </c>
      <c r="S78" s="5" t="s">
        <v>103</v>
      </c>
      <c r="T78" s="7" t="s">
        <v>197</v>
      </c>
      <c r="U78" s="5" t="n">
        <v>2</v>
      </c>
      <c r="V78" s="6" t="s">
        <v>596</v>
      </c>
      <c r="W78" s="5" t="s">
        <v>531</v>
      </c>
      <c r="X78" s="6" t="s">
        <v>597</v>
      </c>
    </row>
    <row r="79" customFormat="false" ht="57.45" hidden="false" customHeight="false" outlineLevel="0" collapsed="false">
      <c r="A79" s="5" t="s">
        <v>598</v>
      </c>
      <c r="B79" s="5" t="s">
        <v>496</v>
      </c>
      <c r="C79" s="5" t="s">
        <v>497</v>
      </c>
      <c r="D79" s="5" t="s">
        <v>599</v>
      </c>
      <c r="E79" s="5" t="s">
        <v>599</v>
      </c>
      <c r="F79" s="6" t="s">
        <v>499</v>
      </c>
      <c r="G79" s="5" t="s">
        <v>600</v>
      </c>
      <c r="H79" s="5" t="s">
        <v>601</v>
      </c>
      <c r="I79" s="5" t="s">
        <v>602</v>
      </c>
      <c r="J79" s="5" t="s">
        <v>603</v>
      </c>
      <c r="K79" s="5"/>
      <c r="L79" s="5" t="s">
        <v>528</v>
      </c>
      <c r="M79" s="5" t="s">
        <v>599</v>
      </c>
      <c r="N79" s="6" t="s">
        <v>513</v>
      </c>
      <c r="O79" s="5"/>
      <c r="P79" s="5" t="s">
        <v>529</v>
      </c>
      <c r="Q79" s="5" t="n">
        <v>4</v>
      </c>
      <c r="R79" s="5" t="n">
        <v>4</v>
      </c>
      <c r="S79" s="5" t="s">
        <v>103</v>
      </c>
      <c r="T79" s="7" t="s">
        <v>197</v>
      </c>
      <c r="U79" s="5" t="n">
        <v>2</v>
      </c>
      <c r="V79" s="6" t="s">
        <v>604</v>
      </c>
      <c r="W79" s="5" t="s">
        <v>538</v>
      </c>
      <c r="X79" s="6" t="s">
        <v>605</v>
      </c>
    </row>
    <row r="80" customFormat="false" ht="57.45" hidden="false" customHeight="false" outlineLevel="0" collapsed="false">
      <c r="A80" s="5" t="s">
        <v>606</v>
      </c>
      <c r="B80" s="5" t="s">
        <v>496</v>
      </c>
      <c r="C80" s="5" t="s">
        <v>497</v>
      </c>
      <c r="D80" s="5" t="s">
        <v>607</v>
      </c>
      <c r="E80" s="5" t="s">
        <v>607</v>
      </c>
      <c r="F80" s="6" t="s">
        <v>499</v>
      </c>
      <c r="G80" s="5" t="s">
        <v>600</v>
      </c>
      <c r="H80" s="5" t="s">
        <v>601</v>
      </c>
      <c r="I80" s="5" t="s">
        <v>602</v>
      </c>
      <c r="J80" s="5" t="s">
        <v>608</v>
      </c>
      <c r="K80" s="5"/>
      <c r="L80" s="5" t="s">
        <v>528</v>
      </c>
      <c r="M80" s="5" t="s">
        <v>607</v>
      </c>
      <c r="N80" s="6" t="s">
        <v>513</v>
      </c>
      <c r="O80" s="5"/>
      <c r="P80" s="5" t="s">
        <v>529</v>
      </c>
      <c r="Q80" s="5" t="n">
        <v>4</v>
      </c>
      <c r="R80" s="5" t="n">
        <v>4</v>
      </c>
      <c r="S80" s="5" t="s">
        <v>103</v>
      </c>
      <c r="T80" s="7" t="s">
        <v>197</v>
      </c>
      <c r="U80" s="5" t="n">
        <v>2</v>
      </c>
      <c r="V80" s="6" t="s">
        <v>609</v>
      </c>
      <c r="W80" s="5" t="s">
        <v>538</v>
      </c>
      <c r="X80" s="6" t="s">
        <v>610</v>
      </c>
    </row>
    <row r="81" customFormat="false" ht="57.45" hidden="false" customHeight="false" outlineLevel="0" collapsed="false">
      <c r="A81" s="5" t="s">
        <v>611</v>
      </c>
      <c r="B81" s="5" t="s">
        <v>496</v>
      </c>
      <c r="C81" s="5" t="s">
        <v>497</v>
      </c>
      <c r="D81" s="5" t="s">
        <v>612</v>
      </c>
      <c r="E81" s="5" t="s">
        <v>612</v>
      </c>
      <c r="F81" s="6" t="s">
        <v>499</v>
      </c>
      <c r="G81" s="5" t="s">
        <v>613</v>
      </c>
      <c r="H81" s="5" t="s">
        <v>614</v>
      </c>
      <c r="I81" s="5" t="s">
        <v>613</v>
      </c>
      <c r="J81" s="5" t="s">
        <v>615</v>
      </c>
      <c r="K81" s="5"/>
      <c r="L81" s="5" t="s">
        <v>528</v>
      </c>
      <c r="M81" s="5" t="s">
        <v>612</v>
      </c>
      <c r="N81" s="6" t="s">
        <v>513</v>
      </c>
      <c r="O81" s="5"/>
      <c r="P81" s="5" t="s">
        <v>529</v>
      </c>
      <c r="Q81" s="5" t="n">
        <v>4</v>
      </c>
      <c r="R81" s="5" t="n">
        <v>4</v>
      </c>
      <c r="S81" s="5" t="s">
        <v>103</v>
      </c>
      <c r="T81" s="7" t="s">
        <v>197</v>
      </c>
      <c r="U81" s="5" t="n">
        <v>2</v>
      </c>
      <c r="V81" s="6" t="s">
        <v>616</v>
      </c>
      <c r="W81" s="5" t="s">
        <v>538</v>
      </c>
      <c r="X81" s="6" t="s">
        <v>617</v>
      </c>
    </row>
    <row r="82" customFormat="false" ht="57.45" hidden="false" customHeight="false" outlineLevel="0" collapsed="false">
      <c r="A82" s="5" t="s">
        <v>618</v>
      </c>
      <c r="B82" s="5" t="s">
        <v>496</v>
      </c>
      <c r="C82" s="5" t="s">
        <v>497</v>
      </c>
      <c r="D82" s="5" t="s">
        <v>619</v>
      </c>
      <c r="E82" s="5" t="s">
        <v>619</v>
      </c>
      <c r="F82" s="6" t="s">
        <v>499</v>
      </c>
      <c r="G82" s="5" t="s">
        <v>620</v>
      </c>
      <c r="H82" s="5" t="s">
        <v>621</v>
      </c>
      <c r="I82" s="5" t="s">
        <v>620</v>
      </c>
      <c r="J82" s="5" t="s">
        <v>622</v>
      </c>
      <c r="K82" s="5"/>
      <c r="L82" s="5" t="s">
        <v>528</v>
      </c>
      <c r="M82" s="5" t="s">
        <v>619</v>
      </c>
      <c r="N82" s="6" t="s">
        <v>513</v>
      </c>
      <c r="O82" s="5"/>
      <c r="P82" s="5" t="s">
        <v>529</v>
      </c>
      <c r="Q82" s="5" t="n">
        <v>4</v>
      </c>
      <c r="R82" s="5" t="n">
        <v>4</v>
      </c>
      <c r="S82" s="5" t="s">
        <v>103</v>
      </c>
      <c r="T82" s="7" t="s">
        <v>197</v>
      </c>
      <c r="U82" s="5" t="n">
        <v>3</v>
      </c>
      <c r="V82" s="6" t="s">
        <v>623</v>
      </c>
      <c r="W82" s="5" t="s">
        <v>538</v>
      </c>
      <c r="X82" s="6" t="s">
        <v>624</v>
      </c>
    </row>
    <row r="83" customFormat="false" ht="46.25" hidden="false" customHeight="false" outlineLevel="0" collapsed="false">
      <c r="A83" s="5" t="s">
        <v>625</v>
      </c>
      <c r="B83" s="5" t="s">
        <v>496</v>
      </c>
      <c r="C83" s="5" t="s">
        <v>497</v>
      </c>
      <c r="D83" s="5" t="s">
        <v>626</v>
      </c>
      <c r="E83" s="5" t="s">
        <v>626</v>
      </c>
      <c r="F83" s="6" t="s">
        <v>499</v>
      </c>
      <c r="G83" s="5" t="s">
        <v>620</v>
      </c>
      <c r="H83" s="5" t="s">
        <v>621</v>
      </c>
      <c r="I83" s="5" t="s">
        <v>627</v>
      </c>
      <c r="J83" s="5" t="s">
        <v>628</v>
      </c>
      <c r="K83" s="5"/>
      <c r="L83" s="5" t="s">
        <v>528</v>
      </c>
      <c r="M83" s="5" t="s">
        <v>626</v>
      </c>
      <c r="N83" s="6" t="s">
        <v>513</v>
      </c>
      <c r="O83" s="5"/>
      <c r="P83" s="5" t="s">
        <v>529</v>
      </c>
      <c r="Q83" s="5" t="n">
        <v>4</v>
      </c>
      <c r="R83" s="5" t="n">
        <v>4</v>
      </c>
      <c r="S83" s="5" t="s">
        <v>103</v>
      </c>
      <c r="T83" s="7" t="s">
        <v>197</v>
      </c>
      <c r="U83" s="5" t="n">
        <v>2</v>
      </c>
      <c r="V83" s="6" t="s">
        <v>629</v>
      </c>
      <c r="W83" s="5" t="s">
        <v>538</v>
      </c>
      <c r="X83" s="6" t="s">
        <v>630</v>
      </c>
    </row>
    <row r="84" customFormat="false" ht="46.25" hidden="false" customHeight="false" outlineLevel="0" collapsed="false">
      <c r="A84" s="5" t="s">
        <v>631</v>
      </c>
      <c r="B84" s="5" t="s">
        <v>496</v>
      </c>
      <c r="C84" s="5" t="s">
        <v>497</v>
      </c>
      <c r="D84" s="5" t="s">
        <v>632</v>
      </c>
      <c r="E84" s="5" t="s">
        <v>632</v>
      </c>
      <c r="F84" s="6" t="s">
        <v>499</v>
      </c>
      <c r="G84" s="5" t="s">
        <v>620</v>
      </c>
      <c r="H84" s="5" t="s">
        <v>621</v>
      </c>
      <c r="I84" s="5" t="s">
        <v>627</v>
      </c>
      <c r="J84" s="5" t="s">
        <v>633</v>
      </c>
      <c r="K84" s="5"/>
      <c r="L84" s="5" t="s">
        <v>528</v>
      </c>
      <c r="M84" s="5" t="s">
        <v>632</v>
      </c>
      <c r="N84" s="6" t="s">
        <v>513</v>
      </c>
      <c r="O84" s="5"/>
      <c r="P84" s="5" t="s">
        <v>529</v>
      </c>
      <c r="Q84" s="5" t="n">
        <v>4</v>
      </c>
      <c r="R84" s="5" t="n">
        <v>4</v>
      </c>
      <c r="S84" s="5" t="s">
        <v>103</v>
      </c>
      <c r="T84" s="7" t="s">
        <v>197</v>
      </c>
      <c r="U84" s="5" t="n">
        <v>2</v>
      </c>
      <c r="V84" s="6" t="s">
        <v>634</v>
      </c>
      <c r="W84" s="5" t="s">
        <v>635</v>
      </c>
      <c r="X84" s="6" t="s">
        <v>636</v>
      </c>
    </row>
    <row r="85" customFormat="false" ht="68.65" hidden="false" customHeight="false" outlineLevel="0" collapsed="false">
      <c r="A85" s="5" t="s">
        <v>637</v>
      </c>
      <c r="B85" s="5" t="s">
        <v>496</v>
      </c>
      <c r="C85" s="5" t="s">
        <v>497</v>
      </c>
      <c r="D85" s="5" t="s">
        <v>638</v>
      </c>
      <c r="E85" s="5" t="s">
        <v>638</v>
      </c>
      <c r="F85" s="6" t="s">
        <v>499</v>
      </c>
      <c r="G85" s="5" t="s">
        <v>620</v>
      </c>
      <c r="H85" s="5" t="s">
        <v>621</v>
      </c>
      <c r="I85" s="5" t="s">
        <v>627</v>
      </c>
      <c r="J85" s="5" t="s">
        <v>639</v>
      </c>
      <c r="K85" s="5"/>
      <c r="L85" s="5" t="s">
        <v>536</v>
      </c>
      <c r="M85" s="5" t="s">
        <v>638</v>
      </c>
      <c r="N85" s="6" t="s">
        <v>513</v>
      </c>
      <c r="O85" s="5"/>
      <c r="P85" s="5" t="s">
        <v>529</v>
      </c>
      <c r="Q85" s="5" t="n">
        <v>4</v>
      </c>
      <c r="R85" s="5" t="n">
        <v>4</v>
      </c>
      <c r="S85" s="5" t="s">
        <v>103</v>
      </c>
      <c r="T85" s="7" t="s">
        <v>197</v>
      </c>
      <c r="U85" s="5" t="n">
        <v>2</v>
      </c>
      <c r="V85" s="6" t="s">
        <v>640</v>
      </c>
      <c r="W85" s="5" t="s">
        <v>641</v>
      </c>
      <c r="X85" s="6" t="s">
        <v>642</v>
      </c>
    </row>
    <row r="86" customFormat="false" ht="57.45" hidden="false" customHeight="false" outlineLevel="0" collapsed="false">
      <c r="A86" s="5" t="s">
        <v>643</v>
      </c>
      <c r="B86" s="5" t="s">
        <v>496</v>
      </c>
      <c r="C86" s="5" t="s">
        <v>497</v>
      </c>
      <c r="D86" s="5" t="s">
        <v>644</v>
      </c>
      <c r="E86" s="5" t="s">
        <v>644</v>
      </c>
      <c r="F86" s="6" t="s">
        <v>499</v>
      </c>
      <c r="G86" s="5" t="s">
        <v>645</v>
      </c>
      <c r="H86" s="5" t="s">
        <v>646</v>
      </c>
      <c r="I86" s="5" t="s">
        <v>645</v>
      </c>
      <c r="J86" s="5" t="s">
        <v>647</v>
      </c>
      <c r="K86" s="5"/>
      <c r="L86" s="5" t="s">
        <v>528</v>
      </c>
      <c r="M86" s="5" t="s">
        <v>644</v>
      </c>
      <c r="N86" s="6" t="s">
        <v>513</v>
      </c>
      <c r="O86" s="5"/>
      <c r="P86" s="5" t="s">
        <v>529</v>
      </c>
      <c r="Q86" s="5" t="n">
        <v>4</v>
      </c>
      <c r="R86" s="5" t="n">
        <v>4</v>
      </c>
      <c r="S86" s="5" t="s">
        <v>103</v>
      </c>
      <c r="T86" s="7" t="s">
        <v>197</v>
      </c>
      <c r="U86" s="5" t="n">
        <v>2</v>
      </c>
      <c r="V86" s="6" t="s">
        <v>648</v>
      </c>
      <c r="W86" s="5" t="s">
        <v>531</v>
      </c>
      <c r="X86" s="6" t="s">
        <v>649</v>
      </c>
    </row>
    <row r="87" customFormat="false" ht="46.25" hidden="false" customHeight="false" outlineLevel="0" collapsed="false">
      <c r="A87" s="5" t="s">
        <v>650</v>
      </c>
      <c r="B87" s="5" t="s">
        <v>496</v>
      </c>
      <c r="C87" s="5" t="s">
        <v>497</v>
      </c>
      <c r="D87" s="5" t="s">
        <v>651</v>
      </c>
      <c r="E87" s="5" t="s">
        <v>651</v>
      </c>
      <c r="F87" s="6" t="s">
        <v>499</v>
      </c>
      <c r="G87" s="5" t="s">
        <v>652</v>
      </c>
      <c r="H87" s="5" t="s">
        <v>653</v>
      </c>
      <c r="I87" s="5" t="s">
        <v>654</v>
      </c>
      <c r="J87" s="5" t="s">
        <v>655</v>
      </c>
      <c r="K87" s="5" t="s">
        <v>656</v>
      </c>
      <c r="L87" s="5" t="s">
        <v>536</v>
      </c>
      <c r="M87" s="5" t="s">
        <v>651</v>
      </c>
      <c r="N87" s="6" t="s">
        <v>513</v>
      </c>
      <c r="O87" s="5"/>
      <c r="P87" s="5" t="s">
        <v>529</v>
      </c>
      <c r="Q87" s="5" t="n">
        <v>4</v>
      </c>
      <c r="R87" s="5" t="n">
        <v>4</v>
      </c>
      <c r="S87" s="5" t="s">
        <v>103</v>
      </c>
      <c r="T87" s="7" t="s">
        <v>197</v>
      </c>
      <c r="U87" s="5" t="n">
        <v>4</v>
      </c>
      <c r="V87" s="6" t="s">
        <v>657</v>
      </c>
      <c r="W87" s="5" t="s">
        <v>538</v>
      </c>
      <c r="X87" s="6" t="s">
        <v>658</v>
      </c>
    </row>
    <row r="88" customFormat="false" ht="35.05" hidden="false" customHeight="false" outlineLevel="0" collapsed="false">
      <c r="A88" s="5" t="s">
        <v>659</v>
      </c>
      <c r="B88" s="5" t="s">
        <v>496</v>
      </c>
      <c r="C88" s="5" t="s">
        <v>497</v>
      </c>
      <c r="D88" s="5" t="s">
        <v>660</v>
      </c>
      <c r="E88" s="5" t="s">
        <v>660</v>
      </c>
      <c r="F88" s="6" t="s">
        <v>499</v>
      </c>
      <c r="G88" s="5" t="s">
        <v>652</v>
      </c>
      <c r="H88" s="5" t="s">
        <v>653</v>
      </c>
      <c r="I88" s="5" t="s">
        <v>654</v>
      </c>
      <c r="J88" s="5" t="s">
        <v>661</v>
      </c>
      <c r="K88" s="5" t="s">
        <v>662</v>
      </c>
      <c r="L88" s="5" t="s">
        <v>528</v>
      </c>
      <c r="M88" s="5" t="s">
        <v>660</v>
      </c>
      <c r="N88" s="6" t="s">
        <v>513</v>
      </c>
      <c r="O88" s="5"/>
      <c r="P88" s="5" t="s">
        <v>529</v>
      </c>
      <c r="Q88" s="5" t="n">
        <v>4</v>
      </c>
      <c r="R88" s="5" t="n">
        <v>4</v>
      </c>
      <c r="S88" s="5" t="s">
        <v>103</v>
      </c>
      <c r="T88" s="7" t="s">
        <v>197</v>
      </c>
      <c r="U88" s="5" t="n">
        <v>2</v>
      </c>
      <c r="V88" s="6" t="s">
        <v>663</v>
      </c>
      <c r="W88" s="5" t="s">
        <v>531</v>
      </c>
      <c r="X88" s="6" t="s">
        <v>664</v>
      </c>
    </row>
    <row r="89" customFormat="false" ht="68.65" hidden="false" customHeight="false" outlineLevel="0" collapsed="false">
      <c r="A89" s="5" t="s">
        <v>665</v>
      </c>
      <c r="B89" s="5" t="s">
        <v>496</v>
      </c>
      <c r="C89" s="5" t="s">
        <v>497</v>
      </c>
      <c r="D89" s="5" t="s">
        <v>666</v>
      </c>
      <c r="E89" s="5" t="s">
        <v>666</v>
      </c>
      <c r="F89" s="6" t="s">
        <v>499</v>
      </c>
      <c r="G89" s="5" t="s">
        <v>667</v>
      </c>
      <c r="H89" s="5" t="s">
        <v>668</v>
      </c>
      <c r="I89" s="5" t="s">
        <v>667</v>
      </c>
      <c r="J89" s="5" t="s">
        <v>669</v>
      </c>
      <c r="K89" s="5"/>
      <c r="L89" s="5" t="s">
        <v>670</v>
      </c>
      <c r="M89" s="5" t="s">
        <v>666</v>
      </c>
      <c r="N89" s="6" t="s">
        <v>513</v>
      </c>
      <c r="O89" s="5"/>
      <c r="P89" s="5" t="s">
        <v>529</v>
      </c>
      <c r="Q89" s="5" t="n">
        <v>2</v>
      </c>
      <c r="R89" s="5" t="n">
        <v>2</v>
      </c>
      <c r="S89" s="5" t="s">
        <v>103</v>
      </c>
      <c r="T89" s="7" t="s">
        <v>197</v>
      </c>
      <c r="U89" s="5" t="n">
        <v>2</v>
      </c>
      <c r="V89" s="6" t="s">
        <v>492</v>
      </c>
      <c r="W89" s="5" t="s">
        <v>671</v>
      </c>
      <c r="X89" s="6" t="s">
        <v>672</v>
      </c>
    </row>
    <row r="90" customFormat="false" ht="79.85" hidden="false" customHeight="false" outlineLevel="0" collapsed="false">
      <c r="A90" s="5" t="s">
        <v>673</v>
      </c>
      <c r="B90" s="5" t="s">
        <v>496</v>
      </c>
      <c r="C90" s="5" t="s">
        <v>497</v>
      </c>
      <c r="D90" s="5" t="s">
        <v>674</v>
      </c>
      <c r="E90" s="5" t="s">
        <v>674</v>
      </c>
      <c r="F90" s="6" t="s">
        <v>499</v>
      </c>
      <c r="G90" s="5" t="s">
        <v>675</v>
      </c>
      <c r="H90" s="5" t="s">
        <v>676</v>
      </c>
      <c r="I90" s="5" t="s">
        <v>675</v>
      </c>
      <c r="J90" s="5" t="s">
        <v>677</v>
      </c>
      <c r="K90" s="5"/>
      <c r="L90" s="5" t="s">
        <v>678</v>
      </c>
      <c r="M90" s="5" t="s">
        <v>674</v>
      </c>
      <c r="N90" s="6" t="s">
        <v>513</v>
      </c>
      <c r="O90" s="5"/>
      <c r="P90" s="5" t="s">
        <v>529</v>
      </c>
      <c r="Q90" s="5" t="n">
        <v>4</v>
      </c>
      <c r="R90" s="5" t="n">
        <v>4</v>
      </c>
      <c r="S90" s="5" t="s">
        <v>103</v>
      </c>
      <c r="T90" s="7" t="s">
        <v>197</v>
      </c>
      <c r="U90" s="5" t="n">
        <v>4</v>
      </c>
      <c r="V90" s="6" t="s">
        <v>679</v>
      </c>
      <c r="W90" s="5" t="s">
        <v>538</v>
      </c>
      <c r="X90" s="6" t="s">
        <v>680</v>
      </c>
    </row>
    <row r="91" customFormat="false" ht="46.25" hidden="false" customHeight="false" outlineLevel="0" collapsed="false">
      <c r="A91" s="5" t="s">
        <v>681</v>
      </c>
      <c r="B91" s="5" t="s">
        <v>496</v>
      </c>
      <c r="C91" s="5" t="s">
        <v>497</v>
      </c>
      <c r="D91" s="5" t="s">
        <v>682</v>
      </c>
      <c r="E91" s="5" t="s">
        <v>682</v>
      </c>
      <c r="F91" s="6" t="s">
        <v>499</v>
      </c>
      <c r="G91" s="5" t="s">
        <v>675</v>
      </c>
      <c r="H91" s="5" t="s">
        <v>676</v>
      </c>
      <c r="I91" s="5" t="s">
        <v>675</v>
      </c>
      <c r="J91" s="5" t="s">
        <v>683</v>
      </c>
      <c r="K91" s="5"/>
      <c r="L91" s="5" t="s">
        <v>678</v>
      </c>
      <c r="M91" s="5" t="s">
        <v>682</v>
      </c>
      <c r="N91" s="6" t="s">
        <v>513</v>
      </c>
      <c r="O91" s="5"/>
      <c r="P91" s="5" t="s">
        <v>529</v>
      </c>
      <c r="Q91" s="5" t="n">
        <v>4</v>
      </c>
      <c r="R91" s="5" t="n">
        <v>4</v>
      </c>
      <c r="S91" s="5" t="s">
        <v>103</v>
      </c>
      <c r="T91" s="7" t="s">
        <v>197</v>
      </c>
      <c r="U91" s="5" t="n">
        <v>2</v>
      </c>
      <c r="V91" s="6" t="s">
        <v>684</v>
      </c>
      <c r="W91" s="5" t="s">
        <v>531</v>
      </c>
      <c r="X91" s="6" t="s">
        <v>685</v>
      </c>
    </row>
    <row r="92" customFormat="false" ht="102.2" hidden="false" customHeight="false" outlineLevel="0" collapsed="false">
      <c r="A92" s="5" t="s">
        <v>686</v>
      </c>
      <c r="B92" s="5" t="s">
        <v>496</v>
      </c>
      <c r="C92" s="5" t="s">
        <v>497</v>
      </c>
      <c r="D92" s="5" t="s">
        <v>687</v>
      </c>
      <c r="E92" s="5" t="s">
        <v>687</v>
      </c>
      <c r="F92" s="6" t="s">
        <v>499</v>
      </c>
      <c r="G92" s="5" t="s">
        <v>675</v>
      </c>
      <c r="H92" s="5" t="s">
        <v>676</v>
      </c>
      <c r="I92" s="5" t="s">
        <v>675</v>
      </c>
      <c r="J92" s="5" t="s">
        <v>688</v>
      </c>
      <c r="K92" s="5"/>
      <c r="L92" s="5" t="s">
        <v>678</v>
      </c>
      <c r="M92" s="5" t="s">
        <v>687</v>
      </c>
      <c r="N92" s="6" t="s">
        <v>513</v>
      </c>
      <c r="O92" s="5"/>
      <c r="P92" s="5" t="s">
        <v>529</v>
      </c>
      <c r="Q92" s="5" t="n">
        <v>4</v>
      </c>
      <c r="R92" s="5" t="n">
        <v>4</v>
      </c>
      <c r="S92" s="5" t="s">
        <v>103</v>
      </c>
      <c r="T92" s="7" t="s">
        <v>197</v>
      </c>
      <c r="U92" s="5" t="n">
        <v>4</v>
      </c>
      <c r="V92" s="6" t="s">
        <v>689</v>
      </c>
      <c r="W92" s="5" t="s">
        <v>538</v>
      </c>
      <c r="X92" s="6" t="s">
        <v>690</v>
      </c>
    </row>
    <row r="93" customFormat="false" ht="91" hidden="false" customHeight="false" outlineLevel="0" collapsed="false">
      <c r="A93" s="5" t="s">
        <v>691</v>
      </c>
      <c r="B93" s="5" t="s">
        <v>496</v>
      </c>
      <c r="C93" s="5" t="s">
        <v>497</v>
      </c>
      <c r="D93" s="5" t="s">
        <v>692</v>
      </c>
      <c r="E93" s="5" t="s">
        <v>692</v>
      </c>
      <c r="F93" s="6" t="s">
        <v>499</v>
      </c>
      <c r="G93" s="5" t="s">
        <v>675</v>
      </c>
      <c r="H93" s="5" t="s">
        <v>676</v>
      </c>
      <c r="I93" s="5" t="s">
        <v>675</v>
      </c>
      <c r="J93" s="5" t="s">
        <v>693</v>
      </c>
      <c r="K93" s="5"/>
      <c r="L93" s="5" t="s">
        <v>678</v>
      </c>
      <c r="M93" s="5" t="s">
        <v>692</v>
      </c>
      <c r="N93" s="6" t="s">
        <v>513</v>
      </c>
      <c r="O93" s="5"/>
      <c r="P93" s="5" t="s">
        <v>529</v>
      </c>
      <c r="Q93" s="5" t="n">
        <v>4</v>
      </c>
      <c r="R93" s="5" t="n">
        <v>4</v>
      </c>
      <c r="S93" s="5" t="s">
        <v>103</v>
      </c>
      <c r="T93" s="7" t="s">
        <v>197</v>
      </c>
      <c r="U93" s="5" t="n">
        <v>2</v>
      </c>
      <c r="V93" s="6" t="s">
        <v>694</v>
      </c>
      <c r="W93" s="5" t="s">
        <v>695</v>
      </c>
      <c r="X93" s="6" t="s">
        <v>696</v>
      </c>
    </row>
    <row r="94" customFormat="false" ht="79.85" hidden="false" customHeight="false" outlineLevel="0" collapsed="false">
      <c r="A94" s="5" t="s">
        <v>697</v>
      </c>
      <c r="B94" s="5" t="s">
        <v>496</v>
      </c>
      <c r="C94" s="5" t="s">
        <v>497</v>
      </c>
      <c r="D94" s="5" t="s">
        <v>698</v>
      </c>
      <c r="E94" s="5" t="s">
        <v>698</v>
      </c>
      <c r="F94" s="6" t="s">
        <v>499</v>
      </c>
      <c r="G94" s="5" t="s">
        <v>699</v>
      </c>
      <c r="H94" s="5" t="s">
        <v>667</v>
      </c>
      <c r="I94" s="5" t="s">
        <v>699</v>
      </c>
      <c r="J94" s="5" t="s">
        <v>700</v>
      </c>
      <c r="K94" s="5"/>
      <c r="L94" s="5" t="s">
        <v>678</v>
      </c>
      <c r="M94" s="5" t="s">
        <v>698</v>
      </c>
      <c r="N94" s="6" t="s">
        <v>513</v>
      </c>
      <c r="O94" s="5"/>
      <c r="P94" s="5" t="s">
        <v>529</v>
      </c>
      <c r="Q94" s="5" t="n">
        <v>4</v>
      </c>
      <c r="R94" s="5" t="n">
        <v>4</v>
      </c>
      <c r="S94" s="5" t="s">
        <v>103</v>
      </c>
      <c r="T94" s="7" t="s">
        <v>197</v>
      </c>
      <c r="U94" s="5" t="n">
        <v>2</v>
      </c>
      <c r="V94" s="6" t="s">
        <v>701</v>
      </c>
      <c r="W94" s="5" t="s">
        <v>538</v>
      </c>
      <c r="X94" s="6" t="s">
        <v>702</v>
      </c>
    </row>
    <row r="95" customFormat="false" ht="91" hidden="false" customHeight="false" outlineLevel="0" collapsed="false">
      <c r="A95" s="5" t="s">
        <v>703</v>
      </c>
      <c r="B95" s="5" t="s">
        <v>496</v>
      </c>
      <c r="C95" s="5" t="s">
        <v>497</v>
      </c>
      <c r="D95" s="5" t="s">
        <v>704</v>
      </c>
      <c r="E95" s="5" t="s">
        <v>704</v>
      </c>
      <c r="F95" s="6" t="s">
        <v>499</v>
      </c>
      <c r="G95" s="5" t="s">
        <v>699</v>
      </c>
      <c r="H95" s="5" t="s">
        <v>667</v>
      </c>
      <c r="I95" s="5" t="s">
        <v>699</v>
      </c>
      <c r="J95" s="5" t="s">
        <v>705</v>
      </c>
      <c r="K95" s="5"/>
      <c r="L95" s="5" t="s">
        <v>678</v>
      </c>
      <c r="M95" s="5" t="s">
        <v>704</v>
      </c>
      <c r="N95" s="6" t="s">
        <v>513</v>
      </c>
      <c r="O95" s="5"/>
      <c r="P95" s="5" t="s">
        <v>529</v>
      </c>
      <c r="Q95" s="5" t="n">
        <v>4</v>
      </c>
      <c r="R95" s="5" t="n">
        <v>4</v>
      </c>
      <c r="S95" s="5" t="s">
        <v>103</v>
      </c>
      <c r="T95" s="7" t="s">
        <v>197</v>
      </c>
      <c r="U95" s="5" t="n">
        <v>2</v>
      </c>
      <c r="V95" s="6" t="s">
        <v>706</v>
      </c>
      <c r="W95" s="5" t="s">
        <v>531</v>
      </c>
      <c r="X95" s="6" t="s">
        <v>707</v>
      </c>
    </row>
    <row r="96" customFormat="false" ht="57.45" hidden="false" customHeight="false" outlineLevel="0" collapsed="false">
      <c r="A96" s="5" t="s">
        <v>708</v>
      </c>
      <c r="B96" s="5" t="s">
        <v>496</v>
      </c>
      <c r="C96" s="5" t="s">
        <v>497</v>
      </c>
      <c r="D96" s="5" t="s">
        <v>709</v>
      </c>
      <c r="E96" s="5" t="s">
        <v>709</v>
      </c>
      <c r="F96" s="6" t="s">
        <v>499</v>
      </c>
      <c r="G96" s="5" t="s">
        <v>699</v>
      </c>
      <c r="H96" s="5" t="s">
        <v>667</v>
      </c>
      <c r="I96" s="5" t="s">
        <v>699</v>
      </c>
      <c r="J96" s="5" t="s">
        <v>710</v>
      </c>
      <c r="K96" s="5"/>
      <c r="L96" s="5" t="s">
        <v>678</v>
      </c>
      <c r="M96" s="5" t="s">
        <v>709</v>
      </c>
      <c r="N96" s="6" t="s">
        <v>513</v>
      </c>
      <c r="O96" s="5"/>
      <c r="P96" s="5" t="s">
        <v>529</v>
      </c>
      <c r="Q96" s="5" t="n">
        <v>4</v>
      </c>
      <c r="R96" s="5" t="n">
        <v>4</v>
      </c>
      <c r="S96" s="5" t="s">
        <v>103</v>
      </c>
      <c r="T96" s="7" t="s">
        <v>197</v>
      </c>
      <c r="U96" s="5" t="n">
        <v>2</v>
      </c>
      <c r="V96" s="6" t="s">
        <v>711</v>
      </c>
      <c r="W96" s="5" t="s">
        <v>538</v>
      </c>
      <c r="X96" s="6" t="s">
        <v>712</v>
      </c>
    </row>
    <row r="97" customFormat="false" ht="91" hidden="false" customHeight="false" outlineLevel="0" collapsed="false">
      <c r="A97" s="5" t="s">
        <v>713</v>
      </c>
      <c r="B97" s="5" t="s">
        <v>496</v>
      </c>
      <c r="C97" s="5" t="s">
        <v>497</v>
      </c>
      <c r="D97" s="5" t="s">
        <v>714</v>
      </c>
      <c r="E97" s="5" t="s">
        <v>714</v>
      </c>
      <c r="F97" s="6" t="s">
        <v>499</v>
      </c>
      <c r="G97" s="5" t="s">
        <v>699</v>
      </c>
      <c r="H97" s="5" t="s">
        <v>667</v>
      </c>
      <c r="I97" s="5" t="s">
        <v>699</v>
      </c>
      <c r="J97" s="5" t="s">
        <v>715</v>
      </c>
      <c r="K97" s="5"/>
      <c r="L97" s="5" t="s">
        <v>716</v>
      </c>
      <c r="M97" s="5" t="s">
        <v>714</v>
      </c>
      <c r="N97" s="6" t="s">
        <v>513</v>
      </c>
      <c r="O97" s="5"/>
      <c r="P97" s="5" t="s">
        <v>529</v>
      </c>
      <c r="Q97" s="5" t="n">
        <v>4</v>
      </c>
      <c r="R97" s="5" t="n">
        <v>4</v>
      </c>
      <c r="S97" s="5" t="s">
        <v>103</v>
      </c>
      <c r="T97" s="7" t="s">
        <v>197</v>
      </c>
      <c r="U97" s="5" t="n">
        <v>2</v>
      </c>
      <c r="V97" s="6" t="s">
        <v>717</v>
      </c>
      <c r="W97" s="5" t="s">
        <v>531</v>
      </c>
      <c r="X97" s="6" t="s">
        <v>718</v>
      </c>
    </row>
    <row r="98" customFormat="false" ht="79.85" hidden="false" customHeight="false" outlineLevel="0" collapsed="false">
      <c r="A98" s="5" t="s">
        <v>719</v>
      </c>
      <c r="B98" s="5" t="s">
        <v>496</v>
      </c>
      <c r="C98" s="5" t="s">
        <v>497</v>
      </c>
      <c r="D98" s="5" t="s">
        <v>720</v>
      </c>
      <c r="E98" s="5" t="s">
        <v>720</v>
      </c>
      <c r="F98" s="6" t="s">
        <v>499</v>
      </c>
      <c r="G98" s="5" t="s">
        <v>721</v>
      </c>
      <c r="H98" s="5" t="s">
        <v>722</v>
      </c>
      <c r="I98" s="5" t="s">
        <v>721</v>
      </c>
      <c r="J98" s="5" t="s">
        <v>723</v>
      </c>
      <c r="K98" s="5"/>
      <c r="L98" s="5" t="s">
        <v>528</v>
      </c>
      <c r="M98" s="5" t="s">
        <v>720</v>
      </c>
      <c r="N98" s="6" t="s">
        <v>513</v>
      </c>
      <c r="O98" s="5"/>
      <c r="P98" s="5" t="s">
        <v>529</v>
      </c>
      <c r="Q98" s="5" t="n">
        <v>4</v>
      </c>
      <c r="R98" s="5" t="n">
        <v>4</v>
      </c>
      <c r="S98" s="5" t="s">
        <v>103</v>
      </c>
      <c r="T98" s="7" t="s">
        <v>197</v>
      </c>
      <c r="U98" s="5" t="n">
        <v>2</v>
      </c>
      <c r="V98" s="6" t="s">
        <v>724</v>
      </c>
      <c r="W98" s="5" t="s">
        <v>531</v>
      </c>
      <c r="X98" s="6" t="s">
        <v>725</v>
      </c>
    </row>
    <row r="99" customFormat="false" ht="79.85" hidden="false" customHeight="false" outlineLevel="0" collapsed="false">
      <c r="A99" s="5" t="s">
        <v>726</v>
      </c>
      <c r="B99" s="5" t="s">
        <v>496</v>
      </c>
      <c r="C99" s="5" t="s">
        <v>497</v>
      </c>
      <c r="D99" s="5" t="s">
        <v>727</v>
      </c>
      <c r="E99" s="5" t="s">
        <v>727</v>
      </c>
      <c r="F99" s="6" t="s">
        <v>499</v>
      </c>
      <c r="G99" s="5" t="s">
        <v>721</v>
      </c>
      <c r="H99" s="5" t="s">
        <v>722</v>
      </c>
      <c r="I99" s="5" t="s">
        <v>721</v>
      </c>
      <c r="J99" s="5" t="s">
        <v>728</v>
      </c>
      <c r="K99" s="5"/>
      <c r="L99" s="5" t="s">
        <v>528</v>
      </c>
      <c r="M99" s="5" t="s">
        <v>727</v>
      </c>
      <c r="N99" s="6" t="s">
        <v>513</v>
      </c>
      <c r="O99" s="5"/>
      <c r="P99" s="5" t="s">
        <v>529</v>
      </c>
      <c r="Q99" s="5" t="n">
        <v>4</v>
      </c>
      <c r="R99" s="5" t="n">
        <v>4</v>
      </c>
      <c r="S99" s="5" t="s">
        <v>103</v>
      </c>
      <c r="T99" s="7" t="s">
        <v>197</v>
      </c>
      <c r="U99" s="5" t="n">
        <v>2</v>
      </c>
      <c r="V99" s="6" t="s">
        <v>729</v>
      </c>
      <c r="W99" s="5" t="s">
        <v>531</v>
      </c>
      <c r="X99" s="6" t="s">
        <v>730</v>
      </c>
    </row>
    <row r="100" customFormat="false" ht="68.65" hidden="false" customHeight="false" outlineLevel="0" collapsed="false">
      <c r="A100" s="5" t="s">
        <v>731</v>
      </c>
      <c r="B100" s="5" t="s">
        <v>496</v>
      </c>
      <c r="C100" s="5" t="s">
        <v>497</v>
      </c>
      <c r="D100" s="5" t="s">
        <v>732</v>
      </c>
      <c r="E100" s="5" t="s">
        <v>732</v>
      </c>
      <c r="F100" s="6" t="s">
        <v>499</v>
      </c>
      <c r="G100" s="5" t="s">
        <v>721</v>
      </c>
      <c r="H100" s="5" t="s">
        <v>722</v>
      </c>
      <c r="I100" s="5" t="s">
        <v>721</v>
      </c>
      <c r="J100" s="5" t="s">
        <v>733</v>
      </c>
      <c r="K100" s="5"/>
      <c r="L100" s="5" t="s">
        <v>536</v>
      </c>
      <c r="M100" s="5" t="s">
        <v>732</v>
      </c>
      <c r="N100" s="6" t="s">
        <v>513</v>
      </c>
      <c r="O100" s="5"/>
      <c r="P100" s="5" t="s">
        <v>529</v>
      </c>
      <c r="Q100" s="5" t="n">
        <v>4</v>
      </c>
      <c r="R100" s="5" t="n">
        <v>4</v>
      </c>
      <c r="S100" s="5" t="s">
        <v>103</v>
      </c>
      <c r="T100" s="7" t="s">
        <v>197</v>
      </c>
      <c r="U100" s="5" t="n">
        <v>2</v>
      </c>
      <c r="V100" s="6" t="s">
        <v>734</v>
      </c>
      <c r="W100" s="5" t="s">
        <v>531</v>
      </c>
      <c r="X100" s="6" t="s">
        <v>735</v>
      </c>
    </row>
    <row r="101" customFormat="false" ht="57.45" hidden="false" customHeight="false" outlineLevel="0" collapsed="false">
      <c r="A101" s="5" t="s">
        <v>736</v>
      </c>
      <c r="B101" s="5" t="s">
        <v>496</v>
      </c>
      <c r="C101" s="5" t="s">
        <v>497</v>
      </c>
      <c r="D101" s="5" t="s">
        <v>737</v>
      </c>
      <c r="E101" s="5" t="s">
        <v>737</v>
      </c>
      <c r="F101" s="6" t="s">
        <v>499</v>
      </c>
      <c r="G101" s="5" t="s">
        <v>738</v>
      </c>
      <c r="H101" s="5" t="s">
        <v>739</v>
      </c>
      <c r="I101" s="5" t="s">
        <v>738</v>
      </c>
      <c r="J101" s="5" t="s">
        <v>740</v>
      </c>
      <c r="K101" s="5"/>
      <c r="L101" s="5" t="s">
        <v>512</v>
      </c>
      <c r="M101" s="5" t="s">
        <v>737</v>
      </c>
      <c r="N101" s="6" t="s">
        <v>513</v>
      </c>
      <c r="O101" s="5"/>
      <c r="P101" s="5" t="s">
        <v>529</v>
      </c>
      <c r="Q101" s="5" t="n">
        <v>4</v>
      </c>
      <c r="R101" s="5" t="n">
        <v>4</v>
      </c>
      <c r="S101" s="5" t="s">
        <v>103</v>
      </c>
      <c r="T101" s="7" t="s">
        <v>197</v>
      </c>
      <c r="U101" s="5" t="n">
        <v>2</v>
      </c>
      <c r="V101" s="6" t="s">
        <v>741</v>
      </c>
      <c r="W101" s="5" t="s">
        <v>538</v>
      </c>
      <c r="X101" s="6" t="s">
        <v>742</v>
      </c>
    </row>
    <row r="102" customFormat="false" ht="91" hidden="false" customHeight="false" outlineLevel="0" collapsed="false">
      <c r="A102" s="5" t="s">
        <v>743</v>
      </c>
      <c r="B102" s="5" t="s">
        <v>496</v>
      </c>
      <c r="C102" s="5" t="s">
        <v>497</v>
      </c>
      <c r="D102" s="5" t="s">
        <v>744</v>
      </c>
      <c r="E102" s="5" t="s">
        <v>744</v>
      </c>
      <c r="F102" s="6" t="s">
        <v>499</v>
      </c>
      <c r="G102" s="5" t="s">
        <v>738</v>
      </c>
      <c r="H102" s="5" t="s">
        <v>739</v>
      </c>
      <c r="I102" s="5" t="s">
        <v>738</v>
      </c>
      <c r="J102" s="5" t="s">
        <v>745</v>
      </c>
      <c r="K102" s="5"/>
      <c r="L102" s="5" t="s">
        <v>512</v>
      </c>
      <c r="M102" s="5" t="s">
        <v>744</v>
      </c>
      <c r="N102" s="6" t="s">
        <v>513</v>
      </c>
      <c r="O102" s="5"/>
      <c r="P102" s="5" t="s">
        <v>529</v>
      </c>
      <c r="Q102" s="5" t="n">
        <v>4</v>
      </c>
      <c r="R102" s="5" t="n">
        <v>4</v>
      </c>
      <c r="S102" s="5" t="s">
        <v>103</v>
      </c>
      <c r="T102" s="7" t="s">
        <v>197</v>
      </c>
      <c r="U102" s="5" t="n">
        <v>2</v>
      </c>
      <c r="V102" s="6" t="s">
        <v>746</v>
      </c>
      <c r="W102" s="5" t="s">
        <v>538</v>
      </c>
      <c r="X102" s="6" t="s">
        <v>747</v>
      </c>
    </row>
    <row r="103" customFormat="false" ht="57.45" hidden="false" customHeight="false" outlineLevel="0" collapsed="false">
      <c r="A103" s="5" t="s">
        <v>748</v>
      </c>
      <c r="B103" s="5" t="s">
        <v>496</v>
      </c>
      <c r="C103" s="5" t="s">
        <v>497</v>
      </c>
      <c r="D103" s="5" t="s">
        <v>749</v>
      </c>
      <c r="E103" s="5" t="s">
        <v>749</v>
      </c>
      <c r="F103" s="6" t="s">
        <v>499</v>
      </c>
      <c r="G103" s="5" t="s">
        <v>738</v>
      </c>
      <c r="H103" s="5" t="s">
        <v>739</v>
      </c>
      <c r="I103" s="5" t="s">
        <v>738</v>
      </c>
      <c r="J103" s="5" t="s">
        <v>750</v>
      </c>
      <c r="K103" s="5"/>
      <c r="L103" s="5" t="s">
        <v>512</v>
      </c>
      <c r="M103" s="5" t="s">
        <v>749</v>
      </c>
      <c r="N103" s="6" t="s">
        <v>513</v>
      </c>
      <c r="O103" s="5"/>
      <c r="P103" s="5" t="s">
        <v>529</v>
      </c>
      <c r="Q103" s="5" t="n">
        <v>4</v>
      </c>
      <c r="R103" s="5" t="n">
        <v>4</v>
      </c>
      <c r="S103" s="5" t="s">
        <v>103</v>
      </c>
      <c r="T103" s="7" t="s">
        <v>197</v>
      </c>
      <c r="U103" s="5" t="n">
        <v>2</v>
      </c>
      <c r="V103" s="6" t="s">
        <v>751</v>
      </c>
      <c r="W103" s="5" t="s">
        <v>538</v>
      </c>
      <c r="X103" s="6" t="s">
        <v>752</v>
      </c>
    </row>
    <row r="104" customFormat="false" ht="57.45" hidden="false" customHeight="false" outlineLevel="0" collapsed="false">
      <c r="A104" s="5" t="s">
        <v>753</v>
      </c>
      <c r="B104" s="5" t="s">
        <v>496</v>
      </c>
      <c r="C104" s="5" t="s">
        <v>497</v>
      </c>
      <c r="D104" s="5" t="s">
        <v>754</v>
      </c>
      <c r="E104" s="5" t="s">
        <v>754</v>
      </c>
      <c r="F104" s="6" t="s">
        <v>499</v>
      </c>
      <c r="G104" s="5" t="s">
        <v>738</v>
      </c>
      <c r="H104" s="5" t="s">
        <v>739</v>
      </c>
      <c r="I104" s="5" t="s">
        <v>738</v>
      </c>
      <c r="J104" s="5" t="s">
        <v>755</v>
      </c>
      <c r="K104" s="5"/>
      <c r="L104" s="5" t="s">
        <v>502</v>
      </c>
      <c r="M104" s="5" t="s">
        <v>754</v>
      </c>
      <c r="N104" s="6" t="s">
        <v>513</v>
      </c>
      <c r="O104" s="5"/>
      <c r="P104" s="5" t="s">
        <v>529</v>
      </c>
      <c r="Q104" s="5" t="n">
        <v>4</v>
      </c>
      <c r="R104" s="5" t="n">
        <v>4</v>
      </c>
      <c r="S104" s="5" t="s">
        <v>103</v>
      </c>
      <c r="T104" s="7" t="s">
        <v>197</v>
      </c>
      <c r="U104" s="5" t="n">
        <v>2</v>
      </c>
      <c r="V104" s="6" t="s">
        <v>756</v>
      </c>
      <c r="W104" s="5" t="s">
        <v>538</v>
      </c>
      <c r="X104" s="6" t="s">
        <v>757</v>
      </c>
    </row>
    <row r="105" customFormat="false" ht="68.65" hidden="false" customHeight="false" outlineLevel="0" collapsed="false">
      <c r="A105" s="5" t="s">
        <v>758</v>
      </c>
      <c r="B105" s="5" t="s">
        <v>496</v>
      </c>
      <c r="C105" s="5" t="s">
        <v>497</v>
      </c>
      <c r="D105" s="5" t="s">
        <v>759</v>
      </c>
      <c r="E105" s="5" t="s">
        <v>759</v>
      </c>
      <c r="F105" s="6" t="s">
        <v>499</v>
      </c>
      <c r="G105" s="5" t="s">
        <v>738</v>
      </c>
      <c r="H105" s="5" t="s">
        <v>739</v>
      </c>
      <c r="I105" s="5" t="s">
        <v>738</v>
      </c>
      <c r="J105" s="5" t="s">
        <v>760</v>
      </c>
      <c r="K105" s="5"/>
      <c r="L105" s="5" t="s">
        <v>512</v>
      </c>
      <c r="M105" s="5" t="s">
        <v>759</v>
      </c>
      <c r="N105" s="6" t="s">
        <v>513</v>
      </c>
      <c r="O105" s="5"/>
      <c r="P105" s="5" t="s">
        <v>529</v>
      </c>
      <c r="Q105" s="5" t="n">
        <v>4</v>
      </c>
      <c r="R105" s="5" t="n">
        <v>4</v>
      </c>
      <c r="S105" s="5" t="s">
        <v>103</v>
      </c>
      <c r="T105" s="7" t="s">
        <v>197</v>
      </c>
      <c r="U105" s="5" t="n">
        <v>2</v>
      </c>
      <c r="V105" s="6" t="s">
        <v>761</v>
      </c>
      <c r="W105" s="5" t="s">
        <v>538</v>
      </c>
      <c r="X105" s="6" t="s">
        <v>762</v>
      </c>
    </row>
    <row r="106" customFormat="false" ht="79.85" hidden="false" customHeight="false" outlineLevel="0" collapsed="false">
      <c r="A106" s="5" t="s">
        <v>763</v>
      </c>
      <c r="B106" s="5" t="s">
        <v>496</v>
      </c>
      <c r="C106" s="5" t="s">
        <v>497</v>
      </c>
      <c r="D106" s="5" t="s">
        <v>764</v>
      </c>
      <c r="E106" s="5" t="s">
        <v>764</v>
      </c>
      <c r="F106" s="6" t="s">
        <v>499</v>
      </c>
      <c r="G106" s="5" t="s">
        <v>738</v>
      </c>
      <c r="H106" s="5" t="s">
        <v>739</v>
      </c>
      <c r="I106" s="5" t="s">
        <v>738</v>
      </c>
      <c r="J106" s="5" t="s">
        <v>765</v>
      </c>
      <c r="K106" s="5"/>
      <c r="L106" s="5" t="s">
        <v>512</v>
      </c>
      <c r="M106" s="5" t="s">
        <v>764</v>
      </c>
      <c r="N106" s="6" t="s">
        <v>513</v>
      </c>
      <c r="O106" s="5"/>
      <c r="P106" s="5" t="s">
        <v>529</v>
      </c>
      <c r="Q106" s="5" t="n">
        <v>4</v>
      </c>
      <c r="R106" s="5" t="n">
        <v>4</v>
      </c>
      <c r="S106" s="5" t="s">
        <v>103</v>
      </c>
      <c r="T106" s="7" t="s">
        <v>197</v>
      </c>
      <c r="U106" s="5" t="n">
        <v>2</v>
      </c>
      <c r="V106" s="6" t="s">
        <v>766</v>
      </c>
      <c r="W106" s="5" t="s">
        <v>538</v>
      </c>
      <c r="X106" s="6" t="s">
        <v>767</v>
      </c>
    </row>
    <row r="107" customFormat="false" ht="57.45" hidden="false" customHeight="false" outlineLevel="0" collapsed="false">
      <c r="A107" s="5" t="s">
        <v>768</v>
      </c>
      <c r="B107" s="5" t="s">
        <v>496</v>
      </c>
      <c r="C107" s="5" t="s">
        <v>497</v>
      </c>
      <c r="D107" s="5" t="s">
        <v>769</v>
      </c>
      <c r="E107" s="5" t="s">
        <v>769</v>
      </c>
      <c r="F107" s="6" t="s">
        <v>499</v>
      </c>
      <c r="G107" s="5" t="s">
        <v>738</v>
      </c>
      <c r="H107" s="5" t="s">
        <v>739</v>
      </c>
      <c r="I107" s="5" t="s">
        <v>738</v>
      </c>
      <c r="J107" s="5" t="s">
        <v>770</v>
      </c>
      <c r="K107" s="5"/>
      <c r="L107" s="5" t="s">
        <v>502</v>
      </c>
      <c r="M107" s="5" t="s">
        <v>769</v>
      </c>
      <c r="N107" s="6" t="s">
        <v>513</v>
      </c>
      <c r="O107" s="5"/>
      <c r="P107" s="5" t="s">
        <v>529</v>
      </c>
      <c r="Q107" s="5" t="n">
        <v>4</v>
      </c>
      <c r="R107" s="5" t="n">
        <v>4</v>
      </c>
      <c r="S107" s="5" t="s">
        <v>103</v>
      </c>
      <c r="T107" s="7" t="s">
        <v>197</v>
      </c>
      <c r="U107" s="5" t="n">
        <v>2</v>
      </c>
      <c r="V107" s="6" t="s">
        <v>771</v>
      </c>
      <c r="W107" s="5" t="s">
        <v>538</v>
      </c>
      <c r="X107" s="6" t="s">
        <v>772</v>
      </c>
    </row>
    <row r="108" customFormat="false" ht="68.65" hidden="false" customHeight="false" outlineLevel="0" collapsed="false">
      <c r="A108" s="5" t="s">
        <v>773</v>
      </c>
      <c r="B108" s="5" t="s">
        <v>496</v>
      </c>
      <c r="C108" s="5" t="s">
        <v>497</v>
      </c>
      <c r="D108" s="5" t="s">
        <v>774</v>
      </c>
      <c r="E108" s="5" t="s">
        <v>774</v>
      </c>
      <c r="F108" s="6" t="s">
        <v>499</v>
      </c>
      <c r="G108" s="5" t="s">
        <v>775</v>
      </c>
      <c r="H108" s="5" t="s">
        <v>739</v>
      </c>
      <c r="I108" s="5" t="s">
        <v>775</v>
      </c>
      <c r="J108" s="5" t="s">
        <v>776</v>
      </c>
      <c r="K108" s="5"/>
      <c r="L108" s="5" t="s">
        <v>512</v>
      </c>
      <c r="M108" s="5" t="s">
        <v>774</v>
      </c>
      <c r="N108" s="6" t="s">
        <v>513</v>
      </c>
      <c r="O108" s="5"/>
      <c r="P108" s="5" t="s">
        <v>529</v>
      </c>
      <c r="Q108" s="5" t="n">
        <v>4</v>
      </c>
      <c r="R108" s="5" t="n">
        <v>4</v>
      </c>
      <c r="S108" s="5" t="s">
        <v>103</v>
      </c>
      <c r="T108" s="7" t="s">
        <v>197</v>
      </c>
      <c r="U108" s="5" t="n">
        <v>2</v>
      </c>
      <c r="V108" s="6" t="s">
        <v>777</v>
      </c>
      <c r="W108" s="5" t="s">
        <v>538</v>
      </c>
      <c r="X108" s="6" t="s">
        <v>778</v>
      </c>
    </row>
    <row r="109" customFormat="false" ht="57.45" hidden="false" customHeight="false" outlineLevel="0" collapsed="false">
      <c r="A109" s="5" t="s">
        <v>779</v>
      </c>
      <c r="B109" s="5" t="s">
        <v>496</v>
      </c>
      <c r="C109" s="5" t="s">
        <v>497</v>
      </c>
      <c r="D109" s="5" t="s">
        <v>780</v>
      </c>
      <c r="E109" s="5" t="s">
        <v>780</v>
      </c>
      <c r="F109" s="6" t="s">
        <v>499</v>
      </c>
      <c r="G109" s="5" t="s">
        <v>775</v>
      </c>
      <c r="H109" s="5" t="s">
        <v>739</v>
      </c>
      <c r="I109" s="5" t="s">
        <v>775</v>
      </c>
      <c r="J109" s="5" t="s">
        <v>781</v>
      </c>
      <c r="K109" s="5"/>
      <c r="L109" s="5" t="s">
        <v>502</v>
      </c>
      <c r="M109" s="5" t="s">
        <v>780</v>
      </c>
      <c r="N109" s="6" t="s">
        <v>513</v>
      </c>
      <c r="O109" s="5"/>
      <c r="P109" s="5" t="s">
        <v>529</v>
      </c>
      <c r="Q109" s="5" t="n">
        <v>4</v>
      </c>
      <c r="R109" s="5" t="n">
        <v>4</v>
      </c>
      <c r="S109" s="5" t="s">
        <v>103</v>
      </c>
      <c r="T109" s="7" t="s">
        <v>197</v>
      </c>
      <c r="U109" s="5" t="n">
        <v>2</v>
      </c>
      <c r="V109" s="6" t="s">
        <v>782</v>
      </c>
      <c r="W109" s="5" t="s">
        <v>538</v>
      </c>
      <c r="X109" s="6" t="s">
        <v>783</v>
      </c>
    </row>
    <row r="110" customFormat="false" ht="35.05" hidden="false" customHeight="false" outlineLevel="0" collapsed="false">
      <c r="A110" s="5" t="s">
        <v>784</v>
      </c>
      <c r="B110" s="5" t="s">
        <v>785</v>
      </c>
      <c r="C110" s="5" t="s">
        <v>786</v>
      </c>
      <c r="D110" s="5" t="s">
        <v>787</v>
      </c>
      <c r="E110" s="5" t="s">
        <v>787</v>
      </c>
      <c r="F110" s="6" t="s">
        <v>788</v>
      </c>
      <c r="G110" s="5" t="s">
        <v>789</v>
      </c>
      <c r="H110" s="5" t="s">
        <v>790</v>
      </c>
      <c r="I110" s="5"/>
      <c r="J110" s="5" t="s">
        <v>770</v>
      </c>
      <c r="K110" s="5"/>
      <c r="L110" s="5" t="s">
        <v>791</v>
      </c>
      <c r="M110" s="5"/>
      <c r="N110" s="6" t="s">
        <v>513</v>
      </c>
      <c r="O110" s="5" t="s">
        <v>103</v>
      </c>
      <c r="P110" s="5" t="s">
        <v>792</v>
      </c>
      <c r="Q110" s="5" t="n">
        <v>1</v>
      </c>
      <c r="R110" s="5" t="n">
        <v>1</v>
      </c>
      <c r="S110" s="5" t="s">
        <v>103</v>
      </c>
      <c r="T110" s="7" t="s">
        <v>197</v>
      </c>
      <c r="U110" s="5" t="n">
        <v>3</v>
      </c>
      <c r="V110" s="6" t="s">
        <v>793</v>
      </c>
      <c r="W110" s="5" t="s">
        <v>794</v>
      </c>
      <c r="X110" s="6" t="s">
        <v>795</v>
      </c>
    </row>
    <row r="111" customFormat="false" ht="46.25" hidden="false" customHeight="false" outlineLevel="0" collapsed="false">
      <c r="A111" s="5" t="s">
        <v>796</v>
      </c>
      <c r="B111" s="5" t="s">
        <v>785</v>
      </c>
      <c r="C111" s="5" t="s">
        <v>786</v>
      </c>
      <c r="D111" s="5" t="s">
        <v>797</v>
      </c>
      <c r="E111" s="5" t="s">
        <v>797</v>
      </c>
      <c r="F111" s="6" t="s">
        <v>788</v>
      </c>
      <c r="G111" s="5" t="s">
        <v>645</v>
      </c>
      <c r="H111" s="5" t="s">
        <v>798</v>
      </c>
      <c r="I111" s="5"/>
      <c r="J111" s="5" t="s">
        <v>799</v>
      </c>
      <c r="K111" s="5"/>
      <c r="L111" s="5" t="s">
        <v>791</v>
      </c>
      <c r="M111" s="5"/>
      <c r="N111" s="6" t="s">
        <v>513</v>
      </c>
      <c r="O111" s="5" t="s">
        <v>103</v>
      </c>
      <c r="P111" s="5" t="s">
        <v>792</v>
      </c>
      <c r="Q111" s="5" t="n">
        <v>1</v>
      </c>
      <c r="R111" s="5" t="n">
        <v>1</v>
      </c>
      <c r="S111" s="5" t="s">
        <v>103</v>
      </c>
      <c r="T111" s="7" t="s">
        <v>197</v>
      </c>
      <c r="U111" s="5" t="n">
        <v>2</v>
      </c>
      <c r="V111" s="6" t="s">
        <v>648</v>
      </c>
      <c r="W111" s="5" t="s">
        <v>800</v>
      </c>
      <c r="X111" s="6" t="s">
        <v>801</v>
      </c>
    </row>
    <row r="112" customFormat="false" ht="57.45" hidden="false" customHeight="false" outlineLevel="0" collapsed="false">
      <c r="A112" s="5" t="s">
        <v>802</v>
      </c>
      <c r="B112" s="5" t="s">
        <v>785</v>
      </c>
      <c r="C112" s="5" t="s">
        <v>786</v>
      </c>
      <c r="D112" s="5" t="s">
        <v>803</v>
      </c>
      <c r="E112" s="5" t="s">
        <v>803</v>
      </c>
      <c r="F112" s="6" t="s">
        <v>788</v>
      </c>
      <c r="G112" s="5" t="s">
        <v>804</v>
      </c>
      <c r="H112" s="5" t="s">
        <v>805</v>
      </c>
      <c r="I112" s="5"/>
      <c r="J112" s="5" t="s">
        <v>806</v>
      </c>
      <c r="K112" s="5"/>
      <c r="L112" s="5" t="s">
        <v>791</v>
      </c>
      <c r="M112" s="5"/>
      <c r="N112" s="6" t="s">
        <v>513</v>
      </c>
      <c r="O112" s="5" t="s">
        <v>103</v>
      </c>
      <c r="P112" s="5" t="s">
        <v>792</v>
      </c>
      <c r="Q112" s="5" t="n">
        <v>1</v>
      </c>
      <c r="R112" s="5" t="n">
        <v>1</v>
      </c>
      <c r="S112" s="5" t="s">
        <v>103</v>
      </c>
      <c r="T112" s="7" t="s">
        <v>197</v>
      </c>
      <c r="U112" s="5" t="n">
        <v>2</v>
      </c>
      <c r="V112" s="6" t="s">
        <v>663</v>
      </c>
      <c r="W112" s="5" t="s">
        <v>807</v>
      </c>
      <c r="X112" s="6" t="s">
        <v>808</v>
      </c>
    </row>
    <row r="113" customFormat="false" ht="57.45" hidden="false" customHeight="false" outlineLevel="0" collapsed="false">
      <c r="A113" s="5" t="s">
        <v>809</v>
      </c>
      <c r="B113" s="5" t="s">
        <v>785</v>
      </c>
      <c r="C113" s="5" t="s">
        <v>786</v>
      </c>
      <c r="D113" s="5" t="s">
        <v>810</v>
      </c>
      <c r="E113" s="5" t="s">
        <v>810</v>
      </c>
      <c r="F113" s="6" t="s">
        <v>788</v>
      </c>
      <c r="G113" s="5" t="s">
        <v>676</v>
      </c>
      <c r="H113" s="5" t="s">
        <v>811</v>
      </c>
      <c r="I113" s="5"/>
      <c r="J113" s="5" t="s">
        <v>799</v>
      </c>
      <c r="K113" s="5"/>
      <c r="L113" s="5" t="s">
        <v>812</v>
      </c>
      <c r="M113" s="5"/>
      <c r="N113" s="6" t="s">
        <v>513</v>
      </c>
      <c r="O113" s="5" t="s">
        <v>103</v>
      </c>
      <c r="P113" s="5" t="s">
        <v>792</v>
      </c>
      <c r="Q113" s="5" t="n">
        <v>1</v>
      </c>
      <c r="R113" s="5" t="n">
        <v>1</v>
      </c>
      <c r="S113" s="5" t="s">
        <v>103</v>
      </c>
      <c r="T113" s="7" t="s">
        <v>197</v>
      </c>
      <c r="U113" s="5" t="n">
        <v>2</v>
      </c>
      <c r="V113" s="6" t="s">
        <v>648</v>
      </c>
      <c r="W113" s="5" t="s">
        <v>813</v>
      </c>
      <c r="X113" s="6" t="s">
        <v>814</v>
      </c>
    </row>
    <row r="114" customFormat="false" ht="35.05" hidden="false" customHeight="false" outlineLevel="0" collapsed="false">
      <c r="A114" s="5" t="s">
        <v>815</v>
      </c>
      <c r="B114" s="5" t="s">
        <v>785</v>
      </c>
      <c r="C114" s="5" t="s">
        <v>786</v>
      </c>
      <c r="D114" s="5" t="s">
        <v>816</v>
      </c>
      <c r="E114" s="5" t="s">
        <v>816</v>
      </c>
      <c r="F114" s="6" t="s">
        <v>788</v>
      </c>
      <c r="G114" s="5" t="s">
        <v>676</v>
      </c>
      <c r="H114" s="5" t="s">
        <v>811</v>
      </c>
      <c r="I114" s="5"/>
      <c r="J114" s="5" t="s">
        <v>669</v>
      </c>
      <c r="K114" s="5"/>
      <c r="L114" s="5" t="s">
        <v>812</v>
      </c>
      <c r="M114" s="5"/>
      <c r="N114" s="6" t="s">
        <v>513</v>
      </c>
      <c r="O114" s="5" t="s">
        <v>103</v>
      </c>
      <c r="P114" s="5" t="s">
        <v>792</v>
      </c>
      <c r="Q114" s="5" t="n">
        <v>1</v>
      </c>
      <c r="R114" s="5" t="n">
        <v>1</v>
      </c>
      <c r="S114" s="5" t="s">
        <v>103</v>
      </c>
      <c r="T114" s="7" t="s">
        <v>197</v>
      </c>
      <c r="U114" s="5" t="n">
        <v>2</v>
      </c>
      <c r="V114" s="6" t="s">
        <v>492</v>
      </c>
      <c r="W114" s="5" t="s">
        <v>817</v>
      </c>
      <c r="X114" s="6" t="s">
        <v>818</v>
      </c>
    </row>
    <row r="115" customFormat="false" ht="35.05" hidden="false" customHeight="false" outlineLevel="0" collapsed="false">
      <c r="A115" s="5" t="s">
        <v>819</v>
      </c>
      <c r="B115" s="5" t="s">
        <v>785</v>
      </c>
      <c r="C115" s="5" t="s">
        <v>786</v>
      </c>
      <c r="D115" s="5" t="s">
        <v>820</v>
      </c>
      <c r="E115" s="5" t="s">
        <v>820</v>
      </c>
      <c r="F115" s="6" t="s">
        <v>788</v>
      </c>
      <c r="G115" s="5" t="s">
        <v>667</v>
      </c>
      <c r="H115" s="5" t="s">
        <v>821</v>
      </c>
      <c r="I115" s="5"/>
      <c r="J115" s="5" t="s">
        <v>822</v>
      </c>
      <c r="K115" s="5"/>
      <c r="L115" s="5" t="s">
        <v>791</v>
      </c>
      <c r="M115" s="5"/>
      <c r="N115" s="6" t="s">
        <v>513</v>
      </c>
      <c r="O115" s="5" t="s">
        <v>103</v>
      </c>
      <c r="P115" s="5" t="s">
        <v>792</v>
      </c>
      <c r="Q115" s="5" t="n">
        <v>1</v>
      </c>
      <c r="R115" s="5" t="n">
        <v>1</v>
      </c>
      <c r="S115" s="5" t="s">
        <v>103</v>
      </c>
      <c r="T115" s="7" t="s">
        <v>197</v>
      </c>
      <c r="U115" s="5" t="n">
        <v>4</v>
      </c>
      <c r="V115" s="6" t="s">
        <v>657</v>
      </c>
      <c r="W115" s="5" t="s">
        <v>794</v>
      </c>
      <c r="X115" s="6" t="s">
        <v>823</v>
      </c>
    </row>
    <row r="116" customFormat="false" ht="35.05" hidden="false" customHeight="false" outlineLevel="0" collapsed="false">
      <c r="A116" s="5" t="s">
        <v>824</v>
      </c>
      <c r="B116" s="5" t="s">
        <v>785</v>
      </c>
      <c r="C116" s="5" t="s">
        <v>786</v>
      </c>
      <c r="D116" s="5" t="s">
        <v>825</v>
      </c>
      <c r="E116" s="5" t="s">
        <v>825</v>
      </c>
      <c r="F116" s="6" t="s">
        <v>788</v>
      </c>
      <c r="G116" s="5" t="s">
        <v>667</v>
      </c>
      <c r="H116" s="5" t="s">
        <v>821</v>
      </c>
      <c r="I116" s="5"/>
      <c r="J116" s="5" t="s">
        <v>826</v>
      </c>
      <c r="K116" s="5"/>
      <c r="L116" s="5" t="s">
        <v>791</v>
      </c>
      <c r="M116" s="5"/>
      <c r="N116" s="6" t="s">
        <v>513</v>
      </c>
      <c r="O116" s="5" t="s">
        <v>103</v>
      </c>
      <c r="P116" s="5" t="s">
        <v>792</v>
      </c>
      <c r="Q116" s="5" t="n">
        <v>1</v>
      </c>
      <c r="R116" s="5" t="n">
        <v>1</v>
      </c>
      <c r="S116" s="5" t="s">
        <v>103</v>
      </c>
      <c r="T116" s="7" t="s">
        <v>197</v>
      </c>
      <c r="U116" s="5" t="n">
        <v>4</v>
      </c>
      <c r="V116" s="6" t="s">
        <v>679</v>
      </c>
      <c r="W116" s="5" t="s">
        <v>794</v>
      </c>
      <c r="X116" s="6" t="s">
        <v>827</v>
      </c>
    </row>
    <row r="117" customFormat="false" ht="23.85" hidden="false" customHeight="false" outlineLevel="0" collapsed="false">
      <c r="A117" s="5" t="s">
        <v>828</v>
      </c>
      <c r="B117" s="5" t="s">
        <v>785</v>
      </c>
      <c r="C117" s="5" t="s">
        <v>786</v>
      </c>
      <c r="D117" s="5" t="s">
        <v>829</v>
      </c>
      <c r="E117" s="5" t="s">
        <v>829</v>
      </c>
      <c r="F117" s="6" t="s">
        <v>788</v>
      </c>
      <c r="G117" s="5" t="s">
        <v>667</v>
      </c>
      <c r="H117" s="5" t="s">
        <v>821</v>
      </c>
      <c r="I117" s="5"/>
      <c r="J117" s="5" t="s">
        <v>693</v>
      </c>
      <c r="K117" s="5"/>
      <c r="L117" s="5" t="s">
        <v>791</v>
      </c>
      <c r="M117" s="5"/>
      <c r="N117" s="6" t="s">
        <v>513</v>
      </c>
      <c r="O117" s="5" t="s">
        <v>103</v>
      </c>
      <c r="P117" s="5" t="s">
        <v>792</v>
      </c>
      <c r="Q117" s="5" t="n">
        <v>1</v>
      </c>
      <c r="R117" s="5" t="n">
        <v>1</v>
      </c>
      <c r="S117" s="5" t="s">
        <v>103</v>
      </c>
      <c r="T117" s="7" t="s">
        <v>197</v>
      </c>
      <c r="U117" s="5" t="n">
        <v>2</v>
      </c>
      <c r="V117" s="6" t="s">
        <v>694</v>
      </c>
      <c r="W117" s="5" t="s">
        <v>794</v>
      </c>
      <c r="X117" s="6" t="s">
        <v>830</v>
      </c>
    </row>
    <row r="118" customFormat="false" ht="57.45" hidden="false" customHeight="false" outlineLevel="0" collapsed="false">
      <c r="A118" s="5" t="s">
        <v>831</v>
      </c>
      <c r="B118" s="5" t="s">
        <v>785</v>
      </c>
      <c r="C118" s="5" t="s">
        <v>786</v>
      </c>
      <c r="D118" s="5" t="s">
        <v>832</v>
      </c>
      <c r="E118" s="5" t="s">
        <v>832</v>
      </c>
      <c r="F118" s="6" t="s">
        <v>788</v>
      </c>
      <c r="G118" s="5" t="s">
        <v>667</v>
      </c>
      <c r="H118" s="5" t="s">
        <v>821</v>
      </c>
      <c r="I118" s="5"/>
      <c r="J118" s="5" t="s">
        <v>683</v>
      </c>
      <c r="K118" s="5"/>
      <c r="L118" s="5" t="s">
        <v>791</v>
      </c>
      <c r="M118" s="5"/>
      <c r="N118" s="6" t="s">
        <v>513</v>
      </c>
      <c r="O118" s="5" t="s">
        <v>103</v>
      </c>
      <c r="P118" s="5" t="s">
        <v>833</v>
      </c>
      <c r="Q118" s="5" t="n">
        <v>1</v>
      </c>
      <c r="R118" s="5" t="n">
        <v>1</v>
      </c>
      <c r="S118" s="5" t="s">
        <v>103</v>
      </c>
      <c r="T118" s="7" t="s">
        <v>197</v>
      </c>
      <c r="U118" s="5" t="n">
        <v>2</v>
      </c>
      <c r="V118" s="6" t="s">
        <v>684</v>
      </c>
      <c r="W118" s="5" t="s">
        <v>807</v>
      </c>
      <c r="X118" s="6" t="s">
        <v>834</v>
      </c>
    </row>
    <row r="119" customFormat="false" ht="57.45" hidden="false" customHeight="false" outlineLevel="0" collapsed="false">
      <c r="A119" s="5" t="s">
        <v>835</v>
      </c>
      <c r="B119" s="5" t="s">
        <v>785</v>
      </c>
      <c r="C119" s="5" t="s">
        <v>786</v>
      </c>
      <c r="D119" s="5" t="s">
        <v>836</v>
      </c>
      <c r="E119" s="5" t="s">
        <v>836</v>
      </c>
      <c r="F119" s="6" t="s">
        <v>788</v>
      </c>
      <c r="G119" s="5" t="s">
        <v>667</v>
      </c>
      <c r="H119" s="5" t="s">
        <v>821</v>
      </c>
      <c r="I119" s="5"/>
      <c r="J119" s="5" t="s">
        <v>688</v>
      </c>
      <c r="K119" s="5"/>
      <c r="L119" s="5" t="s">
        <v>791</v>
      </c>
      <c r="M119" s="5"/>
      <c r="N119" s="6" t="s">
        <v>513</v>
      </c>
      <c r="O119" s="5" t="s">
        <v>103</v>
      </c>
      <c r="P119" s="5" t="s">
        <v>833</v>
      </c>
      <c r="Q119" s="5" t="n">
        <v>1</v>
      </c>
      <c r="R119" s="5" t="n">
        <v>1</v>
      </c>
      <c r="S119" s="5" t="s">
        <v>103</v>
      </c>
      <c r="T119" s="7" t="s">
        <v>197</v>
      </c>
      <c r="U119" s="5" t="n">
        <v>4</v>
      </c>
      <c r="V119" s="6" t="s">
        <v>689</v>
      </c>
      <c r="W119" s="5" t="s">
        <v>794</v>
      </c>
      <c r="X119" s="6" t="s">
        <v>837</v>
      </c>
    </row>
    <row r="120" customFormat="false" ht="23.85" hidden="false" customHeight="false" outlineLevel="0" collapsed="false">
      <c r="A120" s="5" t="s">
        <v>838</v>
      </c>
      <c r="B120" s="5" t="s">
        <v>785</v>
      </c>
      <c r="C120" s="5" t="s">
        <v>786</v>
      </c>
      <c r="D120" s="5" t="s">
        <v>839</v>
      </c>
      <c r="E120" s="5" t="s">
        <v>839</v>
      </c>
      <c r="F120" s="6" t="s">
        <v>788</v>
      </c>
      <c r="G120" s="5" t="s">
        <v>840</v>
      </c>
      <c r="H120" s="5" t="s">
        <v>667</v>
      </c>
      <c r="I120" s="5"/>
      <c r="J120" s="5" t="s">
        <v>841</v>
      </c>
      <c r="K120" s="5"/>
      <c r="L120" s="5" t="s">
        <v>791</v>
      </c>
      <c r="M120" s="5"/>
      <c r="N120" s="6" t="s">
        <v>513</v>
      </c>
      <c r="O120" s="5" t="s">
        <v>103</v>
      </c>
      <c r="P120" s="5" t="s">
        <v>792</v>
      </c>
      <c r="Q120" s="5" t="n">
        <v>1</v>
      </c>
      <c r="R120" s="5" t="n">
        <v>1</v>
      </c>
      <c r="S120" s="5" t="s">
        <v>103</v>
      </c>
      <c r="T120" s="7" t="s">
        <v>197</v>
      </c>
      <c r="U120" s="5" t="n">
        <v>2</v>
      </c>
      <c r="V120" s="6" t="s">
        <v>711</v>
      </c>
      <c r="W120" s="5" t="s">
        <v>794</v>
      </c>
      <c r="X120" s="6" t="s">
        <v>842</v>
      </c>
    </row>
    <row r="121" customFormat="false" ht="35.05" hidden="false" customHeight="false" outlineLevel="0" collapsed="false">
      <c r="A121" s="5" t="s">
        <v>843</v>
      </c>
      <c r="B121" s="5" t="s">
        <v>785</v>
      </c>
      <c r="C121" s="5" t="s">
        <v>786</v>
      </c>
      <c r="D121" s="5" t="s">
        <v>844</v>
      </c>
      <c r="E121" s="5" t="s">
        <v>844</v>
      </c>
      <c r="F121" s="6" t="s">
        <v>788</v>
      </c>
      <c r="G121" s="5" t="s">
        <v>840</v>
      </c>
      <c r="H121" s="5" t="s">
        <v>667</v>
      </c>
      <c r="I121" s="5"/>
      <c r="J121" s="5" t="s">
        <v>845</v>
      </c>
      <c r="K121" s="5"/>
      <c r="L121" s="5" t="s">
        <v>791</v>
      </c>
      <c r="M121" s="5"/>
      <c r="N121" s="6" t="s">
        <v>513</v>
      </c>
      <c r="O121" s="5" t="s">
        <v>103</v>
      </c>
      <c r="P121" s="5" t="s">
        <v>792</v>
      </c>
      <c r="Q121" s="5" t="n">
        <v>1</v>
      </c>
      <c r="R121" s="5" t="n">
        <v>1</v>
      </c>
      <c r="S121" s="5" t="s">
        <v>103</v>
      </c>
      <c r="T121" s="7" t="s">
        <v>197</v>
      </c>
      <c r="U121" s="5" t="n">
        <v>2</v>
      </c>
      <c r="V121" s="6" t="s">
        <v>717</v>
      </c>
      <c r="W121" s="5" t="s">
        <v>807</v>
      </c>
      <c r="X121" s="6" t="s">
        <v>846</v>
      </c>
    </row>
    <row r="122" customFormat="false" ht="23.85" hidden="false" customHeight="false" outlineLevel="0" collapsed="false">
      <c r="A122" s="5" t="s">
        <v>847</v>
      </c>
      <c r="B122" s="5" t="s">
        <v>785</v>
      </c>
      <c r="C122" s="5" t="s">
        <v>786</v>
      </c>
      <c r="D122" s="5" t="s">
        <v>848</v>
      </c>
      <c r="E122" s="5" t="s">
        <v>848</v>
      </c>
      <c r="F122" s="6" t="s">
        <v>788</v>
      </c>
      <c r="G122" s="5" t="s">
        <v>840</v>
      </c>
      <c r="H122" s="5" t="s">
        <v>667</v>
      </c>
      <c r="I122" s="5"/>
      <c r="J122" s="5" t="s">
        <v>849</v>
      </c>
      <c r="K122" s="5"/>
      <c r="L122" s="5" t="s">
        <v>791</v>
      </c>
      <c r="M122" s="5"/>
      <c r="N122" s="6" t="s">
        <v>513</v>
      </c>
      <c r="O122" s="5" t="s">
        <v>103</v>
      </c>
      <c r="P122" s="5" t="s">
        <v>792</v>
      </c>
      <c r="Q122" s="5" t="n">
        <v>1</v>
      </c>
      <c r="R122" s="5" t="n">
        <v>1</v>
      </c>
      <c r="S122" s="5" t="s">
        <v>103</v>
      </c>
      <c r="T122" s="7" t="s">
        <v>197</v>
      </c>
      <c r="U122" s="5" t="n">
        <v>2</v>
      </c>
      <c r="V122" s="6" t="s">
        <v>701</v>
      </c>
      <c r="W122" s="5" t="s">
        <v>794</v>
      </c>
      <c r="X122" s="6" t="s">
        <v>850</v>
      </c>
    </row>
    <row r="123" customFormat="false" ht="23.85" hidden="false" customHeight="false" outlineLevel="0" collapsed="false">
      <c r="A123" s="5" t="s">
        <v>851</v>
      </c>
      <c r="B123" s="5" t="s">
        <v>785</v>
      </c>
      <c r="C123" s="5" t="s">
        <v>786</v>
      </c>
      <c r="D123" s="5" t="s">
        <v>852</v>
      </c>
      <c r="E123" s="5" t="s">
        <v>852</v>
      </c>
      <c r="F123" s="6" t="s">
        <v>788</v>
      </c>
      <c r="G123" s="5" t="s">
        <v>840</v>
      </c>
      <c r="H123" s="5" t="s">
        <v>667</v>
      </c>
      <c r="I123" s="5"/>
      <c r="J123" s="5" t="s">
        <v>853</v>
      </c>
      <c r="K123" s="5"/>
      <c r="L123" s="5" t="s">
        <v>791</v>
      </c>
      <c r="M123" s="5"/>
      <c r="N123" s="6" t="s">
        <v>513</v>
      </c>
      <c r="O123" s="5" t="s">
        <v>103</v>
      </c>
      <c r="P123" s="5" t="s">
        <v>792</v>
      </c>
      <c r="Q123" s="5" t="n">
        <v>1</v>
      </c>
      <c r="R123" s="5" t="n">
        <v>1</v>
      </c>
      <c r="S123" s="5" t="s">
        <v>103</v>
      </c>
      <c r="T123" s="7" t="s">
        <v>197</v>
      </c>
      <c r="U123" s="5" t="n">
        <v>2</v>
      </c>
      <c r="V123" s="6" t="s">
        <v>706</v>
      </c>
      <c r="W123" s="5" t="s">
        <v>807</v>
      </c>
      <c r="X123" s="6" t="s">
        <v>854</v>
      </c>
    </row>
    <row r="124" customFormat="false" ht="57.45" hidden="false" customHeight="false" outlineLevel="0" collapsed="false">
      <c r="A124" s="5" t="s">
        <v>855</v>
      </c>
      <c r="B124" s="5" t="s">
        <v>785</v>
      </c>
      <c r="C124" s="5" t="s">
        <v>786</v>
      </c>
      <c r="D124" s="5" t="s">
        <v>856</v>
      </c>
      <c r="E124" s="5" t="s">
        <v>856</v>
      </c>
      <c r="F124" s="6" t="s">
        <v>788</v>
      </c>
      <c r="G124" s="5" t="s">
        <v>857</v>
      </c>
      <c r="H124" s="5" t="s">
        <v>858</v>
      </c>
      <c r="I124" s="5"/>
      <c r="J124" s="5" t="s">
        <v>728</v>
      </c>
      <c r="K124" s="5"/>
      <c r="L124" s="5" t="s">
        <v>791</v>
      </c>
      <c r="M124" s="5"/>
      <c r="N124" s="6" t="s">
        <v>513</v>
      </c>
      <c r="O124" s="5" t="s">
        <v>103</v>
      </c>
      <c r="P124" s="5" t="s">
        <v>792</v>
      </c>
      <c r="Q124" s="5" t="n">
        <v>1</v>
      </c>
      <c r="R124" s="5" t="n">
        <v>1</v>
      </c>
      <c r="S124" s="5" t="s">
        <v>103</v>
      </c>
      <c r="T124" s="7" t="s">
        <v>197</v>
      </c>
      <c r="U124" s="5" t="n">
        <v>2</v>
      </c>
      <c r="V124" s="6" t="s">
        <v>729</v>
      </c>
      <c r="W124" s="5" t="s">
        <v>807</v>
      </c>
      <c r="X124" s="6" t="s">
        <v>859</v>
      </c>
    </row>
    <row r="125" customFormat="false" ht="35.05" hidden="false" customHeight="false" outlineLevel="0" collapsed="false">
      <c r="A125" s="5" t="s">
        <v>860</v>
      </c>
      <c r="B125" s="5" t="s">
        <v>785</v>
      </c>
      <c r="C125" s="5" t="s">
        <v>786</v>
      </c>
      <c r="D125" s="5" t="s">
        <v>861</v>
      </c>
      <c r="E125" s="5" t="s">
        <v>861</v>
      </c>
      <c r="F125" s="6" t="s">
        <v>788</v>
      </c>
      <c r="G125" s="5" t="s">
        <v>857</v>
      </c>
      <c r="H125" s="5" t="s">
        <v>858</v>
      </c>
      <c r="I125" s="5"/>
      <c r="J125" s="5" t="s">
        <v>733</v>
      </c>
      <c r="K125" s="5"/>
      <c r="L125" s="5" t="s">
        <v>791</v>
      </c>
      <c r="M125" s="5"/>
      <c r="N125" s="6" t="s">
        <v>513</v>
      </c>
      <c r="O125" s="5" t="s">
        <v>103</v>
      </c>
      <c r="P125" s="5" t="s">
        <v>792</v>
      </c>
      <c r="Q125" s="5" t="n">
        <v>1</v>
      </c>
      <c r="R125" s="5" t="n">
        <v>1</v>
      </c>
      <c r="S125" s="5" t="s">
        <v>103</v>
      </c>
      <c r="T125" s="7" t="s">
        <v>197</v>
      </c>
      <c r="U125" s="5" t="n">
        <v>2</v>
      </c>
      <c r="V125" s="6" t="s">
        <v>734</v>
      </c>
      <c r="W125" s="5" t="s">
        <v>807</v>
      </c>
      <c r="X125" s="6" t="s">
        <v>862</v>
      </c>
    </row>
    <row r="126" customFormat="false" ht="35.05" hidden="false" customHeight="false" outlineLevel="0" collapsed="false">
      <c r="A126" s="5" t="s">
        <v>863</v>
      </c>
      <c r="B126" s="5" t="s">
        <v>785</v>
      </c>
      <c r="C126" s="5" t="s">
        <v>786</v>
      </c>
      <c r="D126" s="5" t="s">
        <v>864</v>
      </c>
      <c r="E126" s="5" t="s">
        <v>864</v>
      </c>
      <c r="F126" s="6" t="s">
        <v>788</v>
      </c>
      <c r="G126" s="5" t="s">
        <v>857</v>
      </c>
      <c r="H126" s="5" t="s">
        <v>858</v>
      </c>
      <c r="I126" s="5"/>
      <c r="J126" s="5" t="s">
        <v>723</v>
      </c>
      <c r="K126" s="5"/>
      <c r="L126" s="5" t="s">
        <v>791</v>
      </c>
      <c r="M126" s="5"/>
      <c r="N126" s="6" t="s">
        <v>513</v>
      </c>
      <c r="O126" s="5" t="s">
        <v>103</v>
      </c>
      <c r="P126" s="5" t="s">
        <v>792</v>
      </c>
      <c r="Q126" s="5" t="n">
        <v>1</v>
      </c>
      <c r="R126" s="5" t="n">
        <v>1</v>
      </c>
      <c r="S126" s="5" t="s">
        <v>103</v>
      </c>
      <c r="T126" s="7" t="s">
        <v>197</v>
      </c>
      <c r="U126" s="5" t="n">
        <v>2</v>
      </c>
      <c r="V126" s="6" t="s">
        <v>724</v>
      </c>
      <c r="W126" s="5" t="s">
        <v>807</v>
      </c>
      <c r="X126" s="6" t="s">
        <v>865</v>
      </c>
    </row>
    <row r="127" customFormat="false" ht="35.05" hidden="false" customHeight="false" outlineLevel="0" collapsed="false">
      <c r="A127" s="5" t="s">
        <v>866</v>
      </c>
      <c r="B127" s="5" t="s">
        <v>785</v>
      </c>
      <c r="C127" s="5" t="s">
        <v>786</v>
      </c>
      <c r="D127" s="5" t="s">
        <v>867</v>
      </c>
      <c r="E127" s="5" t="s">
        <v>867</v>
      </c>
      <c r="F127" s="6" t="s">
        <v>788</v>
      </c>
      <c r="G127" s="5" t="s">
        <v>789</v>
      </c>
      <c r="H127" s="5" t="s">
        <v>790</v>
      </c>
      <c r="I127" s="5"/>
      <c r="J127" s="5" t="s">
        <v>776</v>
      </c>
      <c r="K127" s="5"/>
      <c r="L127" s="5" t="s">
        <v>791</v>
      </c>
      <c r="M127" s="5"/>
      <c r="N127" s="6" t="s">
        <v>513</v>
      </c>
      <c r="O127" s="5" t="s">
        <v>103</v>
      </c>
      <c r="P127" s="5" t="s">
        <v>792</v>
      </c>
      <c r="Q127" s="5" t="n">
        <v>1</v>
      </c>
      <c r="R127" s="5" t="n">
        <v>1</v>
      </c>
      <c r="S127" s="5" t="s">
        <v>103</v>
      </c>
      <c r="T127" s="7" t="s">
        <v>197</v>
      </c>
      <c r="U127" s="5" t="n">
        <v>3</v>
      </c>
      <c r="V127" s="6" t="s">
        <v>868</v>
      </c>
      <c r="W127" s="5" t="s">
        <v>794</v>
      </c>
      <c r="X127" s="6" t="s">
        <v>795</v>
      </c>
    </row>
    <row r="128" customFormat="false" ht="46.25" hidden="false" customHeight="false" outlineLevel="0" collapsed="false">
      <c r="A128" s="5" t="s">
        <v>869</v>
      </c>
      <c r="B128" s="5" t="s">
        <v>785</v>
      </c>
      <c r="C128" s="5" t="s">
        <v>786</v>
      </c>
      <c r="D128" s="5" t="s">
        <v>870</v>
      </c>
      <c r="E128" s="5" t="s">
        <v>870</v>
      </c>
      <c r="F128" s="6" t="s">
        <v>788</v>
      </c>
      <c r="G128" s="5" t="s">
        <v>871</v>
      </c>
      <c r="H128" s="5" t="s">
        <v>188</v>
      </c>
      <c r="I128" s="5"/>
      <c r="J128" s="5" t="s">
        <v>511</v>
      </c>
      <c r="K128" s="5"/>
      <c r="L128" s="5" t="s">
        <v>791</v>
      </c>
      <c r="M128" s="5"/>
      <c r="N128" s="6" t="s">
        <v>513</v>
      </c>
      <c r="O128" s="5" t="s">
        <v>103</v>
      </c>
      <c r="P128" s="5" t="s">
        <v>872</v>
      </c>
      <c r="Q128" s="5" t="n">
        <v>1</v>
      </c>
      <c r="R128" s="5" t="n">
        <v>1</v>
      </c>
      <c r="S128" s="5" t="s">
        <v>103</v>
      </c>
      <c r="T128" s="7" t="s">
        <v>197</v>
      </c>
      <c r="U128" s="5" t="n">
        <v>2</v>
      </c>
      <c r="V128" s="6" t="s">
        <v>514</v>
      </c>
      <c r="W128" s="5" t="s">
        <v>873</v>
      </c>
      <c r="X128" s="6" t="s">
        <v>874</v>
      </c>
    </row>
    <row r="129" customFormat="false" ht="46.25" hidden="false" customHeight="false" outlineLevel="0" collapsed="false">
      <c r="A129" s="5" t="s">
        <v>875</v>
      </c>
      <c r="B129" s="5" t="s">
        <v>785</v>
      </c>
      <c r="C129" s="5" t="s">
        <v>786</v>
      </c>
      <c r="D129" s="5" t="s">
        <v>876</v>
      </c>
      <c r="E129" s="5" t="s">
        <v>876</v>
      </c>
      <c r="F129" s="6" t="s">
        <v>788</v>
      </c>
      <c r="G129" s="5" t="s">
        <v>871</v>
      </c>
      <c r="H129" s="5" t="s">
        <v>188</v>
      </c>
      <c r="I129" s="5"/>
      <c r="J129" s="5" t="s">
        <v>501</v>
      </c>
      <c r="K129" s="5"/>
      <c r="L129" s="5" t="s">
        <v>791</v>
      </c>
      <c r="M129" s="5"/>
      <c r="N129" s="6" t="s">
        <v>513</v>
      </c>
      <c r="O129" s="5" t="s">
        <v>103</v>
      </c>
      <c r="P129" s="5" t="s">
        <v>872</v>
      </c>
      <c r="Q129" s="5" t="n">
        <v>1</v>
      </c>
      <c r="R129" s="5" t="n">
        <v>1</v>
      </c>
      <c r="S129" s="5" t="s">
        <v>103</v>
      </c>
      <c r="T129" s="7" t="s">
        <v>197</v>
      </c>
      <c r="U129" s="5" t="n">
        <v>2</v>
      </c>
      <c r="V129" s="6" t="s">
        <v>506</v>
      </c>
      <c r="W129" s="5" t="s">
        <v>877</v>
      </c>
      <c r="X129" s="6" t="s">
        <v>878</v>
      </c>
    </row>
    <row r="130" customFormat="false" ht="46.25" hidden="false" customHeight="false" outlineLevel="0" collapsed="false">
      <c r="A130" s="5" t="s">
        <v>879</v>
      </c>
      <c r="B130" s="5" t="s">
        <v>785</v>
      </c>
      <c r="C130" s="5" t="s">
        <v>786</v>
      </c>
      <c r="D130" s="5" t="s">
        <v>880</v>
      </c>
      <c r="E130" s="5" t="s">
        <v>880</v>
      </c>
      <c r="F130" s="6" t="s">
        <v>788</v>
      </c>
      <c r="G130" s="5" t="s">
        <v>871</v>
      </c>
      <c r="H130" s="5" t="s">
        <v>188</v>
      </c>
      <c r="I130" s="5"/>
      <c r="J130" s="5" t="s">
        <v>501</v>
      </c>
      <c r="K130" s="5"/>
      <c r="L130" s="5" t="s">
        <v>791</v>
      </c>
      <c r="M130" s="5"/>
      <c r="N130" s="6" t="s">
        <v>513</v>
      </c>
      <c r="O130" s="5" t="s">
        <v>103</v>
      </c>
      <c r="P130" s="5" t="s">
        <v>872</v>
      </c>
      <c r="Q130" s="5" t="n">
        <v>1</v>
      </c>
      <c r="R130" s="5" t="n">
        <v>1</v>
      </c>
      <c r="S130" s="5" t="s">
        <v>103</v>
      </c>
      <c r="T130" s="7" t="s">
        <v>197</v>
      </c>
      <c r="U130" s="5" t="n">
        <v>2</v>
      </c>
      <c r="V130" s="6" t="s">
        <v>520</v>
      </c>
      <c r="W130" s="5" t="s">
        <v>881</v>
      </c>
      <c r="X130" s="6" t="s">
        <v>882</v>
      </c>
    </row>
    <row r="131" customFormat="false" ht="35.05" hidden="false" customHeight="false" outlineLevel="0" collapsed="false">
      <c r="A131" s="5" t="s">
        <v>883</v>
      </c>
      <c r="B131" s="5" t="s">
        <v>785</v>
      </c>
      <c r="C131" s="5" t="s">
        <v>786</v>
      </c>
      <c r="D131" s="5" t="s">
        <v>884</v>
      </c>
      <c r="E131" s="5" t="s">
        <v>884</v>
      </c>
      <c r="F131" s="6" t="s">
        <v>788</v>
      </c>
      <c r="G131" s="5" t="s">
        <v>789</v>
      </c>
      <c r="H131" s="5" t="s">
        <v>790</v>
      </c>
      <c r="I131" s="5"/>
      <c r="J131" s="5" t="s">
        <v>740</v>
      </c>
      <c r="K131" s="5"/>
      <c r="L131" s="5" t="s">
        <v>791</v>
      </c>
      <c r="M131" s="5"/>
      <c r="N131" s="6" t="s">
        <v>513</v>
      </c>
      <c r="O131" s="5" t="s">
        <v>103</v>
      </c>
      <c r="P131" s="5" t="s">
        <v>792</v>
      </c>
      <c r="Q131" s="5" t="n">
        <v>1</v>
      </c>
      <c r="R131" s="5" t="n">
        <v>1</v>
      </c>
      <c r="S131" s="5" t="s">
        <v>103</v>
      </c>
      <c r="T131" s="7" t="s">
        <v>197</v>
      </c>
      <c r="U131" s="5" t="n">
        <v>3</v>
      </c>
      <c r="V131" s="6" t="s">
        <v>885</v>
      </c>
      <c r="W131" s="5" t="s">
        <v>794</v>
      </c>
      <c r="X131" s="6" t="s">
        <v>795</v>
      </c>
    </row>
    <row r="132" customFormat="false" ht="23.85" hidden="false" customHeight="false" outlineLevel="0" collapsed="false">
      <c r="A132" s="5" t="s">
        <v>886</v>
      </c>
      <c r="B132" s="5" t="s">
        <v>785</v>
      </c>
      <c r="C132" s="5" t="s">
        <v>786</v>
      </c>
      <c r="D132" s="5" t="s">
        <v>887</v>
      </c>
      <c r="E132" s="5" t="s">
        <v>887</v>
      </c>
      <c r="F132" s="6" t="s">
        <v>788</v>
      </c>
      <c r="G132" s="5" t="s">
        <v>888</v>
      </c>
      <c r="H132" s="5" t="s">
        <v>526</v>
      </c>
      <c r="I132" s="5"/>
      <c r="J132" s="5" t="s">
        <v>889</v>
      </c>
      <c r="K132" s="5"/>
      <c r="L132" s="5" t="s">
        <v>791</v>
      </c>
      <c r="M132" s="5"/>
      <c r="N132" s="6" t="s">
        <v>513</v>
      </c>
      <c r="O132" s="5" t="s">
        <v>103</v>
      </c>
      <c r="P132" s="5" t="s">
        <v>792</v>
      </c>
      <c r="Q132" s="5" t="n">
        <v>1</v>
      </c>
      <c r="R132" s="5" t="n">
        <v>1</v>
      </c>
      <c r="S132" s="5" t="s">
        <v>103</v>
      </c>
      <c r="T132" s="7" t="s">
        <v>197</v>
      </c>
      <c r="U132" s="5" t="n">
        <v>2</v>
      </c>
      <c r="V132" s="6" t="s">
        <v>537</v>
      </c>
      <c r="W132" s="5" t="s">
        <v>794</v>
      </c>
      <c r="X132" s="6" t="s">
        <v>823</v>
      </c>
    </row>
    <row r="133" customFormat="false" ht="23.85" hidden="false" customHeight="false" outlineLevel="0" collapsed="false">
      <c r="A133" s="5" t="s">
        <v>890</v>
      </c>
      <c r="B133" s="5" t="s">
        <v>785</v>
      </c>
      <c r="C133" s="5" t="s">
        <v>786</v>
      </c>
      <c r="D133" s="5" t="s">
        <v>891</v>
      </c>
      <c r="E133" s="5" t="s">
        <v>891</v>
      </c>
      <c r="F133" s="6" t="s">
        <v>788</v>
      </c>
      <c r="G133" s="5" t="s">
        <v>888</v>
      </c>
      <c r="H133" s="5" t="s">
        <v>526</v>
      </c>
      <c r="I133" s="5"/>
      <c r="J133" s="5" t="s">
        <v>889</v>
      </c>
      <c r="K133" s="5"/>
      <c r="L133" s="5" t="s">
        <v>791</v>
      </c>
      <c r="M133" s="5"/>
      <c r="N133" s="6" t="s">
        <v>513</v>
      </c>
      <c r="O133" s="5" t="s">
        <v>103</v>
      </c>
      <c r="P133" s="5" t="s">
        <v>792</v>
      </c>
      <c r="Q133" s="5" t="n">
        <v>1</v>
      </c>
      <c r="R133" s="5" t="n">
        <v>1</v>
      </c>
      <c r="S133" s="5" t="s">
        <v>103</v>
      </c>
      <c r="T133" s="7" t="s">
        <v>197</v>
      </c>
      <c r="U133" s="5" t="n">
        <v>2</v>
      </c>
      <c r="V133" s="6" t="s">
        <v>537</v>
      </c>
      <c r="W133" s="5" t="s">
        <v>813</v>
      </c>
      <c r="X133" s="6" t="s">
        <v>892</v>
      </c>
    </row>
    <row r="134" customFormat="false" ht="35.05" hidden="false" customHeight="false" outlineLevel="0" collapsed="false">
      <c r="A134" s="5" t="s">
        <v>893</v>
      </c>
      <c r="B134" s="5" t="s">
        <v>785</v>
      </c>
      <c r="C134" s="5" t="s">
        <v>786</v>
      </c>
      <c r="D134" s="5" t="s">
        <v>894</v>
      </c>
      <c r="E134" s="5" t="s">
        <v>894</v>
      </c>
      <c r="F134" s="6" t="s">
        <v>788</v>
      </c>
      <c r="G134" s="5" t="s">
        <v>888</v>
      </c>
      <c r="H134" s="5" t="s">
        <v>526</v>
      </c>
      <c r="I134" s="5"/>
      <c r="J134" s="5" t="s">
        <v>895</v>
      </c>
      <c r="K134" s="5"/>
      <c r="L134" s="5" t="s">
        <v>791</v>
      </c>
      <c r="M134" s="5"/>
      <c r="N134" s="6" t="s">
        <v>513</v>
      </c>
      <c r="O134" s="5" t="s">
        <v>103</v>
      </c>
      <c r="P134" s="5" t="s">
        <v>792</v>
      </c>
      <c r="Q134" s="5" t="n">
        <v>1</v>
      </c>
      <c r="R134" s="5" t="n">
        <v>1</v>
      </c>
      <c r="S134" s="5" t="s">
        <v>103</v>
      </c>
      <c r="T134" s="7" t="s">
        <v>197</v>
      </c>
      <c r="U134" s="5" t="n">
        <v>2</v>
      </c>
      <c r="V134" s="6" t="s">
        <v>530</v>
      </c>
      <c r="W134" s="5" t="s">
        <v>807</v>
      </c>
      <c r="X134" s="6" t="s">
        <v>896</v>
      </c>
    </row>
    <row r="135" customFormat="false" ht="35.05" hidden="false" customHeight="false" outlineLevel="0" collapsed="false">
      <c r="A135" s="5" t="s">
        <v>897</v>
      </c>
      <c r="B135" s="5" t="s">
        <v>785</v>
      </c>
      <c r="C135" s="5" t="s">
        <v>786</v>
      </c>
      <c r="D135" s="5" t="s">
        <v>898</v>
      </c>
      <c r="E135" s="5" t="s">
        <v>898</v>
      </c>
      <c r="F135" s="6" t="s">
        <v>788</v>
      </c>
      <c r="G135" s="5" t="s">
        <v>789</v>
      </c>
      <c r="H135" s="5" t="s">
        <v>790</v>
      </c>
      <c r="I135" s="5"/>
      <c r="J135" s="5" t="s">
        <v>750</v>
      </c>
      <c r="K135" s="5"/>
      <c r="L135" s="5" t="s">
        <v>791</v>
      </c>
      <c r="M135" s="5"/>
      <c r="N135" s="6" t="s">
        <v>513</v>
      </c>
      <c r="O135" s="5" t="s">
        <v>103</v>
      </c>
      <c r="P135" s="5" t="s">
        <v>792</v>
      </c>
      <c r="Q135" s="5" t="n">
        <v>1</v>
      </c>
      <c r="R135" s="5" t="n">
        <v>1</v>
      </c>
      <c r="S135" s="5" t="s">
        <v>103</v>
      </c>
      <c r="T135" s="7" t="s">
        <v>197</v>
      </c>
      <c r="U135" s="5" t="n">
        <v>3</v>
      </c>
      <c r="V135" s="6" t="s">
        <v>899</v>
      </c>
      <c r="W135" s="5" t="s">
        <v>794</v>
      </c>
      <c r="X135" s="6" t="s">
        <v>900</v>
      </c>
    </row>
    <row r="136" customFormat="false" ht="23.85" hidden="false" customHeight="false" outlineLevel="0" collapsed="false">
      <c r="A136" s="5" t="s">
        <v>901</v>
      </c>
      <c r="B136" s="5" t="s">
        <v>785</v>
      </c>
      <c r="C136" s="5" t="s">
        <v>786</v>
      </c>
      <c r="D136" s="5" t="s">
        <v>902</v>
      </c>
      <c r="E136" s="5" t="s">
        <v>902</v>
      </c>
      <c r="F136" s="6" t="s">
        <v>788</v>
      </c>
      <c r="G136" s="5" t="s">
        <v>903</v>
      </c>
      <c r="H136" s="5" t="s">
        <v>904</v>
      </c>
      <c r="I136" s="5"/>
      <c r="J136" s="5" t="s">
        <v>905</v>
      </c>
      <c r="K136" s="5"/>
      <c r="L136" s="5" t="s">
        <v>791</v>
      </c>
      <c r="M136" s="5"/>
      <c r="N136" s="6" t="s">
        <v>513</v>
      </c>
      <c r="O136" s="5" t="s">
        <v>103</v>
      </c>
      <c r="P136" s="5" t="s">
        <v>792</v>
      </c>
      <c r="Q136" s="5" t="n">
        <v>1</v>
      </c>
      <c r="R136" s="5" t="n">
        <v>1</v>
      </c>
      <c r="S136" s="5" t="s">
        <v>103</v>
      </c>
      <c r="T136" s="7" t="s">
        <v>197</v>
      </c>
      <c r="U136" s="5" t="n">
        <v>2</v>
      </c>
      <c r="V136" s="6" t="s">
        <v>551</v>
      </c>
      <c r="W136" s="5" t="s">
        <v>807</v>
      </c>
      <c r="X136" s="6" t="s">
        <v>906</v>
      </c>
    </row>
    <row r="137" customFormat="false" ht="23.85" hidden="false" customHeight="false" outlineLevel="0" collapsed="false">
      <c r="A137" s="5" t="s">
        <v>907</v>
      </c>
      <c r="B137" s="5" t="s">
        <v>785</v>
      </c>
      <c r="C137" s="5" t="s">
        <v>786</v>
      </c>
      <c r="D137" s="5" t="s">
        <v>908</v>
      </c>
      <c r="E137" s="5" t="s">
        <v>908</v>
      </c>
      <c r="F137" s="6" t="s">
        <v>788</v>
      </c>
      <c r="G137" s="5" t="s">
        <v>903</v>
      </c>
      <c r="H137" s="5" t="s">
        <v>904</v>
      </c>
      <c r="I137" s="5"/>
      <c r="J137" s="5" t="s">
        <v>909</v>
      </c>
      <c r="K137" s="5"/>
      <c r="L137" s="5" t="s">
        <v>791</v>
      </c>
      <c r="M137" s="5"/>
      <c r="N137" s="6" t="s">
        <v>513</v>
      </c>
      <c r="O137" s="5" t="s">
        <v>103</v>
      </c>
      <c r="P137" s="5" t="s">
        <v>792</v>
      </c>
      <c r="Q137" s="5" t="n">
        <v>1</v>
      </c>
      <c r="R137" s="5" t="n">
        <v>1</v>
      </c>
      <c r="S137" s="5" t="s">
        <v>103</v>
      </c>
      <c r="T137" s="7" t="s">
        <v>197</v>
      </c>
      <c r="U137" s="5" t="n">
        <v>2</v>
      </c>
      <c r="V137" s="6" t="s">
        <v>546</v>
      </c>
      <c r="W137" s="5" t="s">
        <v>807</v>
      </c>
      <c r="X137" s="6" t="s">
        <v>823</v>
      </c>
    </row>
    <row r="138" customFormat="false" ht="35.05" hidden="false" customHeight="false" outlineLevel="0" collapsed="false">
      <c r="A138" s="5" t="s">
        <v>910</v>
      </c>
      <c r="B138" s="5" t="s">
        <v>785</v>
      </c>
      <c r="C138" s="5" t="s">
        <v>786</v>
      </c>
      <c r="D138" s="5" t="s">
        <v>911</v>
      </c>
      <c r="E138" s="5" t="s">
        <v>911</v>
      </c>
      <c r="F138" s="6" t="s">
        <v>788</v>
      </c>
      <c r="G138" s="5" t="s">
        <v>912</v>
      </c>
      <c r="H138" s="5" t="s">
        <v>913</v>
      </c>
      <c r="I138" s="5"/>
      <c r="J138" s="5" t="s">
        <v>914</v>
      </c>
      <c r="K138" s="5"/>
      <c r="L138" s="5" t="s">
        <v>791</v>
      </c>
      <c r="M138" s="5"/>
      <c r="N138" s="6" t="s">
        <v>513</v>
      </c>
      <c r="O138" s="5" t="s">
        <v>103</v>
      </c>
      <c r="P138" s="5" t="s">
        <v>792</v>
      </c>
      <c r="Q138" s="5" t="n">
        <v>1</v>
      </c>
      <c r="R138" s="5" t="n">
        <v>1</v>
      </c>
      <c r="S138" s="5" t="s">
        <v>103</v>
      </c>
      <c r="T138" s="7" t="s">
        <v>197</v>
      </c>
      <c r="U138" s="5" t="n">
        <v>2</v>
      </c>
      <c r="V138" s="6" t="s">
        <v>558</v>
      </c>
      <c r="W138" s="5" t="s">
        <v>807</v>
      </c>
      <c r="X138" s="6" t="s">
        <v>915</v>
      </c>
    </row>
    <row r="139" customFormat="false" ht="35.05" hidden="false" customHeight="false" outlineLevel="0" collapsed="false">
      <c r="A139" s="5" t="s">
        <v>916</v>
      </c>
      <c r="B139" s="5" t="s">
        <v>785</v>
      </c>
      <c r="C139" s="5" t="s">
        <v>786</v>
      </c>
      <c r="D139" s="5" t="s">
        <v>917</v>
      </c>
      <c r="E139" s="5" t="s">
        <v>917</v>
      </c>
      <c r="F139" s="6" t="s">
        <v>788</v>
      </c>
      <c r="G139" s="5" t="s">
        <v>912</v>
      </c>
      <c r="H139" s="5" t="s">
        <v>913</v>
      </c>
      <c r="I139" s="5"/>
      <c r="J139" s="5" t="s">
        <v>918</v>
      </c>
      <c r="K139" s="5"/>
      <c r="L139" s="5" t="s">
        <v>791</v>
      </c>
      <c r="M139" s="5"/>
      <c r="N139" s="6" t="s">
        <v>513</v>
      </c>
      <c r="O139" s="5" t="s">
        <v>103</v>
      </c>
      <c r="P139" s="5" t="s">
        <v>792</v>
      </c>
      <c r="Q139" s="5" t="n">
        <v>1</v>
      </c>
      <c r="R139" s="5" t="n">
        <v>1</v>
      </c>
      <c r="S139" s="5" t="s">
        <v>103</v>
      </c>
      <c r="T139" s="7" t="s">
        <v>197</v>
      </c>
      <c r="U139" s="5" t="n">
        <v>2</v>
      </c>
      <c r="V139" s="6" t="s">
        <v>563</v>
      </c>
      <c r="W139" s="5" t="s">
        <v>807</v>
      </c>
      <c r="X139" s="6" t="s">
        <v>919</v>
      </c>
    </row>
    <row r="140" customFormat="false" ht="35.05" hidden="false" customHeight="false" outlineLevel="0" collapsed="false">
      <c r="A140" s="5" t="s">
        <v>920</v>
      </c>
      <c r="B140" s="5" t="s">
        <v>785</v>
      </c>
      <c r="C140" s="5" t="s">
        <v>786</v>
      </c>
      <c r="D140" s="5" t="s">
        <v>921</v>
      </c>
      <c r="E140" s="5" t="s">
        <v>921</v>
      </c>
      <c r="F140" s="6" t="s">
        <v>788</v>
      </c>
      <c r="G140" s="5" t="s">
        <v>789</v>
      </c>
      <c r="H140" s="5" t="s">
        <v>790</v>
      </c>
      <c r="I140" s="5"/>
      <c r="J140" s="5" t="s">
        <v>781</v>
      </c>
      <c r="K140" s="5"/>
      <c r="L140" s="5" t="s">
        <v>791</v>
      </c>
      <c r="M140" s="5"/>
      <c r="N140" s="6" t="s">
        <v>513</v>
      </c>
      <c r="O140" s="5" t="s">
        <v>103</v>
      </c>
      <c r="P140" s="5" t="s">
        <v>792</v>
      </c>
      <c r="Q140" s="5" t="n">
        <v>1</v>
      </c>
      <c r="R140" s="5" t="n">
        <v>1</v>
      </c>
      <c r="S140" s="5" t="s">
        <v>103</v>
      </c>
      <c r="T140" s="7" t="s">
        <v>197</v>
      </c>
      <c r="U140" s="5" t="n">
        <v>3</v>
      </c>
      <c r="V140" s="6" t="s">
        <v>922</v>
      </c>
      <c r="W140" s="5" t="s">
        <v>794</v>
      </c>
      <c r="X140" s="6" t="s">
        <v>795</v>
      </c>
    </row>
    <row r="141" customFormat="false" ht="57.45" hidden="false" customHeight="false" outlineLevel="0" collapsed="false">
      <c r="A141" s="5" t="s">
        <v>923</v>
      </c>
      <c r="B141" s="5" t="s">
        <v>785</v>
      </c>
      <c r="C141" s="5" t="s">
        <v>786</v>
      </c>
      <c r="D141" s="5" t="s">
        <v>924</v>
      </c>
      <c r="E141" s="5" t="s">
        <v>924</v>
      </c>
      <c r="F141" s="6" t="s">
        <v>788</v>
      </c>
      <c r="G141" s="5" t="s">
        <v>925</v>
      </c>
      <c r="H141" s="5" t="s">
        <v>926</v>
      </c>
      <c r="I141" s="5"/>
      <c r="J141" s="5" t="s">
        <v>574</v>
      </c>
      <c r="K141" s="5"/>
      <c r="L141" s="5" t="s">
        <v>791</v>
      </c>
      <c r="M141" s="5"/>
      <c r="N141" s="6" t="s">
        <v>513</v>
      </c>
      <c r="O141" s="5" t="s">
        <v>103</v>
      </c>
      <c r="P141" s="5" t="s">
        <v>792</v>
      </c>
      <c r="Q141" s="5" t="n">
        <v>1</v>
      </c>
      <c r="R141" s="5" t="n">
        <v>1</v>
      </c>
      <c r="S141" s="5" t="s">
        <v>103</v>
      </c>
      <c r="T141" s="7" t="s">
        <v>197</v>
      </c>
      <c r="U141" s="5" t="n">
        <v>2</v>
      </c>
      <c r="V141" s="6" t="s">
        <v>575</v>
      </c>
      <c r="W141" s="5" t="s">
        <v>807</v>
      </c>
      <c r="X141" s="6" t="s">
        <v>927</v>
      </c>
    </row>
    <row r="142" customFormat="false" ht="23.85" hidden="false" customHeight="false" outlineLevel="0" collapsed="false">
      <c r="A142" s="5" t="s">
        <v>928</v>
      </c>
      <c r="B142" s="5" t="s">
        <v>785</v>
      </c>
      <c r="C142" s="5" t="s">
        <v>786</v>
      </c>
      <c r="D142" s="5" t="s">
        <v>929</v>
      </c>
      <c r="E142" s="5" t="s">
        <v>929</v>
      </c>
      <c r="F142" s="6" t="s">
        <v>788</v>
      </c>
      <c r="G142" s="5" t="s">
        <v>925</v>
      </c>
      <c r="H142" s="5" t="s">
        <v>926</v>
      </c>
      <c r="I142" s="5"/>
      <c r="J142" s="5" t="s">
        <v>930</v>
      </c>
      <c r="K142" s="5"/>
      <c r="L142" s="5" t="s">
        <v>791</v>
      </c>
      <c r="M142" s="5"/>
      <c r="N142" s="6" t="s">
        <v>513</v>
      </c>
      <c r="O142" s="5" t="s">
        <v>103</v>
      </c>
      <c r="P142" s="5" t="s">
        <v>792</v>
      </c>
      <c r="Q142" s="5" t="n">
        <v>1</v>
      </c>
      <c r="R142" s="5" t="n">
        <v>1</v>
      </c>
      <c r="S142" s="5" t="s">
        <v>103</v>
      </c>
      <c r="T142" s="7" t="s">
        <v>197</v>
      </c>
      <c r="U142" s="5" t="n">
        <v>2</v>
      </c>
      <c r="V142" s="6" t="s">
        <v>570</v>
      </c>
      <c r="W142" s="5" t="s">
        <v>807</v>
      </c>
      <c r="X142" s="6" t="s">
        <v>931</v>
      </c>
    </row>
    <row r="143" customFormat="false" ht="35.05" hidden="false" customHeight="false" outlineLevel="0" collapsed="false">
      <c r="A143" s="5" t="s">
        <v>932</v>
      </c>
      <c r="B143" s="5" t="s">
        <v>785</v>
      </c>
      <c r="C143" s="5" t="s">
        <v>786</v>
      </c>
      <c r="D143" s="5" t="s">
        <v>933</v>
      </c>
      <c r="E143" s="5" t="s">
        <v>933</v>
      </c>
      <c r="F143" s="6" t="s">
        <v>788</v>
      </c>
      <c r="G143" s="5" t="s">
        <v>789</v>
      </c>
      <c r="H143" s="5" t="s">
        <v>790</v>
      </c>
      <c r="I143" s="5"/>
      <c r="J143" s="5" t="s">
        <v>755</v>
      </c>
      <c r="K143" s="5"/>
      <c r="L143" s="5" t="s">
        <v>791</v>
      </c>
      <c r="M143" s="5"/>
      <c r="N143" s="6" t="s">
        <v>513</v>
      </c>
      <c r="O143" s="5" t="s">
        <v>103</v>
      </c>
      <c r="P143" s="5" t="s">
        <v>792</v>
      </c>
      <c r="Q143" s="5" t="n">
        <v>1</v>
      </c>
      <c r="R143" s="5" t="n">
        <v>1</v>
      </c>
      <c r="S143" s="5" t="s">
        <v>103</v>
      </c>
      <c r="T143" s="7" t="s">
        <v>197</v>
      </c>
      <c r="U143" s="5" t="n">
        <v>3</v>
      </c>
      <c r="V143" s="6" t="s">
        <v>934</v>
      </c>
      <c r="W143" s="5" t="s">
        <v>794</v>
      </c>
      <c r="X143" s="6" t="s">
        <v>795</v>
      </c>
    </row>
    <row r="144" customFormat="false" ht="23.85" hidden="false" customHeight="false" outlineLevel="0" collapsed="false">
      <c r="A144" s="5" t="s">
        <v>935</v>
      </c>
      <c r="B144" s="5" t="s">
        <v>785</v>
      </c>
      <c r="C144" s="5" t="s">
        <v>786</v>
      </c>
      <c r="D144" s="5" t="s">
        <v>936</v>
      </c>
      <c r="E144" s="5" t="s">
        <v>936</v>
      </c>
      <c r="F144" s="6" t="s">
        <v>788</v>
      </c>
      <c r="G144" s="5" t="s">
        <v>937</v>
      </c>
      <c r="H144" s="5" t="s">
        <v>938</v>
      </c>
      <c r="I144" s="5"/>
      <c r="J144" s="5" t="s">
        <v>588</v>
      </c>
      <c r="K144" s="5"/>
      <c r="L144" s="5" t="s">
        <v>791</v>
      </c>
      <c r="M144" s="5"/>
      <c r="N144" s="6" t="s">
        <v>513</v>
      </c>
      <c r="O144" s="5" t="s">
        <v>103</v>
      </c>
      <c r="P144" s="5" t="s">
        <v>792</v>
      </c>
      <c r="Q144" s="5" t="n">
        <v>1</v>
      </c>
      <c r="R144" s="5" t="n">
        <v>1</v>
      </c>
      <c r="S144" s="5" t="s">
        <v>103</v>
      </c>
      <c r="T144" s="7" t="s">
        <v>197</v>
      </c>
      <c r="U144" s="5" t="n">
        <v>2</v>
      </c>
      <c r="V144" s="6" t="s">
        <v>590</v>
      </c>
      <c r="W144" s="5" t="s">
        <v>807</v>
      </c>
      <c r="X144" s="6" t="s">
        <v>939</v>
      </c>
    </row>
    <row r="145" customFormat="false" ht="46.25" hidden="false" customHeight="false" outlineLevel="0" collapsed="false">
      <c r="A145" s="5" t="s">
        <v>940</v>
      </c>
      <c r="B145" s="5" t="s">
        <v>785</v>
      </c>
      <c r="C145" s="5" t="s">
        <v>786</v>
      </c>
      <c r="D145" s="5" t="s">
        <v>941</v>
      </c>
      <c r="E145" s="5" t="s">
        <v>942</v>
      </c>
      <c r="F145" s="6" t="s">
        <v>788</v>
      </c>
      <c r="G145" s="5" t="s">
        <v>937</v>
      </c>
      <c r="H145" s="5" t="s">
        <v>938</v>
      </c>
      <c r="I145" s="5"/>
      <c r="J145" s="5" t="s">
        <v>943</v>
      </c>
      <c r="K145" s="5"/>
      <c r="L145" s="5" t="s">
        <v>791</v>
      </c>
      <c r="M145" s="5"/>
      <c r="N145" s="6" t="s">
        <v>513</v>
      </c>
      <c r="O145" s="5" t="s">
        <v>103</v>
      </c>
      <c r="P145" s="5" t="s">
        <v>792</v>
      </c>
      <c r="Q145" s="5" t="n">
        <v>1</v>
      </c>
      <c r="R145" s="5" t="n">
        <v>1</v>
      </c>
      <c r="S145" s="5" t="s">
        <v>103</v>
      </c>
      <c r="T145" s="7" t="s">
        <v>197</v>
      </c>
      <c r="U145" s="5" t="n">
        <v>2</v>
      </c>
      <c r="V145" s="6" t="s">
        <v>584</v>
      </c>
      <c r="W145" s="5" t="s">
        <v>807</v>
      </c>
      <c r="X145" s="6" t="s">
        <v>944</v>
      </c>
    </row>
    <row r="146" customFormat="false" ht="46.25" hidden="false" customHeight="false" outlineLevel="0" collapsed="false">
      <c r="A146" s="5" t="s">
        <v>945</v>
      </c>
      <c r="B146" s="5" t="s">
        <v>785</v>
      </c>
      <c r="C146" s="5" t="s">
        <v>786</v>
      </c>
      <c r="D146" s="5" t="s">
        <v>946</v>
      </c>
      <c r="E146" s="5" t="s">
        <v>946</v>
      </c>
      <c r="F146" s="6" t="s">
        <v>788</v>
      </c>
      <c r="G146" s="5" t="s">
        <v>937</v>
      </c>
      <c r="H146" s="5" t="s">
        <v>938</v>
      </c>
      <c r="I146" s="5"/>
      <c r="J146" s="5" t="s">
        <v>594</v>
      </c>
      <c r="K146" s="5"/>
      <c r="L146" s="5" t="s">
        <v>791</v>
      </c>
      <c r="M146" s="5"/>
      <c r="N146" s="6" t="s">
        <v>513</v>
      </c>
      <c r="O146" s="5" t="s">
        <v>103</v>
      </c>
      <c r="P146" s="5" t="s">
        <v>792</v>
      </c>
      <c r="Q146" s="5" t="n">
        <v>1</v>
      </c>
      <c r="R146" s="5" t="n">
        <v>1</v>
      </c>
      <c r="S146" s="5" t="s">
        <v>103</v>
      </c>
      <c r="T146" s="7" t="s">
        <v>197</v>
      </c>
      <c r="U146" s="5" t="n">
        <v>2</v>
      </c>
      <c r="V146" s="6" t="s">
        <v>596</v>
      </c>
      <c r="W146" s="5" t="s">
        <v>807</v>
      </c>
      <c r="X146" s="6" t="s">
        <v>947</v>
      </c>
    </row>
    <row r="147" customFormat="false" ht="35.05" hidden="false" customHeight="false" outlineLevel="0" collapsed="false">
      <c r="A147" s="5" t="s">
        <v>948</v>
      </c>
      <c r="B147" s="5" t="s">
        <v>785</v>
      </c>
      <c r="C147" s="5" t="s">
        <v>786</v>
      </c>
      <c r="D147" s="5" t="s">
        <v>949</v>
      </c>
      <c r="E147" s="5" t="s">
        <v>949</v>
      </c>
      <c r="F147" s="6" t="s">
        <v>788</v>
      </c>
      <c r="G147" s="5" t="s">
        <v>789</v>
      </c>
      <c r="H147" s="5" t="s">
        <v>790</v>
      </c>
      <c r="I147" s="5"/>
      <c r="J147" s="5" t="s">
        <v>760</v>
      </c>
      <c r="K147" s="5"/>
      <c r="L147" s="5" t="s">
        <v>791</v>
      </c>
      <c r="M147" s="5"/>
      <c r="N147" s="6" t="s">
        <v>513</v>
      </c>
      <c r="O147" s="5" t="s">
        <v>103</v>
      </c>
      <c r="P147" s="5" t="s">
        <v>792</v>
      </c>
      <c r="Q147" s="5" t="n">
        <v>1</v>
      </c>
      <c r="R147" s="5" t="n">
        <v>1</v>
      </c>
      <c r="S147" s="5" t="s">
        <v>103</v>
      </c>
      <c r="T147" s="7" t="s">
        <v>197</v>
      </c>
      <c r="U147" s="5" t="n">
        <v>3</v>
      </c>
      <c r="V147" s="6" t="s">
        <v>950</v>
      </c>
      <c r="W147" s="5" t="s">
        <v>794</v>
      </c>
      <c r="X147" s="6" t="s">
        <v>795</v>
      </c>
    </row>
    <row r="148" customFormat="false" ht="35.05" hidden="false" customHeight="false" outlineLevel="0" collapsed="false">
      <c r="A148" s="5" t="s">
        <v>951</v>
      </c>
      <c r="B148" s="5" t="s">
        <v>785</v>
      </c>
      <c r="C148" s="5" t="s">
        <v>786</v>
      </c>
      <c r="D148" s="5" t="s">
        <v>952</v>
      </c>
      <c r="E148" s="5" t="s">
        <v>952</v>
      </c>
      <c r="F148" s="6" t="s">
        <v>788</v>
      </c>
      <c r="G148" s="5" t="s">
        <v>953</v>
      </c>
      <c r="H148" s="5" t="s">
        <v>601</v>
      </c>
      <c r="I148" s="5"/>
      <c r="J148" s="5" t="s">
        <v>954</v>
      </c>
      <c r="K148" s="5"/>
      <c r="L148" s="5" t="s">
        <v>791</v>
      </c>
      <c r="M148" s="5"/>
      <c r="N148" s="6" t="s">
        <v>513</v>
      </c>
      <c r="O148" s="5" t="s">
        <v>103</v>
      </c>
      <c r="P148" s="5" t="s">
        <v>792</v>
      </c>
      <c r="Q148" s="5" t="n">
        <v>1</v>
      </c>
      <c r="R148" s="5" t="n">
        <v>1</v>
      </c>
      <c r="S148" s="5" t="s">
        <v>103</v>
      </c>
      <c r="T148" s="7" t="s">
        <v>197</v>
      </c>
      <c r="U148" s="5" t="n">
        <v>2</v>
      </c>
      <c r="V148" s="6" t="s">
        <v>604</v>
      </c>
      <c r="W148" s="5" t="s">
        <v>794</v>
      </c>
      <c r="X148" s="6" t="s">
        <v>955</v>
      </c>
    </row>
    <row r="149" customFormat="false" ht="46.25" hidden="false" customHeight="false" outlineLevel="0" collapsed="false">
      <c r="A149" s="5" t="s">
        <v>956</v>
      </c>
      <c r="B149" s="5" t="s">
        <v>785</v>
      </c>
      <c r="C149" s="5" t="s">
        <v>786</v>
      </c>
      <c r="D149" s="5" t="s">
        <v>957</v>
      </c>
      <c r="E149" s="5" t="s">
        <v>957</v>
      </c>
      <c r="F149" s="6" t="s">
        <v>788</v>
      </c>
      <c r="G149" s="5" t="s">
        <v>953</v>
      </c>
      <c r="H149" s="5" t="s">
        <v>601</v>
      </c>
      <c r="I149" s="5"/>
      <c r="J149" s="5" t="s">
        <v>958</v>
      </c>
      <c r="K149" s="5"/>
      <c r="L149" s="5" t="s">
        <v>791</v>
      </c>
      <c r="M149" s="5"/>
      <c r="N149" s="6" t="s">
        <v>513</v>
      </c>
      <c r="O149" s="5" t="s">
        <v>103</v>
      </c>
      <c r="P149" s="5" t="s">
        <v>792</v>
      </c>
      <c r="Q149" s="5" t="n">
        <v>1</v>
      </c>
      <c r="R149" s="5" t="n">
        <v>1</v>
      </c>
      <c r="S149" s="5" t="s">
        <v>103</v>
      </c>
      <c r="T149" s="7" t="s">
        <v>197</v>
      </c>
      <c r="U149" s="5" t="n">
        <v>2</v>
      </c>
      <c r="V149" s="6" t="s">
        <v>609</v>
      </c>
      <c r="W149" s="5" t="s">
        <v>794</v>
      </c>
      <c r="X149" s="6" t="s">
        <v>959</v>
      </c>
    </row>
    <row r="150" customFormat="false" ht="57.45" hidden="false" customHeight="false" outlineLevel="0" collapsed="false">
      <c r="A150" s="5" t="s">
        <v>960</v>
      </c>
      <c r="B150" s="5" t="s">
        <v>785</v>
      </c>
      <c r="C150" s="5" t="s">
        <v>786</v>
      </c>
      <c r="D150" s="5" t="s">
        <v>961</v>
      </c>
      <c r="E150" s="5" t="s">
        <v>962</v>
      </c>
      <c r="F150" s="6" t="s">
        <v>788</v>
      </c>
      <c r="G150" s="5" t="s">
        <v>789</v>
      </c>
      <c r="H150" s="5" t="s">
        <v>790</v>
      </c>
      <c r="I150" s="5"/>
      <c r="J150" s="5" t="s">
        <v>745</v>
      </c>
      <c r="K150" s="5"/>
      <c r="L150" s="5" t="s">
        <v>791</v>
      </c>
      <c r="M150" s="5"/>
      <c r="N150" s="6" t="s">
        <v>513</v>
      </c>
      <c r="O150" s="5" t="s">
        <v>103</v>
      </c>
      <c r="P150" s="5" t="s">
        <v>792</v>
      </c>
      <c r="Q150" s="5" t="n">
        <v>1</v>
      </c>
      <c r="R150" s="5" t="n">
        <v>1</v>
      </c>
      <c r="S150" s="5" t="s">
        <v>103</v>
      </c>
      <c r="T150" s="7" t="s">
        <v>197</v>
      </c>
      <c r="U150" s="5" t="n">
        <v>1</v>
      </c>
      <c r="V150" s="6" t="s">
        <v>963</v>
      </c>
      <c r="W150" s="5" t="s">
        <v>794</v>
      </c>
      <c r="X150" s="6" t="s">
        <v>964</v>
      </c>
    </row>
    <row r="151" customFormat="false" ht="57.45" hidden="false" customHeight="false" outlineLevel="0" collapsed="false">
      <c r="A151" s="5" t="s">
        <v>965</v>
      </c>
      <c r="B151" s="5" t="s">
        <v>785</v>
      </c>
      <c r="C151" s="5" t="s">
        <v>786</v>
      </c>
      <c r="D151" s="5" t="s">
        <v>962</v>
      </c>
      <c r="E151" s="5" t="s">
        <v>962</v>
      </c>
      <c r="F151" s="6" t="s">
        <v>788</v>
      </c>
      <c r="G151" s="5" t="s">
        <v>789</v>
      </c>
      <c r="H151" s="5" t="s">
        <v>790</v>
      </c>
      <c r="I151" s="5"/>
      <c r="J151" s="5" t="s">
        <v>745</v>
      </c>
      <c r="K151" s="5"/>
      <c r="L151" s="5" t="s">
        <v>791</v>
      </c>
      <c r="M151" s="5"/>
      <c r="N151" s="6" t="s">
        <v>513</v>
      </c>
      <c r="O151" s="5" t="s">
        <v>103</v>
      </c>
      <c r="P151" s="5" t="s">
        <v>792</v>
      </c>
      <c r="Q151" s="5" t="n">
        <v>1</v>
      </c>
      <c r="R151" s="5" t="n">
        <v>1</v>
      </c>
      <c r="S151" s="5" t="s">
        <v>103</v>
      </c>
      <c r="T151" s="7" t="s">
        <v>197</v>
      </c>
      <c r="U151" s="5" t="n">
        <v>2</v>
      </c>
      <c r="V151" s="6" t="s">
        <v>746</v>
      </c>
      <c r="W151" s="5" t="s">
        <v>794</v>
      </c>
      <c r="X151" s="6" t="s">
        <v>966</v>
      </c>
    </row>
    <row r="152" customFormat="false" ht="35.05" hidden="false" customHeight="false" outlineLevel="0" collapsed="false">
      <c r="A152" s="5" t="s">
        <v>967</v>
      </c>
      <c r="B152" s="5" t="s">
        <v>785</v>
      </c>
      <c r="C152" s="5" t="s">
        <v>786</v>
      </c>
      <c r="D152" s="5" t="s">
        <v>968</v>
      </c>
      <c r="E152" s="5" t="s">
        <v>968</v>
      </c>
      <c r="F152" s="6" t="s">
        <v>788</v>
      </c>
      <c r="G152" s="5" t="s">
        <v>789</v>
      </c>
      <c r="H152" s="5" t="s">
        <v>790</v>
      </c>
      <c r="I152" s="5"/>
      <c r="J152" s="5" t="s">
        <v>765</v>
      </c>
      <c r="K152" s="5"/>
      <c r="L152" s="5" t="s">
        <v>791</v>
      </c>
      <c r="M152" s="5"/>
      <c r="N152" s="6" t="s">
        <v>513</v>
      </c>
      <c r="O152" s="5" t="s">
        <v>103</v>
      </c>
      <c r="P152" s="5" t="s">
        <v>792</v>
      </c>
      <c r="Q152" s="5" t="n">
        <v>1</v>
      </c>
      <c r="R152" s="5" t="n">
        <v>1</v>
      </c>
      <c r="S152" s="5" t="s">
        <v>103</v>
      </c>
      <c r="T152" s="7" t="s">
        <v>197</v>
      </c>
      <c r="U152" s="5" t="n">
        <v>3</v>
      </c>
      <c r="V152" s="6" t="s">
        <v>969</v>
      </c>
      <c r="W152" s="5" t="s">
        <v>794</v>
      </c>
      <c r="X152" s="6" t="s">
        <v>795</v>
      </c>
    </row>
    <row r="153" customFormat="false" ht="35.05" hidden="false" customHeight="false" outlineLevel="0" collapsed="false">
      <c r="A153" s="5" t="s">
        <v>970</v>
      </c>
      <c r="B153" s="5" t="s">
        <v>785</v>
      </c>
      <c r="C153" s="5" t="s">
        <v>786</v>
      </c>
      <c r="D153" s="5" t="s">
        <v>971</v>
      </c>
      <c r="E153" s="5" t="s">
        <v>971</v>
      </c>
      <c r="F153" s="6" t="s">
        <v>788</v>
      </c>
      <c r="G153" s="5" t="s">
        <v>972</v>
      </c>
      <c r="H153" s="5" t="s">
        <v>973</v>
      </c>
      <c r="I153" s="5"/>
      <c r="J153" s="5" t="s">
        <v>615</v>
      </c>
      <c r="K153" s="5"/>
      <c r="L153" s="5" t="s">
        <v>791</v>
      </c>
      <c r="M153" s="5"/>
      <c r="N153" s="6" t="s">
        <v>513</v>
      </c>
      <c r="O153" s="5" t="s">
        <v>103</v>
      </c>
      <c r="P153" s="5" t="s">
        <v>792</v>
      </c>
      <c r="Q153" s="5" t="n">
        <v>1</v>
      </c>
      <c r="R153" s="5" t="n">
        <v>1</v>
      </c>
      <c r="S153" s="5" t="s">
        <v>103</v>
      </c>
      <c r="T153" s="7" t="s">
        <v>197</v>
      </c>
      <c r="U153" s="5" t="n">
        <v>2</v>
      </c>
      <c r="V153" s="6" t="s">
        <v>616</v>
      </c>
      <c r="W153" s="5" t="s">
        <v>794</v>
      </c>
      <c r="X153" s="6" t="s">
        <v>974</v>
      </c>
    </row>
    <row r="154" customFormat="false" ht="35.05" hidden="false" customHeight="false" outlineLevel="0" collapsed="false">
      <c r="A154" s="5" t="s">
        <v>975</v>
      </c>
      <c r="B154" s="5" t="s">
        <v>785</v>
      </c>
      <c r="C154" s="5" t="s">
        <v>786</v>
      </c>
      <c r="D154" s="5" t="s">
        <v>976</v>
      </c>
      <c r="E154" s="5" t="s">
        <v>976</v>
      </c>
      <c r="F154" s="6" t="s">
        <v>788</v>
      </c>
      <c r="G154" s="5" t="s">
        <v>977</v>
      </c>
      <c r="H154" s="5" t="s">
        <v>978</v>
      </c>
      <c r="I154" s="5"/>
      <c r="J154" s="5" t="s">
        <v>622</v>
      </c>
      <c r="K154" s="5"/>
      <c r="L154" s="5" t="s">
        <v>791</v>
      </c>
      <c r="M154" s="5"/>
      <c r="N154" s="6" t="s">
        <v>513</v>
      </c>
      <c r="O154" s="5" t="s">
        <v>103</v>
      </c>
      <c r="P154" s="5" t="s">
        <v>792</v>
      </c>
      <c r="Q154" s="5" t="n">
        <v>1</v>
      </c>
      <c r="R154" s="5" t="n">
        <v>1</v>
      </c>
      <c r="S154" s="5" t="s">
        <v>103</v>
      </c>
      <c r="T154" s="7" t="s">
        <v>197</v>
      </c>
      <c r="U154" s="5" t="n">
        <v>3</v>
      </c>
      <c r="V154" s="6" t="s">
        <v>623</v>
      </c>
      <c r="W154" s="5" t="s">
        <v>794</v>
      </c>
      <c r="X154" s="6" t="s">
        <v>979</v>
      </c>
    </row>
    <row r="155" customFormat="false" ht="23.85" hidden="false" customHeight="false" outlineLevel="0" collapsed="false">
      <c r="A155" s="5" t="s">
        <v>980</v>
      </c>
      <c r="B155" s="5" t="s">
        <v>785</v>
      </c>
      <c r="C155" s="5" t="s">
        <v>786</v>
      </c>
      <c r="D155" s="5" t="s">
        <v>981</v>
      </c>
      <c r="E155" s="5" t="s">
        <v>981</v>
      </c>
      <c r="F155" s="6" t="s">
        <v>788</v>
      </c>
      <c r="G155" s="5" t="s">
        <v>977</v>
      </c>
      <c r="H155" s="5" t="s">
        <v>978</v>
      </c>
      <c r="I155" s="5"/>
      <c r="J155" s="5" t="s">
        <v>628</v>
      </c>
      <c r="K155" s="5"/>
      <c r="L155" s="5" t="s">
        <v>791</v>
      </c>
      <c r="M155" s="5"/>
      <c r="N155" s="6" t="s">
        <v>513</v>
      </c>
      <c r="O155" s="5" t="s">
        <v>103</v>
      </c>
      <c r="P155" s="5" t="s">
        <v>792</v>
      </c>
      <c r="Q155" s="5" t="n">
        <v>1</v>
      </c>
      <c r="R155" s="5" t="n">
        <v>1</v>
      </c>
      <c r="S155" s="5" t="s">
        <v>103</v>
      </c>
      <c r="T155" s="7" t="s">
        <v>197</v>
      </c>
      <c r="U155" s="5" t="n">
        <v>2</v>
      </c>
      <c r="V155" s="6" t="s">
        <v>629</v>
      </c>
      <c r="W155" s="5" t="s">
        <v>794</v>
      </c>
      <c r="X155" s="6" t="s">
        <v>982</v>
      </c>
    </row>
    <row r="156" customFormat="false" ht="35.05" hidden="false" customHeight="false" outlineLevel="0" collapsed="false">
      <c r="A156" s="5" t="s">
        <v>983</v>
      </c>
      <c r="B156" s="5" t="s">
        <v>785</v>
      </c>
      <c r="C156" s="5" t="s">
        <v>786</v>
      </c>
      <c r="D156" s="5" t="s">
        <v>984</v>
      </c>
      <c r="E156" s="5" t="s">
        <v>984</v>
      </c>
      <c r="F156" s="6" t="s">
        <v>788</v>
      </c>
      <c r="G156" s="5" t="s">
        <v>977</v>
      </c>
      <c r="H156" s="5" t="s">
        <v>978</v>
      </c>
      <c r="I156" s="5"/>
      <c r="J156" s="5" t="s">
        <v>985</v>
      </c>
      <c r="K156" s="5"/>
      <c r="L156" s="5" t="s">
        <v>791</v>
      </c>
      <c r="M156" s="5"/>
      <c r="N156" s="6" t="s">
        <v>513</v>
      </c>
      <c r="O156" s="5" t="s">
        <v>103</v>
      </c>
      <c r="P156" s="5" t="s">
        <v>792</v>
      </c>
      <c r="Q156" s="5" t="n">
        <v>1</v>
      </c>
      <c r="R156" s="5" t="n">
        <v>1</v>
      </c>
      <c r="S156" s="5" t="s">
        <v>103</v>
      </c>
      <c r="T156" s="7" t="s">
        <v>197</v>
      </c>
      <c r="U156" s="5" t="n">
        <v>2</v>
      </c>
      <c r="V156" s="6" t="s">
        <v>640</v>
      </c>
      <c r="W156" s="5" t="s">
        <v>794</v>
      </c>
      <c r="X156" s="6" t="s">
        <v>986</v>
      </c>
    </row>
    <row r="157" customFormat="false" ht="46.25" hidden="false" customHeight="false" outlineLevel="0" collapsed="false">
      <c r="A157" s="5" t="s">
        <v>987</v>
      </c>
      <c r="B157" s="5" t="s">
        <v>785</v>
      </c>
      <c r="C157" s="5" t="s">
        <v>786</v>
      </c>
      <c r="D157" s="5" t="s">
        <v>988</v>
      </c>
      <c r="E157" s="5" t="s">
        <v>988</v>
      </c>
      <c r="F157" s="6" t="s">
        <v>788</v>
      </c>
      <c r="G157" s="5" t="s">
        <v>977</v>
      </c>
      <c r="H157" s="5" t="s">
        <v>978</v>
      </c>
      <c r="I157" s="5"/>
      <c r="J157" s="5" t="s">
        <v>633</v>
      </c>
      <c r="K157" s="5"/>
      <c r="L157" s="5" t="s">
        <v>791</v>
      </c>
      <c r="M157" s="5"/>
      <c r="N157" s="6" t="s">
        <v>513</v>
      </c>
      <c r="O157" s="5" t="s">
        <v>103</v>
      </c>
      <c r="P157" s="5" t="s">
        <v>792</v>
      </c>
      <c r="Q157" s="5" t="n">
        <v>1</v>
      </c>
      <c r="R157" s="5" t="n">
        <v>1</v>
      </c>
      <c r="S157" s="5" t="s">
        <v>103</v>
      </c>
      <c r="T157" s="7" t="s">
        <v>197</v>
      </c>
      <c r="U157" s="5" t="n">
        <v>2</v>
      </c>
      <c r="V157" s="6" t="s">
        <v>634</v>
      </c>
      <c r="W157" s="5" t="s">
        <v>807</v>
      </c>
      <c r="X157" s="6" t="s">
        <v>989</v>
      </c>
    </row>
    <row r="158" customFormat="false" ht="158.2" hidden="false" customHeight="false" outlineLevel="0" collapsed="false">
      <c r="A158" s="5" t="s">
        <v>990</v>
      </c>
      <c r="B158" s="5" t="s">
        <v>991</v>
      </c>
      <c r="C158" s="5" t="s">
        <v>992</v>
      </c>
      <c r="D158" s="5" t="s">
        <v>993</v>
      </c>
      <c r="E158" s="5"/>
      <c r="F158" s="6" t="s">
        <v>994</v>
      </c>
      <c r="G158" s="5"/>
      <c r="H158" s="5"/>
      <c r="I158" s="5"/>
      <c r="J158" s="5"/>
      <c r="K158" s="5"/>
      <c r="L158" s="5" t="s">
        <v>995</v>
      </c>
      <c r="M158" s="5"/>
      <c r="N158" s="6"/>
      <c r="O158" s="5"/>
      <c r="P158" s="5"/>
      <c r="Q158" s="5" t="n">
        <v>3</v>
      </c>
      <c r="R158" s="5" t="n">
        <v>3</v>
      </c>
      <c r="S158" s="5" t="s">
        <v>103</v>
      </c>
      <c r="T158" s="7" t="s">
        <v>197</v>
      </c>
      <c r="U158" s="5" t="n">
        <v>2</v>
      </c>
      <c r="V158" s="6" t="s">
        <v>492</v>
      </c>
      <c r="W158" s="5" t="s">
        <v>996</v>
      </c>
      <c r="X158" s="6" t="s">
        <v>997</v>
      </c>
    </row>
    <row r="159" customFormat="false" ht="124.6" hidden="false" customHeight="false" outlineLevel="0" collapsed="false">
      <c r="A159" s="5" t="s">
        <v>998</v>
      </c>
      <c r="B159" s="5" t="s">
        <v>991</v>
      </c>
      <c r="C159" s="5" t="s">
        <v>992</v>
      </c>
      <c r="D159" s="5" t="s">
        <v>999</v>
      </c>
      <c r="E159" s="5"/>
      <c r="F159" s="6" t="s">
        <v>994</v>
      </c>
      <c r="G159" s="5"/>
      <c r="H159" s="5"/>
      <c r="I159" s="5"/>
      <c r="J159" s="5"/>
      <c r="K159" s="5"/>
      <c r="L159" s="5" t="s">
        <v>1000</v>
      </c>
      <c r="M159" s="5"/>
      <c r="N159" s="6"/>
      <c r="O159" s="5"/>
      <c r="P159" s="5"/>
      <c r="Q159" s="5" t="n">
        <v>3</v>
      </c>
      <c r="R159" s="5"/>
      <c r="S159" s="5" t="s">
        <v>103</v>
      </c>
      <c r="T159" s="7" t="s">
        <v>197</v>
      </c>
      <c r="U159" s="5" t="n">
        <v>2</v>
      </c>
      <c r="V159" s="6" t="s">
        <v>492</v>
      </c>
      <c r="W159" s="5" t="s">
        <v>1001</v>
      </c>
      <c r="X159" s="6" t="s">
        <v>1002</v>
      </c>
    </row>
    <row r="160" customFormat="false" ht="102.2" hidden="false" customHeight="false" outlineLevel="0" collapsed="false">
      <c r="A160" s="5" t="s">
        <v>1003</v>
      </c>
      <c r="B160" s="5" t="s">
        <v>1004</v>
      </c>
      <c r="C160" s="5" t="s">
        <v>1005</v>
      </c>
      <c r="D160" s="5"/>
      <c r="E160" s="5" t="s">
        <v>1006</v>
      </c>
      <c r="F160" s="6" t="s">
        <v>1007</v>
      </c>
      <c r="G160" s="5" t="s">
        <v>1008</v>
      </c>
      <c r="H160" s="5"/>
      <c r="I160" s="5"/>
      <c r="J160" s="5" t="s">
        <v>1009</v>
      </c>
      <c r="K160" s="5" t="s">
        <v>1010</v>
      </c>
      <c r="L160" s="5" t="s">
        <v>1011</v>
      </c>
      <c r="M160" s="5"/>
      <c r="N160" s="6" t="s">
        <v>1012</v>
      </c>
      <c r="O160" s="5" t="s">
        <v>1013</v>
      </c>
      <c r="P160" s="5" t="s">
        <v>1006</v>
      </c>
      <c r="Q160" s="5" t="n">
        <v>2</v>
      </c>
      <c r="R160" s="5"/>
      <c r="S160" s="5" t="s">
        <v>103</v>
      </c>
      <c r="T160" s="5" t="s">
        <v>104</v>
      </c>
      <c r="U160" s="5" t="n">
        <v>13</v>
      </c>
      <c r="V160" s="6" t="s">
        <v>1014</v>
      </c>
      <c r="W160" s="5" t="s">
        <v>106</v>
      </c>
      <c r="X160" s="6" t="s">
        <v>1015</v>
      </c>
    </row>
    <row r="161" customFormat="false" ht="57.45" hidden="false" customHeight="false" outlineLevel="0" collapsed="false">
      <c r="A161" s="5" t="s">
        <v>1016</v>
      </c>
      <c r="B161" s="5" t="s">
        <v>1004</v>
      </c>
      <c r="C161" s="5" t="s">
        <v>1005</v>
      </c>
      <c r="D161" s="5" t="s">
        <v>1017</v>
      </c>
      <c r="E161" s="5" t="s">
        <v>1018</v>
      </c>
      <c r="F161" s="6" t="s">
        <v>1007</v>
      </c>
      <c r="G161" s="5" t="s">
        <v>1019</v>
      </c>
      <c r="H161" s="5"/>
      <c r="I161" s="5"/>
      <c r="J161" s="5" t="s">
        <v>1017</v>
      </c>
      <c r="K161" s="5" t="s">
        <v>1020</v>
      </c>
      <c r="L161" s="5" t="s">
        <v>1011</v>
      </c>
      <c r="M161" s="5"/>
      <c r="N161" s="6" t="s">
        <v>1021</v>
      </c>
      <c r="O161" s="5" t="s">
        <v>1022</v>
      </c>
      <c r="P161" s="5" t="s">
        <v>1018</v>
      </c>
      <c r="Q161" s="5" t="n">
        <v>2</v>
      </c>
      <c r="R161" s="5"/>
      <c r="S161" s="5" t="s">
        <v>103</v>
      </c>
      <c r="T161" s="5" t="s">
        <v>104</v>
      </c>
      <c r="U161" s="5" t="n">
        <v>1</v>
      </c>
      <c r="V161" s="6" t="s">
        <v>1023</v>
      </c>
      <c r="W161" s="5" t="s">
        <v>106</v>
      </c>
      <c r="X161" s="6" t="s">
        <v>1024</v>
      </c>
    </row>
    <row r="162" customFormat="false" ht="68.65" hidden="false" customHeight="false" outlineLevel="0" collapsed="false">
      <c r="A162" s="5" t="s">
        <v>1025</v>
      </c>
      <c r="B162" s="5" t="s">
        <v>1004</v>
      </c>
      <c r="C162" s="5" t="s">
        <v>1005</v>
      </c>
      <c r="D162" s="5" t="s">
        <v>1026</v>
      </c>
      <c r="E162" s="5" t="s">
        <v>1018</v>
      </c>
      <c r="F162" s="6" t="s">
        <v>1007</v>
      </c>
      <c r="G162" s="5" t="s">
        <v>1027</v>
      </c>
      <c r="H162" s="5"/>
      <c r="I162" s="5"/>
      <c r="J162" s="5" t="s">
        <v>1026</v>
      </c>
      <c r="K162" s="5" t="s">
        <v>595</v>
      </c>
      <c r="L162" s="5" t="s">
        <v>1011</v>
      </c>
      <c r="M162" s="5"/>
      <c r="N162" s="6" t="s">
        <v>1028</v>
      </c>
      <c r="O162" s="5" t="s">
        <v>1029</v>
      </c>
      <c r="P162" s="5" t="s">
        <v>1018</v>
      </c>
      <c r="Q162" s="5" t="n">
        <v>2</v>
      </c>
      <c r="R162" s="5"/>
      <c r="S162" s="5" t="s">
        <v>103</v>
      </c>
      <c r="T162" s="5" t="s">
        <v>104</v>
      </c>
      <c r="U162" s="5" t="n">
        <v>1</v>
      </c>
      <c r="V162" s="6" t="s">
        <v>1030</v>
      </c>
      <c r="W162" s="5" t="s">
        <v>106</v>
      </c>
      <c r="X162" s="6" t="s">
        <v>1031</v>
      </c>
    </row>
    <row r="163" customFormat="false" ht="79.85" hidden="false" customHeight="false" outlineLevel="0" collapsed="false">
      <c r="A163" s="5" t="s">
        <v>1032</v>
      </c>
      <c r="B163" s="5" t="s">
        <v>1004</v>
      </c>
      <c r="C163" s="5" t="s">
        <v>1005</v>
      </c>
      <c r="D163" s="5" t="s">
        <v>1033</v>
      </c>
      <c r="E163" s="5" t="s">
        <v>1018</v>
      </c>
      <c r="F163" s="6" t="s">
        <v>1007</v>
      </c>
      <c r="G163" s="5" t="s">
        <v>1034</v>
      </c>
      <c r="H163" s="5"/>
      <c r="I163" s="5"/>
      <c r="J163" s="5" t="s">
        <v>1033</v>
      </c>
      <c r="K163" s="5" t="s">
        <v>1035</v>
      </c>
      <c r="L163" s="5" t="s">
        <v>1011</v>
      </c>
      <c r="M163" s="5"/>
      <c r="N163" s="6" t="s">
        <v>1036</v>
      </c>
      <c r="O163" s="5" t="s">
        <v>103</v>
      </c>
      <c r="P163" s="5" t="s">
        <v>1018</v>
      </c>
      <c r="Q163" s="5" t="n">
        <v>2</v>
      </c>
      <c r="R163" s="5"/>
      <c r="S163" s="5" t="s">
        <v>103</v>
      </c>
      <c r="T163" s="5" t="s">
        <v>104</v>
      </c>
      <c r="U163" s="5" t="n">
        <v>1</v>
      </c>
      <c r="V163" s="6" t="s">
        <v>1037</v>
      </c>
      <c r="W163" s="5" t="s">
        <v>106</v>
      </c>
      <c r="X163" s="6" t="s">
        <v>1038</v>
      </c>
    </row>
    <row r="164" customFormat="false" ht="57.45" hidden="false" customHeight="false" outlineLevel="0" collapsed="false">
      <c r="A164" s="5" t="s">
        <v>1039</v>
      </c>
      <c r="B164" s="5" t="s">
        <v>1004</v>
      </c>
      <c r="C164" s="5" t="s">
        <v>1005</v>
      </c>
      <c r="D164" s="5" t="s">
        <v>1040</v>
      </c>
      <c r="E164" s="5" t="s">
        <v>1018</v>
      </c>
      <c r="F164" s="6" t="s">
        <v>1007</v>
      </c>
      <c r="G164" s="5" t="s">
        <v>1027</v>
      </c>
      <c r="H164" s="5"/>
      <c r="I164" s="5"/>
      <c r="J164" s="5" t="s">
        <v>1040</v>
      </c>
      <c r="K164" s="5" t="s">
        <v>1041</v>
      </c>
      <c r="L164" s="5" t="s">
        <v>1011</v>
      </c>
      <c r="M164" s="5"/>
      <c r="N164" s="6" t="s">
        <v>1042</v>
      </c>
      <c r="O164" s="5" t="s">
        <v>1043</v>
      </c>
      <c r="P164" s="5" t="s">
        <v>1018</v>
      </c>
      <c r="Q164" s="5" t="n">
        <v>2</v>
      </c>
      <c r="R164" s="5"/>
      <c r="S164" s="5" t="s">
        <v>103</v>
      </c>
      <c r="T164" s="5" t="s">
        <v>104</v>
      </c>
      <c r="U164" s="5" t="n">
        <v>1</v>
      </c>
      <c r="V164" s="6" t="s">
        <v>1044</v>
      </c>
      <c r="W164" s="5" t="s">
        <v>106</v>
      </c>
      <c r="X164" s="6" t="s">
        <v>1045</v>
      </c>
    </row>
    <row r="165" customFormat="false" ht="102.2" hidden="false" customHeight="false" outlineLevel="0" collapsed="false">
      <c r="A165" s="5" t="s">
        <v>1046</v>
      </c>
      <c r="B165" s="5" t="s">
        <v>1004</v>
      </c>
      <c r="C165" s="5" t="s">
        <v>1005</v>
      </c>
      <c r="D165" s="5" t="s">
        <v>1047</v>
      </c>
      <c r="E165" s="5" t="s">
        <v>1018</v>
      </c>
      <c r="F165" s="6" t="s">
        <v>1007</v>
      </c>
      <c r="G165" s="5" t="s">
        <v>1048</v>
      </c>
      <c r="H165" s="5"/>
      <c r="I165" s="5"/>
      <c r="J165" s="5" t="s">
        <v>1047</v>
      </c>
      <c r="K165" s="5" t="s">
        <v>595</v>
      </c>
      <c r="L165" s="5" t="s">
        <v>1011</v>
      </c>
      <c r="M165" s="5"/>
      <c r="N165" s="6" t="s">
        <v>1049</v>
      </c>
      <c r="O165" s="5" t="s">
        <v>103</v>
      </c>
      <c r="P165" s="5" t="s">
        <v>1018</v>
      </c>
      <c r="Q165" s="5" t="n">
        <v>2</v>
      </c>
      <c r="R165" s="5"/>
      <c r="S165" s="5" t="s">
        <v>103</v>
      </c>
      <c r="T165" s="5" t="s">
        <v>104</v>
      </c>
      <c r="U165" s="5" t="n">
        <v>1</v>
      </c>
      <c r="V165" s="6" t="s">
        <v>1050</v>
      </c>
      <c r="W165" s="5" t="s">
        <v>106</v>
      </c>
      <c r="X165" s="6" t="s">
        <v>1051</v>
      </c>
    </row>
    <row r="166" customFormat="false" ht="91" hidden="false" customHeight="false" outlineLevel="0" collapsed="false">
      <c r="A166" s="5" t="s">
        <v>1052</v>
      </c>
      <c r="B166" s="5" t="s">
        <v>1004</v>
      </c>
      <c r="C166" s="5" t="s">
        <v>1005</v>
      </c>
      <c r="D166" s="5" t="s">
        <v>1053</v>
      </c>
      <c r="E166" s="5" t="s">
        <v>1006</v>
      </c>
      <c r="F166" s="6" t="s">
        <v>1007</v>
      </c>
      <c r="G166" s="5" t="s">
        <v>1054</v>
      </c>
      <c r="H166" s="5"/>
      <c r="I166" s="5"/>
      <c r="J166" s="5" t="s">
        <v>1053</v>
      </c>
      <c r="K166" s="5" t="s">
        <v>1041</v>
      </c>
      <c r="L166" s="5" t="s">
        <v>1011</v>
      </c>
      <c r="M166" s="5"/>
      <c r="N166" s="6" t="s">
        <v>1055</v>
      </c>
      <c r="O166" s="5" t="s">
        <v>103</v>
      </c>
      <c r="P166" s="5" t="s">
        <v>1006</v>
      </c>
      <c r="Q166" s="5" t="n">
        <v>2</v>
      </c>
      <c r="R166" s="5"/>
      <c r="S166" s="5" t="s">
        <v>103</v>
      </c>
      <c r="T166" s="5" t="s">
        <v>104</v>
      </c>
      <c r="U166" s="5" t="n">
        <v>1</v>
      </c>
      <c r="V166" s="6" t="s">
        <v>1056</v>
      </c>
      <c r="W166" s="5" t="s">
        <v>106</v>
      </c>
      <c r="X166" s="6" t="s">
        <v>1057</v>
      </c>
    </row>
    <row r="167" customFormat="false" ht="102.2" hidden="false" customHeight="false" outlineLevel="0" collapsed="false">
      <c r="A167" s="5" t="s">
        <v>1058</v>
      </c>
      <c r="B167" s="5" t="s">
        <v>1004</v>
      </c>
      <c r="C167" s="5" t="s">
        <v>1005</v>
      </c>
      <c r="D167" s="5" t="s">
        <v>1059</v>
      </c>
      <c r="E167" s="5" t="s">
        <v>1018</v>
      </c>
      <c r="F167" s="6" t="s">
        <v>1007</v>
      </c>
      <c r="G167" s="5" t="s">
        <v>1060</v>
      </c>
      <c r="H167" s="5"/>
      <c r="I167" s="5"/>
      <c r="J167" s="5" t="s">
        <v>1059</v>
      </c>
      <c r="K167" s="5" t="s">
        <v>1020</v>
      </c>
      <c r="L167" s="5" t="s">
        <v>1011</v>
      </c>
      <c r="M167" s="5"/>
      <c r="N167" s="6" t="s">
        <v>1061</v>
      </c>
      <c r="O167" s="5" t="s">
        <v>103</v>
      </c>
      <c r="P167" s="5" t="s">
        <v>1018</v>
      </c>
      <c r="Q167" s="5" t="n">
        <v>2</v>
      </c>
      <c r="R167" s="5"/>
      <c r="S167" s="5" t="s">
        <v>103</v>
      </c>
      <c r="T167" s="5" t="s">
        <v>104</v>
      </c>
      <c r="U167" s="5" t="n">
        <v>1</v>
      </c>
      <c r="V167" s="6" t="s">
        <v>1062</v>
      </c>
      <c r="W167" s="5" t="s">
        <v>106</v>
      </c>
      <c r="X167" s="6" t="s">
        <v>1063</v>
      </c>
    </row>
    <row r="168" customFormat="false" ht="46.25" hidden="false" customHeight="false" outlineLevel="0" collapsed="false">
      <c r="A168" s="5" t="s">
        <v>1064</v>
      </c>
      <c r="B168" s="5" t="s">
        <v>1004</v>
      </c>
      <c r="C168" s="5" t="s">
        <v>1005</v>
      </c>
      <c r="D168" s="5" t="s">
        <v>1065</v>
      </c>
      <c r="E168" s="5" t="s">
        <v>1018</v>
      </c>
      <c r="F168" s="6" t="s">
        <v>1007</v>
      </c>
      <c r="G168" s="5" t="s">
        <v>1066</v>
      </c>
      <c r="H168" s="5"/>
      <c r="I168" s="5"/>
      <c r="J168" s="5" t="s">
        <v>1065</v>
      </c>
      <c r="K168" s="5" t="s">
        <v>595</v>
      </c>
      <c r="L168" s="5" t="s">
        <v>1011</v>
      </c>
      <c r="M168" s="5"/>
      <c r="N168" s="6" t="s">
        <v>1067</v>
      </c>
      <c r="O168" s="5" t="s">
        <v>1068</v>
      </c>
      <c r="P168" s="5" t="s">
        <v>1018</v>
      </c>
      <c r="Q168" s="5" t="n">
        <v>2</v>
      </c>
      <c r="R168" s="5"/>
      <c r="S168" s="5" t="s">
        <v>103</v>
      </c>
      <c r="T168" s="5" t="s">
        <v>104</v>
      </c>
      <c r="U168" s="5" t="n">
        <v>1</v>
      </c>
      <c r="V168" s="6" t="s">
        <v>1069</v>
      </c>
      <c r="W168" s="5" t="s">
        <v>106</v>
      </c>
      <c r="X168" s="6" t="s">
        <v>1070</v>
      </c>
    </row>
    <row r="169" customFormat="false" ht="124.6" hidden="false" customHeight="false" outlineLevel="0" collapsed="false">
      <c r="A169" s="5" t="s">
        <v>1071</v>
      </c>
      <c r="B169" s="5" t="s">
        <v>1004</v>
      </c>
      <c r="C169" s="5" t="s">
        <v>1005</v>
      </c>
      <c r="D169" s="5" t="s">
        <v>1072</v>
      </c>
      <c r="E169" s="5" t="s">
        <v>1006</v>
      </c>
      <c r="F169" s="6" t="s">
        <v>1007</v>
      </c>
      <c r="G169" s="5" t="s">
        <v>1008</v>
      </c>
      <c r="H169" s="5"/>
      <c r="I169" s="5"/>
      <c r="J169" s="5" t="s">
        <v>1072</v>
      </c>
      <c r="K169" s="5" t="s">
        <v>1035</v>
      </c>
      <c r="L169" s="5" t="s">
        <v>1011</v>
      </c>
      <c r="M169" s="5"/>
      <c r="N169" s="6" t="s">
        <v>1073</v>
      </c>
      <c r="O169" s="5" t="s">
        <v>1013</v>
      </c>
      <c r="P169" s="5" t="s">
        <v>1006</v>
      </c>
      <c r="Q169" s="5" t="n">
        <v>2</v>
      </c>
      <c r="R169" s="5"/>
      <c r="S169" s="5" t="s">
        <v>103</v>
      </c>
      <c r="T169" s="5" t="s">
        <v>104</v>
      </c>
      <c r="U169" s="5" t="n">
        <v>1</v>
      </c>
      <c r="V169" s="6" t="s">
        <v>1074</v>
      </c>
      <c r="W169" s="5" t="s">
        <v>106</v>
      </c>
      <c r="X169" s="6" t="s">
        <v>1075</v>
      </c>
    </row>
    <row r="170" customFormat="false" ht="91" hidden="false" customHeight="false" outlineLevel="0" collapsed="false">
      <c r="A170" s="5" t="s">
        <v>1076</v>
      </c>
      <c r="B170" s="5" t="s">
        <v>1004</v>
      </c>
      <c r="C170" s="5" t="s">
        <v>1005</v>
      </c>
      <c r="D170" s="5" t="s">
        <v>1077</v>
      </c>
      <c r="E170" s="5" t="s">
        <v>1018</v>
      </c>
      <c r="F170" s="6" t="s">
        <v>1007</v>
      </c>
      <c r="G170" s="5" t="s">
        <v>1078</v>
      </c>
      <c r="H170" s="5"/>
      <c r="I170" s="5"/>
      <c r="J170" s="5" t="s">
        <v>1077</v>
      </c>
      <c r="K170" s="5" t="s">
        <v>589</v>
      </c>
      <c r="L170" s="5" t="s">
        <v>1011</v>
      </c>
      <c r="M170" s="5"/>
      <c r="N170" s="6" t="s">
        <v>1079</v>
      </c>
      <c r="O170" s="5" t="s">
        <v>103</v>
      </c>
      <c r="P170" s="5" t="s">
        <v>1018</v>
      </c>
      <c r="Q170" s="5" t="n">
        <v>2</v>
      </c>
      <c r="R170" s="5"/>
      <c r="S170" s="5" t="s">
        <v>103</v>
      </c>
      <c r="T170" s="5" t="s">
        <v>104</v>
      </c>
      <c r="U170" s="5" t="n">
        <v>1</v>
      </c>
      <c r="V170" s="6" t="s">
        <v>1080</v>
      </c>
      <c r="W170" s="5" t="s">
        <v>106</v>
      </c>
      <c r="X170" s="6" t="s">
        <v>1081</v>
      </c>
    </row>
    <row r="171" customFormat="false" ht="79.85" hidden="false" customHeight="false" outlineLevel="0" collapsed="false">
      <c r="A171" s="5" t="s">
        <v>1082</v>
      </c>
      <c r="B171" s="5" t="s">
        <v>1004</v>
      </c>
      <c r="C171" s="5" t="s">
        <v>1005</v>
      </c>
      <c r="D171" s="5" t="s">
        <v>1083</v>
      </c>
      <c r="E171" s="5" t="s">
        <v>1006</v>
      </c>
      <c r="F171" s="6" t="s">
        <v>1007</v>
      </c>
      <c r="G171" s="5" t="s">
        <v>1054</v>
      </c>
      <c r="H171" s="5"/>
      <c r="I171" s="5"/>
      <c r="J171" s="5" t="s">
        <v>1083</v>
      </c>
      <c r="K171" s="5" t="s">
        <v>1041</v>
      </c>
      <c r="L171" s="5" t="s">
        <v>1011</v>
      </c>
      <c r="M171" s="5"/>
      <c r="N171" s="6" t="s">
        <v>1084</v>
      </c>
      <c r="O171" s="5" t="s">
        <v>103</v>
      </c>
      <c r="P171" s="5" t="s">
        <v>1006</v>
      </c>
      <c r="Q171" s="5" t="n">
        <v>2</v>
      </c>
      <c r="R171" s="5"/>
      <c r="S171" s="5" t="s">
        <v>103</v>
      </c>
      <c r="T171" s="5" t="s">
        <v>104</v>
      </c>
      <c r="U171" s="5" t="n">
        <v>1</v>
      </c>
      <c r="V171" s="6" t="s">
        <v>1085</v>
      </c>
      <c r="W171" s="5" t="s">
        <v>106</v>
      </c>
      <c r="X171" s="6" t="s">
        <v>1086</v>
      </c>
    </row>
    <row r="172" customFormat="false" ht="169.4" hidden="false" customHeight="false" outlineLevel="0" collapsed="false">
      <c r="A172" s="5" t="s">
        <v>1087</v>
      </c>
      <c r="B172" s="5" t="s">
        <v>1004</v>
      </c>
      <c r="C172" s="5" t="s">
        <v>1005</v>
      </c>
      <c r="D172" s="5" t="s">
        <v>1088</v>
      </c>
      <c r="E172" s="5" t="s">
        <v>1018</v>
      </c>
      <c r="F172" s="6" t="s">
        <v>1007</v>
      </c>
      <c r="G172" s="5" t="s">
        <v>1089</v>
      </c>
      <c r="H172" s="5"/>
      <c r="I172" s="5"/>
      <c r="J172" s="5" t="s">
        <v>1088</v>
      </c>
      <c r="K172" s="5" t="s">
        <v>1090</v>
      </c>
      <c r="L172" s="5" t="s">
        <v>1011</v>
      </c>
      <c r="M172" s="5"/>
      <c r="N172" s="6" t="s">
        <v>1091</v>
      </c>
      <c r="O172" s="5" t="s">
        <v>103</v>
      </c>
      <c r="P172" s="5" t="s">
        <v>1018</v>
      </c>
      <c r="Q172" s="5" t="n">
        <v>2</v>
      </c>
      <c r="R172" s="5"/>
      <c r="S172" s="5" t="s">
        <v>103</v>
      </c>
      <c r="T172" s="5" t="s">
        <v>104</v>
      </c>
      <c r="U172" s="5" t="n">
        <v>1</v>
      </c>
      <c r="V172" s="6" t="s">
        <v>1092</v>
      </c>
      <c r="W172" s="5" t="s">
        <v>106</v>
      </c>
      <c r="X172" s="6" t="s">
        <v>1093</v>
      </c>
    </row>
    <row r="173" customFormat="false" ht="57.45" hidden="false" customHeight="false" outlineLevel="0" collapsed="false">
      <c r="A173" s="5" t="s">
        <v>1094</v>
      </c>
      <c r="B173" s="5" t="s">
        <v>1004</v>
      </c>
      <c r="C173" s="5" t="s">
        <v>1005</v>
      </c>
      <c r="D173" s="5" t="s">
        <v>1095</v>
      </c>
      <c r="E173" s="5" t="s">
        <v>1006</v>
      </c>
      <c r="F173" s="6" t="s">
        <v>1007</v>
      </c>
      <c r="G173" s="5" t="s">
        <v>1008</v>
      </c>
      <c r="H173" s="5"/>
      <c r="I173" s="5"/>
      <c r="J173" s="5" t="s">
        <v>1095</v>
      </c>
      <c r="K173" s="5" t="s">
        <v>1096</v>
      </c>
      <c r="L173" s="5" t="s">
        <v>1011</v>
      </c>
      <c r="M173" s="5"/>
      <c r="N173" s="6" t="s">
        <v>1097</v>
      </c>
      <c r="O173" s="5" t="s">
        <v>1013</v>
      </c>
      <c r="P173" s="5" t="s">
        <v>1006</v>
      </c>
      <c r="Q173" s="5" t="n">
        <v>2</v>
      </c>
      <c r="R173" s="5"/>
      <c r="S173" s="5" t="s">
        <v>103</v>
      </c>
      <c r="T173" s="5" t="s">
        <v>104</v>
      </c>
      <c r="U173" s="5" t="n">
        <v>1</v>
      </c>
      <c r="V173" s="6" t="s">
        <v>1098</v>
      </c>
      <c r="W173" s="5" t="s">
        <v>106</v>
      </c>
      <c r="X173" s="6" t="s">
        <v>1099</v>
      </c>
    </row>
    <row r="174" customFormat="false" ht="102.2" hidden="false" customHeight="false" outlineLevel="0" collapsed="false">
      <c r="A174" s="5" t="s">
        <v>1100</v>
      </c>
      <c r="B174" s="5" t="s">
        <v>1004</v>
      </c>
      <c r="C174" s="5" t="s">
        <v>1005</v>
      </c>
      <c r="D174" s="5" t="s">
        <v>1101</v>
      </c>
      <c r="E174" s="5" t="s">
        <v>1018</v>
      </c>
      <c r="F174" s="6" t="s">
        <v>1007</v>
      </c>
      <c r="G174" s="5" t="s">
        <v>1102</v>
      </c>
      <c r="H174" s="5"/>
      <c r="I174" s="5"/>
      <c r="J174" s="5" t="s">
        <v>1101</v>
      </c>
      <c r="K174" s="5" t="s">
        <v>1103</v>
      </c>
      <c r="L174" s="5" t="s">
        <v>1011</v>
      </c>
      <c r="M174" s="5"/>
      <c r="N174" s="6" t="s">
        <v>1104</v>
      </c>
      <c r="O174" s="5" t="s">
        <v>1105</v>
      </c>
      <c r="P174" s="5" t="s">
        <v>1018</v>
      </c>
      <c r="Q174" s="5" t="n">
        <v>2</v>
      </c>
      <c r="R174" s="5"/>
      <c r="S174" s="5" t="s">
        <v>103</v>
      </c>
      <c r="T174" s="5" t="s">
        <v>104</v>
      </c>
      <c r="U174" s="5" t="n">
        <v>1</v>
      </c>
      <c r="V174" s="6" t="s">
        <v>1106</v>
      </c>
      <c r="W174" s="5" t="s">
        <v>106</v>
      </c>
      <c r="X174" s="6" t="s">
        <v>1107</v>
      </c>
    </row>
    <row r="175" customFormat="false" ht="68.65" hidden="false" customHeight="false" outlineLevel="0" collapsed="false">
      <c r="A175" s="5" t="s">
        <v>1108</v>
      </c>
      <c r="B175" s="5" t="s">
        <v>1004</v>
      </c>
      <c r="C175" s="5" t="s">
        <v>1005</v>
      </c>
      <c r="D175" s="5" t="s">
        <v>1109</v>
      </c>
      <c r="E175" s="5" t="s">
        <v>1006</v>
      </c>
      <c r="F175" s="6" t="s">
        <v>1007</v>
      </c>
      <c r="G175" s="5" t="s">
        <v>486</v>
      </c>
      <c r="H175" s="5"/>
      <c r="I175" s="5"/>
      <c r="J175" s="5" t="s">
        <v>1109</v>
      </c>
      <c r="K175" s="5" t="s">
        <v>589</v>
      </c>
      <c r="L175" s="5" t="s">
        <v>1011</v>
      </c>
      <c r="M175" s="5"/>
      <c r="N175" s="6" t="s">
        <v>1110</v>
      </c>
      <c r="O175" s="5" t="s">
        <v>1013</v>
      </c>
      <c r="P175" s="5" t="s">
        <v>1006</v>
      </c>
      <c r="Q175" s="5" t="n">
        <v>2</v>
      </c>
      <c r="R175" s="5"/>
      <c r="S175" s="5" t="s">
        <v>103</v>
      </c>
      <c r="T175" s="5" t="s">
        <v>104</v>
      </c>
      <c r="U175" s="5" t="n">
        <v>1</v>
      </c>
      <c r="V175" s="6" t="s">
        <v>1111</v>
      </c>
      <c r="W175" s="5" t="s">
        <v>106</v>
      </c>
      <c r="X175" s="6" t="s">
        <v>1112</v>
      </c>
    </row>
    <row r="176" customFormat="false" ht="113.4" hidden="false" customHeight="false" outlineLevel="0" collapsed="false">
      <c r="A176" s="5" t="s">
        <v>1113</v>
      </c>
      <c r="B176" s="5" t="s">
        <v>1004</v>
      </c>
      <c r="C176" s="5" t="s">
        <v>1005</v>
      </c>
      <c r="D176" s="5" t="s">
        <v>1114</v>
      </c>
      <c r="E176" s="5" t="s">
        <v>1006</v>
      </c>
      <c r="F176" s="6" t="s">
        <v>1007</v>
      </c>
      <c r="G176" s="5" t="s">
        <v>1115</v>
      </c>
      <c r="H176" s="5"/>
      <c r="I176" s="5"/>
      <c r="J176" s="5" t="s">
        <v>1114</v>
      </c>
      <c r="K176" s="5" t="s">
        <v>595</v>
      </c>
      <c r="L176" s="5" t="s">
        <v>1011</v>
      </c>
      <c r="M176" s="5"/>
      <c r="N176" s="6" t="s">
        <v>1116</v>
      </c>
      <c r="O176" s="5" t="s">
        <v>103</v>
      </c>
      <c r="P176" s="5" t="s">
        <v>1006</v>
      </c>
      <c r="Q176" s="5" t="n">
        <v>2</v>
      </c>
      <c r="R176" s="5"/>
      <c r="S176" s="5" t="s">
        <v>103</v>
      </c>
      <c r="T176" s="5" t="s">
        <v>104</v>
      </c>
      <c r="U176" s="5" t="n">
        <v>1</v>
      </c>
      <c r="V176" s="6" t="s">
        <v>1117</v>
      </c>
      <c r="W176" s="5" t="s">
        <v>106</v>
      </c>
      <c r="X176" s="6" t="s">
        <v>1118</v>
      </c>
    </row>
    <row r="177" customFormat="false" ht="57.45" hidden="false" customHeight="false" outlineLevel="0" collapsed="false">
      <c r="A177" s="5" t="s">
        <v>1119</v>
      </c>
      <c r="B177" s="5" t="s">
        <v>1004</v>
      </c>
      <c r="C177" s="5" t="s">
        <v>1005</v>
      </c>
      <c r="D177" s="5" t="s">
        <v>1120</v>
      </c>
      <c r="E177" s="5" t="s">
        <v>1006</v>
      </c>
      <c r="F177" s="6" t="s">
        <v>1007</v>
      </c>
      <c r="G177" s="5" t="s">
        <v>1054</v>
      </c>
      <c r="H177" s="5"/>
      <c r="I177" s="5"/>
      <c r="J177" s="5" t="s">
        <v>1120</v>
      </c>
      <c r="K177" s="5" t="s">
        <v>1121</v>
      </c>
      <c r="L177" s="5" t="s">
        <v>1011</v>
      </c>
      <c r="M177" s="5"/>
      <c r="N177" s="6" t="s">
        <v>1122</v>
      </c>
      <c r="O177" s="5" t="s">
        <v>103</v>
      </c>
      <c r="P177" s="5" t="s">
        <v>1006</v>
      </c>
      <c r="Q177" s="5" t="n">
        <v>2</v>
      </c>
      <c r="R177" s="5"/>
      <c r="S177" s="5" t="s">
        <v>103</v>
      </c>
      <c r="T177" s="5" t="s">
        <v>104</v>
      </c>
      <c r="U177" s="5" t="n">
        <v>1</v>
      </c>
      <c r="V177" s="6" t="s">
        <v>1123</v>
      </c>
      <c r="W177" s="5" t="s">
        <v>106</v>
      </c>
      <c r="X177" s="6" t="s">
        <v>1124</v>
      </c>
    </row>
    <row r="178" customFormat="false" ht="57.45" hidden="false" customHeight="false" outlineLevel="0" collapsed="false">
      <c r="A178" s="5" t="s">
        <v>1125</v>
      </c>
      <c r="B178" s="5" t="s">
        <v>1004</v>
      </c>
      <c r="C178" s="5" t="s">
        <v>1005</v>
      </c>
      <c r="D178" s="5" t="s">
        <v>1126</v>
      </c>
      <c r="E178" s="5" t="s">
        <v>1006</v>
      </c>
      <c r="F178" s="6" t="s">
        <v>1007</v>
      </c>
      <c r="G178" s="5" t="s">
        <v>1054</v>
      </c>
      <c r="H178" s="5"/>
      <c r="I178" s="5"/>
      <c r="J178" s="5" t="s">
        <v>1126</v>
      </c>
      <c r="K178" s="5" t="s">
        <v>1127</v>
      </c>
      <c r="L178" s="5" t="s">
        <v>1011</v>
      </c>
      <c r="M178" s="5"/>
      <c r="N178" s="6" t="s">
        <v>1128</v>
      </c>
      <c r="O178" s="5" t="s">
        <v>103</v>
      </c>
      <c r="P178" s="5" t="s">
        <v>1006</v>
      </c>
      <c r="Q178" s="5" t="n">
        <v>2</v>
      </c>
      <c r="R178" s="5"/>
      <c r="S178" s="5" t="s">
        <v>103</v>
      </c>
      <c r="T178" s="5" t="s">
        <v>104</v>
      </c>
      <c r="U178" s="5" t="n">
        <v>1</v>
      </c>
      <c r="V178" s="6" t="s">
        <v>1129</v>
      </c>
      <c r="W178" s="5" t="s">
        <v>106</v>
      </c>
      <c r="X178" s="6" t="s">
        <v>1130</v>
      </c>
    </row>
    <row r="179" customFormat="false" ht="57.45" hidden="false" customHeight="false" outlineLevel="0" collapsed="false">
      <c r="A179" s="5" t="s">
        <v>1131</v>
      </c>
      <c r="B179" s="5" t="s">
        <v>1004</v>
      </c>
      <c r="C179" s="5" t="s">
        <v>1005</v>
      </c>
      <c r="D179" s="5" t="s">
        <v>1132</v>
      </c>
      <c r="E179" s="5" t="s">
        <v>1006</v>
      </c>
      <c r="F179" s="6" t="s">
        <v>1007</v>
      </c>
      <c r="G179" s="5" t="s">
        <v>1008</v>
      </c>
      <c r="H179" s="5"/>
      <c r="I179" s="5"/>
      <c r="J179" s="5" t="s">
        <v>1132</v>
      </c>
      <c r="K179" s="5" t="s">
        <v>595</v>
      </c>
      <c r="L179" s="5" t="s">
        <v>1011</v>
      </c>
      <c r="M179" s="5"/>
      <c r="N179" s="6" t="s">
        <v>1133</v>
      </c>
      <c r="O179" s="5" t="s">
        <v>1013</v>
      </c>
      <c r="P179" s="5" t="s">
        <v>1006</v>
      </c>
      <c r="Q179" s="5" t="n">
        <v>2</v>
      </c>
      <c r="R179" s="5"/>
      <c r="S179" s="5" t="s">
        <v>103</v>
      </c>
      <c r="T179" s="5" t="s">
        <v>104</v>
      </c>
      <c r="U179" s="5" t="n">
        <v>1</v>
      </c>
      <c r="V179" s="6" t="s">
        <v>1134</v>
      </c>
      <c r="W179" s="5" t="s">
        <v>106</v>
      </c>
      <c r="X179" s="6" t="s">
        <v>1135</v>
      </c>
    </row>
    <row r="180" customFormat="false" ht="46.25" hidden="false" customHeight="false" outlineLevel="0" collapsed="false">
      <c r="A180" s="5" t="s">
        <v>1136</v>
      </c>
      <c r="B180" s="5" t="s">
        <v>1004</v>
      </c>
      <c r="C180" s="5" t="s">
        <v>1005</v>
      </c>
      <c r="D180" s="5" t="s">
        <v>1137</v>
      </c>
      <c r="E180" s="5" t="s">
        <v>1006</v>
      </c>
      <c r="F180" s="6" t="s">
        <v>1007</v>
      </c>
      <c r="G180" s="5" t="s">
        <v>1008</v>
      </c>
      <c r="H180" s="5"/>
      <c r="I180" s="5"/>
      <c r="J180" s="5" t="s">
        <v>1137</v>
      </c>
      <c r="K180" s="5" t="s">
        <v>595</v>
      </c>
      <c r="L180" s="5" t="s">
        <v>1011</v>
      </c>
      <c r="M180" s="5"/>
      <c r="N180" s="6" t="s">
        <v>1138</v>
      </c>
      <c r="O180" s="5" t="s">
        <v>1013</v>
      </c>
      <c r="P180" s="5" t="s">
        <v>1006</v>
      </c>
      <c r="Q180" s="5" t="n">
        <v>2</v>
      </c>
      <c r="R180" s="5"/>
      <c r="S180" s="5" t="s">
        <v>103</v>
      </c>
      <c r="T180" s="5" t="s">
        <v>104</v>
      </c>
      <c r="U180" s="5" t="n">
        <v>1</v>
      </c>
      <c r="V180" s="6" t="s">
        <v>1139</v>
      </c>
      <c r="W180" s="5" t="s">
        <v>106</v>
      </c>
      <c r="X180" s="6" t="s">
        <v>1140</v>
      </c>
    </row>
    <row r="181" customFormat="false" ht="68.65" hidden="false" customHeight="false" outlineLevel="0" collapsed="false">
      <c r="A181" s="5" t="s">
        <v>1141</v>
      </c>
      <c r="B181" s="5" t="s">
        <v>1004</v>
      </c>
      <c r="C181" s="5" t="s">
        <v>1005</v>
      </c>
      <c r="D181" s="5" t="s">
        <v>1142</v>
      </c>
      <c r="E181" s="5" t="s">
        <v>1006</v>
      </c>
      <c r="F181" s="6" t="s">
        <v>1007</v>
      </c>
      <c r="G181" s="5" t="s">
        <v>1054</v>
      </c>
      <c r="H181" s="5"/>
      <c r="I181" s="5"/>
      <c r="J181" s="5" t="s">
        <v>1142</v>
      </c>
      <c r="K181" s="5" t="s">
        <v>595</v>
      </c>
      <c r="L181" s="5" t="s">
        <v>1011</v>
      </c>
      <c r="M181" s="5"/>
      <c r="N181" s="6" t="s">
        <v>1143</v>
      </c>
      <c r="O181" s="5" t="s">
        <v>103</v>
      </c>
      <c r="P181" s="5" t="s">
        <v>1006</v>
      </c>
      <c r="Q181" s="5" t="n">
        <v>2</v>
      </c>
      <c r="R181" s="5"/>
      <c r="S181" s="5" t="s">
        <v>103</v>
      </c>
      <c r="T181" s="5" t="s">
        <v>104</v>
      </c>
      <c r="U181" s="5" t="n">
        <v>1</v>
      </c>
      <c r="V181" s="6" t="s">
        <v>1144</v>
      </c>
      <c r="W181" s="5" t="s">
        <v>106</v>
      </c>
      <c r="X181" s="6" t="s">
        <v>1145</v>
      </c>
    </row>
    <row r="182" customFormat="false" ht="57.45" hidden="false" customHeight="false" outlineLevel="0" collapsed="false">
      <c r="A182" s="5" t="s">
        <v>1146</v>
      </c>
      <c r="B182" s="5" t="s">
        <v>1004</v>
      </c>
      <c r="C182" s="5" t="s">
        <v>1005</v>
      </c>
      <c r="D182" s="5" t="s">
        <v>1147</v>
      </c>
      <c r="E182" s="5" t="s">
        <v>1006</v>
      </c>
      <c r="F182" s="6" t="s">
        <v>1007</v>
      </c>
      <c r="G182" s="5" t="s">
        <v>1054</v>
      </c>
      <c r="H182" s="5"/>
      <c r="I182" s="5"/>
      <c r="J182" s="5" t="s">
        <v>1147</v>
      </c>
      <c r="K182" s="5" t="s">
        <v>595</v>
      </c>
      <c r="L182" s="5" t="s">
        <v>1011</v>
      </c>
      <c r="M182" s="5"/>
      <c r="N182" s="6" t="s">
        <v>1148</v>
      </c>
      <c r="O182" s="5" t="s">
        <v>103</v>
      </c>
      <c r="P182" s="5" t="s">
        <v>1006</v>
      </c>
      <c r="Q182" s="5" t="n">
        <v>2</v>
      </c>
      <c r="R182" s="5"/>
      <c r="S182" s="5" t="s">
        <v>103</v>
      </c>
      <c r="T182" s="5" t="s">
        <v>104</v>
      </c>
      <c r="U182" s="5" t="n">
        <v>1</v>
      </c>
      <c r="V182" s="6" t="s">
        <v>1149</v>
      </c>
      <c r="W182" s="5" t="s">
        <v>106</v>
      </c>
      <c r="X182" s="6" t="s">
        <v>1150</v>
      </c>
    </row>
    <row r="183" customFormat="false" ht="124.6" hidden="false" customHeight="false" outlineLevel="0" collapsed="false">
      <c r="A183" s="5" t="s">
        <v>1151</v>
      </c>
      <c r="B183" s="5" t="s">
        <v>1004</v>
      </c>
      <c r="C183" s="5" t="s">
        <v>1005</v>
      </c>
      <c r="D183" s="5" t="s">
        <v>1152</v>
      </c>
      <c r="E183" s="5" t="s">
        <v>1006</v>
      </c>
      <c r="F183" s="6" t="s">
        <v>1007</v>
      </c>
      <c r="G183" s="5" t="s">
        <v>1153</v>
      </c>
      <c r="H183" s="5"/>
      <c r="I183" s="5"/>
      <c r="J183" s="5" t="s">
        <v>1152</v>
      </c>
      <c r="K183" s="5" t="s">
        <v>1154</v>
      </c>
      <c r="L183" s="5" t="s">
        <v>1011</v>
      </c>
      <c r="M183" s="5"/>
      <c r="N183" s="6" t="s">
        <v>1155</v>
      </c>
      <c r="O183" s="5" t="s">
        <v>103</v>
      </c>
      <c r="P183" s="5" t="s">
        <v>1006</v>
      </c>
      <c r="Q183" s="5" t="n">
        <v>2</v>
      </c>
      <c r="R183" s="5"/>
      <c r="S183" s="5" t="s">
        <v>103</v>
      </c>
      <c r="T183" s="5" t="s">
        <v>104</v>
      </c>
      <c r="U183" s="5" t="n">
        <v>1</v>
      </c>
      <c r="V183" s="6" t="s">
        <v>1156</v>
      </c>
      <c r="W183" s="5" t="s">
        <v>106</v>
      </c>
      <c r="X183" s="6" t="s">
        <v>1157</v>
      </c>
    </row>
    <row r="184" customFormat="false" ht="79.85" hidden="false" customHeight="false" outlineLevel="0" collapsed="false">
      <c r="A184" s="5" t="s">
        <v>1158</v>
      </c>
      <c r="B184" s="5" t="s">
        <v>1004</v>
      </c>
      <c r="C184" s="5" t="s">
        <v>1005</v>
      </c>
      <c r="D184" s="5" t="s">
        <v>1159</v>
      </c>
      <c r="E184" s="5" t="s">
        <v>1006</v>
      </c>
      <c r="F184" s="6" t="s">
        <v>1007</v>
      </c>
      <c r="G184" s="5" t="s">
        <v>1153</v>
      </c>
      <c r="H184" s="5"/>
      <c r="I184" s="5"/>
      <c r="J184" s="5" t="s">
        <v>1159</v>
      </c>
      <c r="K184" s="5" t="s">
        <v>1096</v>
      </c>
      <c r="L184" s="5" t="s">
        <v>1011</v>
      </c>
      <c r="M184" s="5"/>
      <c r="N184" s="6" t="s">
        <v>1160</v>
      </c>
      <c r="O184" s="5" t="s">
        <v>103</v>
      </c>
      <c r="P184" s="5" t="s">
        <v>1006</v>
      </c>
      <c r="Q184" s="5" t="n">
        <v>2</v>
      </c>
      <c r="R184" s="5"/>
      <c r="S184" s="5" t="s">
        <v>103</v>
      </c>
      <c r="T184" s="5" t="s">
        <v>104</v>
      </c>
      <c r="U184" s="5" t="n">
        <v>1</v>
      </c>
      <c r="V184" s="6" t="s">
        <v>1161</v>
      </c>
      <c r="W184" s="5" t="s">
        <v>106</v>
      </c>
      <c r="X184" s="6" t="s">
        <v>1162</v>
      </c>
    </row>
    <row r="185" customFormat="false" ht="57.45" hidden="false" customHeight="false" outlineLevel="0" collapsed="false">
      <c r="A185" s="5" t="s">
        <v>1163</v>
      </c>
      <c r="B185" s="5" t="s">
        <v>1004</v>
      </c>
      <c r="C185" s="5" t="s">
        <v>1005</v>
      </c>
      <c r="D185" s="5" t="s">
        <v>1164</v>
      </c>
      <c r="E185" s="5" t="s">
        <v>1006</v>
      </c>
      <c r="F185" s="6" t="s">
        <v>1007</v>
      </c>
      <c r="G185" s="5" t="s">
        <v>1153</v>
      </c>
      <c r="H185" s="5"/>
      <c r="I185" s="5"/>
      <c r="J185" s="5" t="s">
        <v>1164</v>
      </c>
      <c r="K185" s="5" t="s">
        <v>1096</v>
      </c>
      <c r="L185" s="5" t="s">
        <v>1011</v>
      </c>
      <c r="M185" s="5"/>
      <c r="N185" s="6" t="s">
        <v>1165</v>
      </c>
      <c r="O185" s="5" t="s">
        <v>103</v>
      </c>
      <c r="P185" s="5" t="s">
        <v>1006</v>
      </c>
      <c r="Q185" s="5" t="n">
        <v>2</v>
      </c>
      <c r="R185" s="5"/>
      <c r="S185" s="5" t="s">
        <v>103</v>
      </c>
      <c r="T185" s="5" t="s">
        <v>104</v>
      </c>
      <c r="U185" s="5" t="n">
        <v>1</v>
      </c>
      <c r="V185" s="6" t="s">
        <v>1166</v>
      </c>
      <c r="W185" s="5" t="s">
        <v>106</v>
      </c>
      <c r="X185" s="6" t="s">
        <v>1167</v>
      </c>
    </row>
    <row r="186" customFormat="false" ht="91" hidden="false" customHeight="false" outlineLevel="0" collapsed="false">
      <c r="A186" s="5" t="s">
        <v>1168</v>
      </c>
      <c r="B186" s="5" t="s">
        <v>1004</v>
      </c>
      <c r="C186" s="5" t="s">
        <v>1005</v>
      </c>
      <c r="D186" s="5" t="s">
        <v>1169</v>
      </c>
      <c r="E186" s="5" t="s">
        <v>1006</v>
      </c>
      <c r="F186" s="6" t="s">
        <v>1007</v>
      </c>
      <c r="G186" s="5" t="s">
        <v>1170</v>
      </c>
      <c r="H186" s="5"/>
      <c r="I186" s="5"/>
      <c r="J186" s="5" t="s">
        <v>1169</v>
      </c>
      <c r="K186" s="5" t="s">
        <v>1041</v>
      </c>
      <c r="L186" s="5" t="s">
        <v>1011</v>
      </c>
      <c r="M186" s="5"/>
      <c r="N186" s="6" t="s">
        <v>1171</v>
      </c>
      <c r="O186" s="5" t="s">
        <v>1013</v>
      </c>
      <c r="P186" s="5" t="s">
        <v>1006</v>
      </c>
      <c r="Q186" s="5" t="n">
        <v>2</v>
      </c>
      <c r="R186" s="5"/>
      <c r="S186" s="5" t="s">
        <v>103</v>
      </c>
      <c r="T186" s="5" t="s">
        <v>104</v>
      </c>
      <c r="U186" s="5" t="n">
        <v>1</v>
      </c>
      <c r="V186" s="6" t="s">
        <v>1172</v>
      </c>
      <c r="W186" s="5" t="s">
        <v>106</v>
      </c>
      <c r="X186" s="6" t="s">
        <v>1173</v>
      </c>
    </row>
    <row r="187" customFormat="false" ht="46.25" hidden="false" customHeight="false" outlineLevel="0" collapsed="false">
      <c r="A187" s="5" t="s">
        <v>1174</v>
      </c>
      <c r="B187" s="5" t="s">
        <v>1004</v>
      </c>
      <c r="C187" s="5" t="s">
        <v>1005</v>
      </c>
      <c r="D187" s="5" t="s">
        <v>1175</v>
      </c>
      <c r="E187" s="5" t="s">
        <v>1006</v>
      </c>
      <c r="F187" s="6" t="s">
        <v>1007</v>
      </c>
      <c r="G187" s="5" t="s">
        <v>1170</v>
      </c>
      <c r="H187" s="5"/>
      <c r="I187" s="5"/>
      <c r="J187" s="5" t="s">
        <v>1175</v>
      </c>
      <c r="K187" s="5" t="s">
        <v>1176</v>
      </c>
      <c r="L187" s="5" t="s">
        <v>1011</v>
      </c>
      <c r="M187" s="5"/>
      <c r="N187" s="6" t="s">
        <v>1177</v>
      </c>
      <c r="O187" s="5" t="s">
        <v>1013</v>
      </c>
      <c r="P187" s="5" t="s">
        <v>1006</v>
      </c>
      <c r="Q187" s="5" t="n">
        <v>2</v>
      </c>
      <c r="R187" s="5"/>
      <c r="S187" s="5" t="s">
        <v>103</v>
      </c>
      <c r="T187" s="5" t="s">
        <v>104</v>
      </c>
      <c r="U187" s="5" t="n">
        <v>1</v>
      </c>
      <c r="V187" s="6" t="s">
        <v>1178</v>
      </c>
      <c r="W187" s="5" t="s">
        <v>106</v>
      </c>
      <c r="X187" s="6" t="s">
        <v>1179</v>
      </c>
    </row>
    <row r="188" customFormat="false" ht="68.65" hidden="false" customHeight="false" outlineLevel="0" collapsed="false">
      <c r="A188" s="5" t="s">
        <v>1180</v>
      </c>
      <c r="B188" s="5" t="s">
        <v>1004</v>
      </c>
      <c r="C188" s="5" t="s">
        <v>1005</v>
      </c>
      <c r="D188" s="5" t="s">
        <v>1181</v>
      </c>
      <c r="E188" s="5" t="s">
        <v>1006</v>
      </c>
      <c r="F188" s="6" t="s">
        <v>1007</v>
      </c>
      <c r="G188" s="5" t="s">
        <v>1170</v>
      </c>
      <c r="H188" s="5"/>
      <c r="I188" s="5"/>
      <c r="J188" s="5" t="s">
        <v>1181</v>
      </c>
      <c r="K188" s="5" t="s">
        <v>1121</v>
      </c>
      <c r="L188" s="5" t="s">
        <v>1011</v>
      </c>
      <c r="M188" s="5"/>
      <c r="N188" s="6" t="s">
        <v>1182</v>
      </c>
      <c r="O188" s="5" t="s">
        <v>1013</v>
      </c>
      <c r="P188" s="5" t="s">
        <v>1006</v>
      </c>
      <c r="Q188" s="5" t="n">
        <v>2</v>
      </c>
      <c r="R188" s="5"/>
      <c r="S188" s="5" t="s">
        <v>103</v>
      </c>
      <c r="T188" s="5" t="s">
        <v>104</v>
      </c>
      <c r="U188" s="5" t="n">
        <v>1</v>
      </c>
      <c r="V188" s="6" t="s">
        <v>1183</v>
      </c>
      <c r="W188" s="5" t="s">
        <v>106</v>
      </c>
      <c r="X188" s="6" t="s">
        <v>1184</v>
      </c>
    </row>
    <row r="189" customFormat="false" ht="57.45" hidden="false" customHeight="false" outlineLevel="0" collapsed="false">
      <c r="A189" s="5" t="s">
        <v>1185</v>
      </c>
      <c r="B189" s="5" t="s">
        <v>1004</v>
      </c>
      <c r="C189" s="5" t="s">
        <v>1005</v>
      </c>
      <c r="D189" s="5" t="s">
        <v>1186</v>
      </c>
      <c r="E189" s="5" t="s">
        <v>1006</v>
      </c>
      <c r="F189" s="6" t="s">
        <v>1007</v>
      </c>
      <c r="G189" s="5" t="s">
        <v>1170</v>
      </c>
      <c r="H189" s="5"/>
      <c r="I189" s="5"/>
      <c r="J189" s="5" t="s">
        <v>1186</v>
      </c>
      <c r="K189" s="5" t="s">
        <v>1096</v>
      </c>
      <c r="L189" s="5" t="s">
        <v>1011</v>
      </c>
      <c r="M189" s="5"/>
      <c r="N189" s="6" t="s">
        <v>1187</v>
      </c>
      <c r="O189" s="5" t="s">
        <v>1013</v>
      </c>
      <c r="P189" s="5" t="s">
        <v>1006</v>
      </c>
      <c r="Q189" s="5" t="n">
        <v>2</v>
      </c>
      <c r="R189" s="5"/>
      <c r="S189" s="5" t="s">
        <v>103</v>
      </c>
      <c r="T189" s="5" t="s">
        <v>104</v>
      </c>
      <c r="U189" s="5" t="n">
        <v>1</v>
      </c>
      <c r="V189" s="6" t="s">
        <v>1188</v>
      </c>
      <c r="W189" s="5" t="s">
        <v>106</v>
      </c>
      <c r="X189" s="6" t="s">
        <v>1189</v>
      </c>
    </row>
    <row r="190" customFormat="false" ht="46.25" hidden="false" customHeight="false" outlineLevel="0" collapsed="false">
      <c r="A190" s="5" t="s">
        <v>1190</v>
      </c>
      <c r="B190" s="5" t="s">
        <v>1004</v>
      </c>
      <c r="C190" s="5" t="s">
        <v>1005</v>
      </c>
      <c r="D190" s="5" t="s">
        <v>1191</v>
      </c>
      <c r="E190" s="5" t="s">
        <v>1006</v>
      </c>
      <c r="F190" s="6" t="s">
        <v>1007</v>
      </c>
      <c r="G190" s="5" t="s">
        <v>1170</v>
      </c>
      <c r="H190" s="5"/>
      <c r="I190" s="5"/>
      <c r="J190" s="5" t="s">
        <v>1191</v>
      </c>
      <c r="K190" s="5" t="s">
        <v>1192</v>
      </c>
      <c r="L190" s="5" t="s">
        <v>1011</v>
      </c>
      <c r="M190" s="5"/>
      <c r="N190" s="6" t="s">
        <v>1193</v>
      </c>
      <c r="O190" s="5" t="s">
        <v>1013</v>
      </c>
      <c r="P190" s="5" t="s">
        <v>1006</v>
      </c>
      <c r="Q190" s="5" t="n">
        <v>2</v>
      </c>
      <c r="R190" s="5"/>
      <c r="S190" s="5" t="s">
        <v>103</v>
      </c>
      <c r="T190" s="5" t="s">
        <v>104</v>
      </c>
      <c r="U190" s="5" t="n">
        <v>1</v>
      </c>
      <c r="V190" s="6" t="s">
        <v>1194</v>
      </c>
      <c r="W190" s="5" t="s">
        <v>106</v>
      </c>
      <c r="X190" s="6" t="s">
        <v>1195</v>
      </c>
    </row>
    <row r="191" customFormat="false" ht="102.2" hidden="false" customHeight="false" outlineLevel="0" collapsed="false">
      <c r="A191" s="5" t="s">
        <v>1196</v>
      </c>
      <c r="B191" s="5" t="s">
        <v>1004</v>
      </c>
      <c r="C191" s="5" t="s">
        <v>1005</v>
      </c>
      <c r="D191" s="5" t="s">
        <v>1197</v>
      </c>
      <c r="E191" s="5" t="s">
        <v>1006</v>
      </c>
      <c r="F191" s="6" t="s">
        <v>1007</v>
      </c>
      <c r="G191" s="5" t="s">
        <v>1153</v>
      </c>
      <c r="H191" s="5"/>
      <c r="I191" s="5"/>
      <c r="J191" s="5" t="s">
        <v>1197</v>
      </c>
      <c r="K191" s="5" t="s">
        <v>595</v>
      </c>
      <c r="L191" s="5" t="s">
        <v>1011</v>
      </c>
      <c r="M191" s="5"/>
      <c r="N191" s="6" t="s">
        <v>1198</v>
      </c>
      <c r="O191" s="5" t="s">
        <v>103</v>
      </c>
      <c r="P191" s="5" t="s">
        <v>1006</v>
      </c>
      <c r="Q191" s="5" t="n">
        <v>2</v>
      </c>
      <c r="R191" s="5"/>
      <c r="S191" s="5" t="s">
        <v>103</v>
      </c>
      <c r="T191" s="5" t="s">
        <v>104</v>
      </c>
      <c r="U191" s="5" t="n">
        <v>1</v>
      </c>
      <c r="V191" s="6" t="s">
        <v>1199</v>
      </c>
      <c r="W191" s="5" t="s">
        <v>106</v>
      </c>
      <c r="X191" s="6" t="s">
        <v>1200</v>
      </c>
    </row>
    <row r="192" customFormat="false" ht="68.65" hidden="false" customHeight="false" outlineLevel="0" collapsed="false">
      <c r="A192" s="5" t="s">
        <v>1201</v>
      </c>
      <c r="B192" s="5" t="s">
        <v>1202</v>
      </c>
      <c r="C192" s="5" t="s">
        <v>1203</v>
      </c>
      <c r="D192" s="5"/>
      <c r="E192" s="5" t="s">
        <v>1204</v>
      </c>
      <c r="F192" s="6" t="s">
        <v>1205</v>
      </c>
      <c r="G192" s="5" t="s">
        <v>912</v>
      </c>
      <c r="H192" s="5" t="s">
        <v>556</v>
      </c>
      <c r="I192" s="5" t="s">
        <v>1206</v>
      </c>
      <c r="J192" s="5" t="s">
        <v>1207</v>
      </c>
      <c r="K192" s="5" t="s">
        <v>595</v>
      </c>
      <c r="L192" s="5" t="s">
        <v>1208</v>
      </c>
      <c r="M192" s="5"/>
      <c r="N192" s="6"/>
      <c r="O192" s="5" t="s">
        <v>103</v>
      </c>
      <c r="P192" s="5" t="s">
        <v>1209</v>
      </c>
      <c r="Q192" s="5" t="n">
        <v>1</v>
      </c>
      <c r="R192" s="5"/>
      <c r="S192" s="5" t="s">
        <v>103</v>
      </c>
      <c r="T192" s="7" t="s">
        <v>197</v>
      </c>
      <c r="U192" s="5" t="n">
        <v>6</v>
      </c>
      <c r="V192" s="6" t="s">
        <v>1210</v>
      </c>
      <c r="W192" s="5" t="s">
        <v>800</v>
      </c>
      <c r="X192" s="6" t="s">
        <v>1211</v>
      </c>
    </row>
    <row r="193" customFormat="false" ht="23.85" hidden="false" customHeight="false" outlineLevel="0" collapsed="false">
      <c r="A193" s="5" t="s">
        <v>1212</v>
      </c>
      <c r="B193" s="5" t="s">
        <v>1202</v>
      </c>
      <c r="C193" s="5" t="s">
        <v>1203</v>
      </c>
      <c r="D193" s="5" t="s">
        <v>1213</v>
      </c>
      <c r="E193" s="5" t="s">
        <v>1213</v>
      </c>
      <c r="F193" s="6" t="s">
        <v>1205</v>
      </c>
      <c r="G193" s="5" t="s">
        <v>1214</v>
      </c>
      <c r="H193" s="5" t="s">
        <v>722</v>
      </c>
      <c r="I193" s="5" t="s">
        <v>857</v>
      </c>
      <c r="J193" s="5" t="s">
        <v>1215</v>
      </c>
      <c r="K193" s="5" t="s">
        <v>1216</v>
      </c>
      <c r="L193" s="5" t="s">
        <v>1208</v>
      </c>
      <c r="M193" s="5"/>
      <c r="N193" s="6"/>
      <c r="O193" s="5" t="s">
        <v>103</v>
      </c>
      <c r="P193" s="5" t="s">
        <v>1217</v>
      </c>
      <c r="Q193" s="5" t="n">
        <v>1</v>
      </c>
      <c r="R193" s="5" t="n">
        <v>1</v>
      </c>
      <c r="S193" s="5" t="s">
        <v>103</v>
      </c>
      <c r="T193" s="7" t="s">
        <v>197</v>
      </c>
      <c r="U193" s="5" t="n">
        <v>2</v>
      </c>
      <c r="V193" s="6" t="s">
        <v>734</v>
      </c>
      <c r="W193" s="5" t="s">
        <v>800</v>
      </c>
      <c r="X193" s="6" t="s">
        <v>1218</v>
      </c>
    </row>
    <row r="194" customFormat="false" ht="23.85" hidden="false" customHeight="false" outlineLevel="0" collapsed="false">
      <c r="A194" s="5" t="s">
        <v>1219</v>
      </c>
      <c r="B194" s="5" t="s">
        <v>1202</v>
      </c>
      <c r="C194" s="5" t="s">
        <v>1203</v>
      </c>
      <c r="D194" s="5" t="s">
        <v>1220</v>
      </c>
      <c r="E194" s="5" t="s">
        <v>1220</v>
      </c>
      <c r="F194" s="6" t="s">
        <v>1205</v>
      </c>
      <c r="G194" s="5" t="s">
        <v>1214</v>
      </c>
      <c r="H194" s="5" t="s">
        <v>722</v>
      </c>
      <c r="I194" s="5" t="s">
        <v>857</v>
      </c>
      <c r="J194" s="5" t="s">
        <v>1221</v>
      </c>
      <c r="K194" s="5" t="s">
        <v>589</v>
      </c>
      <c r="L194" s="5" t="s">
        <v>1208</v>
      </c>
      <c r="M194" s="5"/>
      <c r="N194" s="6"/>
      <c r="O194" s="5" t="s">
        <v>103</v>
      </c>
      <c r="P194" s="5" t="s">
        <v>1217</v>
      </c>
      <c r="Q194" s="5" t="n">
        <v>1</v>
      </c>
      <c r="R194" s="5" t="n">
        <v>1</v>
      </c>
      <c r="S194" s="5" t="s">
        <v>103</v>
      </c>
      <c r="T194" s="7" t="s">
        <v>197</v>
      </c>
      <c r="U194" s="5" t="n">
        <v>2</v>
      </c>
      <c r="V194" s="6" t="s">
        <v>729</v>
      </c>
      <c r="W194" s="5" t="s">
        <v>800</v>
      </c>
      <c r="X194" s="6" t="s">
        <v>1222</v>
      </c>
    </row>
    <row r="195" customFormat="false" ht="46.25" hidden="false" customHeight="false" outlineLevel="0" collapsed="false">
      <c r="A195" s="5" t="s">
        <v>1223</v>
      </c>
      <c r="B195" s="5" t="s">
        <v>1202</v>
      </c>
      <c r="C195" s="5" t="s">
        <v>1203</v>
      </c>
      <c r="D195" s="5" t="s">
        <v>1224</v>
      </c>
      <c r="E195" s="5" t="s">
        <v>1224</v>
      </c>
      <c r="F195" s="6" t="s">
        <v>1205</v>
      </c>
      <c r="G195" s="5" t="s">
        <v>1214</v>
      </c>
      <c r="H195" s="5" t="s">
        <v>722</v>
      </c>
      <c r="I195" s="5" t="s">
        <v>857</v>
      </c>
      <c r="J195" s="5" t="s">
        <v>1225</v>
      </c>
      <c r="K195" s="5" t="s">
        <v>1226</v>
      </c>
      <c r="L195" s="5" t="s">
        <v>1208</v>
      </c>
      <c r="M195" s="5"/>
      <c r="N195" s="6"/>
      <c r="O195" s="5" t="s">
        <v>103</v>
      </c>
      <c r="P195" s="5" t="s">
        <v>1217</v>
      </c>
      <c r="Q195" s="5" t="n">
        <v>1</v>
      </c>
      <c r="R195" s="5"/>
      <c r="S195" s="5" t="s">
        <v>103</v>
      </c>
      <c r="T195" s="7" t="s">
        <v>197</v>
      </c>
      <c r="U195" s="5" t="n">
        <v>2</v>
      </c>
      <c r="V195" s="6" t="s">
        <v>724</v>
      </c>
      <c r="W195" s="5" t="s">
        <v>800</v>
      </c>
      <c r="X195" s="6" t="s">
        <v>1227</v>
      </c>
    </row>
    <row r="196" customFormat="false" ht="35.05" hidden="false" customHeight="false" outlineLevel="0" collapsed="false">
      <c r="A196" s="5" t="s">
        <v>1228</v>
      </c>
      <c r="B196" s="5" t="s">
        <v>1202</v>
      </c>
      <c r="C196" s="5" t="s">
        <v>1203</v>
      </c>
      <c r="D196" s="5" t="s">
        <v>1229</v>
      </c>
      <c r="E196" s="5" t="s">
        <v>1229</v>
      </c>
      <c r="F196" s="6" t="s">
        <v>1205</v>
      </c>
      <c r="G196" s="5" t="s">
        <v>1230</v>
      </c>
      <c r="H196" s="5" t="s">
        <v>526</v>
      </c>
      <c r="I196" s="5" t="s">
        <v>1231</v>
      </c>
      <c r="J196" s="5" t="s">
        <v>1232</v>
      </c>
      <c r="K196" s="5" t="s">
        <v>1020</v>
      </c>
      <c r="L196" s="5" t="s">
        <v>1208</v>
      </c>
      <c r="M196" s="5"/>
      <c r="N196" s="6"/>
      <c r="O196" s="5" t="s">
        <v>103</v>
      </c>
      <c r="P196" s="5" t="s">
        <v>1217</v>
      </c>
      <c r="Q196" s="5" t="n">
        <v>1</v>
      </c>
      <c r="R196" s="5"/>
      <c r="S196" s="5" t="s">
        <v>103</v>
      </c>
      <c r="T196" s="7" t="s">
        <v>197</v>
      </c>
      <c r="U196" s="5" t="n">
        <v>2</v>
      </c>
      <c r="V196" s="6" t="s">
        <v>530</v>
      </c>
      <c r="W196" s="5" t="s">
        <v>800</v>
      </c>
      <c r="X196" s="6" t="s">
        <v>1233</v>
      </c>
    </row>
    <row r="197" customFormat="false" ht="23.85" hidden="false" customHeight="false" outlineLevel="0" collapsed="false">
      <c r="A197" s="5" t="s">
        <v>1234</v>
      </c>
      <c r="B197" s="5" t="s">
        <v>1202</v>
      </c>
      <c r="C197" s="5" t="s">
        <v>1203</v>
      </c>
      <c r="D197" s="5" t="s">
        <v>1235</v>
      </c>
      <c r="E197" s="5" t="s">
        <v>1235</v>
      </c>
      <c r="F197" s="6" t="s">
        <v>1205</v>
      </c>
      <c r="G197" s="5" t="s">
        <v>1230</v>
      </c>
      <c r="H197" s="5" t="s">
        <v>526</v>
      </c>
      <c r="I197" s="5" t="s">
        <v>1231</v>
      </c>
      <c r="J197" s="5" t="s">
        <v>1236</v>
      </c>
      <c r="K197" s="5" t="s">
        <v>595</v>
      </c>
      <c r="L197" s="5" t="s">
        <v>1208</v>
      </c>
      <c r="M197" s="5"/>
      <c r="N197" s="6"/>
      <c r="O197" s="5" t="s">
        <v>103</v>
      </c>
      <c r="P197" s="5" t="s">
        <v>1217</v>
      </c>
      <c r="Q197" s="5" t="n">
        <v>1</v>
      </c>
      <c r="R197" s="5"/>
      <c r="S197" s="5" t="s">
        <v>103</v>
      </c>
      <c r="T197" s="7" t="s">
        <v>197</v>
      </c>
      <c r="U197" s="5" t="n">
        <v>2</v>
      </c>
      <c r="V197" s="6" t="s">
        <v>537</v>
      </c>
      <c r="W197" s="5" t="s">
        <v>800</v>
      </c>
      <c r="X197" s="6" t="s">
        <v>1237</v>
      </c>
    </row>
    <row r="198" customFormat="false" ht="57.45" hidden="false" customHeight="false" outlineLevel="0" collapsed="false">
      <c r="A198" s="5" t="s">
        <v>1238</v>
      </c>
      <c r="B198" s="5" t="s">
        <v>1202</v>
      </c>
      <c r="C198" s="5" t="s">
        <v>1203</v>
      </c>
      <c r="D198" s="5" t="s">
        <v>1239</v>
      </c>
      <c r="E198" s="5" t="s">
        <v>1239</v>
      </c>
      <c r="F198" s="6" t="s">
        <v>1205</v>
      </c>
      <c r="G198" s="5" t="s">
        <v>544</v>
      </c>
      <c r="H198" s="5" t="s">
        <v>543</v>
      </c>
      <c r="I198" s="5" t="s">
        <v>903</v>
      </c>
      <c r="J198" s="5" t="s">
        <v>1240</v>
      </c>
      <c r="K198" s="5" t="s">
        <v>1041</v>
      </c>
      <c r="L198" s="5" t="s">
        <v>1208</v>
      </c>
      <c r="M198" s="5"/>
      <c r="N198" s="6"/>
      <c r="O198" s="5" t="s">
        <v>103</v>
      </c>
      <c r="P198" s="5" t="s">
        <v>1217</v>
      </c>
      <c r="Q198" s="5" t="n">
        <v>1</v>
      </c>
      <c r="R198" s="5"/>
      <c r="S198" s="5" t="s">
        <v>103</v>
      </c>
      <c r="T198" s="7" t="s">
        <v>197</v>
      </c>
      <c r="U198" s="5" t="n">
        <v>2</v>
      </c>
      <c r="V198" s="6" t="s">
        <v>546</v>
      </c>
      <c r="W198" s="5" t="s">
        <v>800</v>
      </c>
      <c r="X198" s="6" t="s">
        <v>1241</v>
      </c>
    </row>
    <row r="199" customFormat="false" ht="57.45" hidden="false" customHeight="false" outlineLevel="0" collapsed="false">
      <c r="A199" s="5" t="s">
        <v>1242</v>
      </c>
      <c r="B199" s="5" t="s">
        <v>1202</v>
      </c>
      <c r="C199" s="5" t="s">
        <v>1203</v>
      </c>
      <c r="D199" s="5" t="s">
        <v>1243</v>
      </c>
      <c r="E199" s="5" t="s">
        <v>1243</v>
      </c>
      <c r="F199" s="6" t="s">
        <v>1205</v>
      </c>
      <c r="G199" s="5" t="s">
        <v>544</v>
      </c>
      <c r="H199" s="5" t="s">
        <v>543</v>
      </c>
      <c r="I199" s="5" t="s">
        <v>903</v>
      </c>
      <c r="J199" s="5" t="s">
        <v>1244</v>
      </c>
      <c r="K199" s="5" t="s">
        <v>1035</v>
      </c>
      <c r="L199" s="5" t="s">
        <v>1245</v>
      </c>
      <c r="M199" s="5"/>
      <c r="N199" s="6"/>
      <c r="O199" s="5" t="s">
        <v>103</v>
      </c>
      <c r="P199" s="5" t="s">
        <v>1217</v>
      </c>
      <c r="Q199" s="5" t="n">
        <v>1</v>
      </c>
      <c r="R199" s="5"/>
      <c r="S199" s="5" t="s">
        <v>103</v>
      </c>
      <c r="T199" s="7" t="s">
        <v>197</v>
      </c>
      <c r="U199" s="5" t="n">
        <v>2</v>
      </c>
      <c r="V199" s="6" t="s">
        <v>551</v>
      </c>
      <c r="W199" s="5" t="s">
        <v>800</v>
      </c>
      <c r="X199" s="6" t="s">
        <v>1246</v>
      </c>
    </row>
    <row r="200" customFormat="false" ht="35.05" hidden="false" customHeight="false" outlineLevel="0" collapsed="false">
      <c r="A200" s="5" t="s">
        <v>1247</v>
      </c>
      <c r="B200" s="5" t="s">
        <v>1202</v>
      </c>
      <c r="C200" s="5" t="s">
        <v>1203</v>
      </c>
      <c r="D200" s="5" t="s">
        <v>1248</v>
      </c>
      <c r="E200" s="5" t="s">
        <v>1248</v>
      </c>
      <c r="F200" s="6" t="s">
        <v>1205</v>
      </c>
      <c r="G200" s="5" t="s">
        <v>912</v>
      </c>
      <c r="H200" s="5" t="s">
        <v>556</v>
      </c>
      <c r="I200" s="5" t="s">
        <v>1206</v>
      </c>
      <c r="J200" s="5" t="s">
        <v>1249</v>
      </c>
      <c r="K200" s="5" t="s">
        <v>1020</v>
      </c>
      <c r="L200" s="5" t="s">
        <v>1208</v>
      </c>
      <c r="M200" s="5"/>
      <c r="N200" s="6"/>
      <c r="O200" s="5" t="s">
        <v>103</v>
      </c>
      <c r="P200" s="5" t="s">
        <v>1217</v>
      </c>
      <c r="Q200" s="5" t="n">
        <v>1</v>
      </c>
      <c r="R200" s="5"/>
      <c r="S200" s="5" t="s">
        <v>103</v>
      </c>
      <c r="T200" s="7" t="s">
        <v>197</v>
      </c>
      <c r="U200" s="5" t="n">
        <v>2</v>
      </c>
      <c r="V200" s="6" t="s">
        <v>563</v>
      </c>
      <c r="W200" s="5" t="s">
        <v>800</v>
      </c>
      <c r="X200" s="6" t="s">
        <v>1250</v>
      </c>
    </row>
    <row r="201" customFormat="false" ht="46.25" hidden="false" customHeight="false" outlineLevel="0" collapsed="false">
      <c r="A201" s="5" t="s">
        <v>1251</v>
      </c>
      <c r="B201" s="5" t="s">
        <v>1202</v>
      </c>
      <c r="C201" s="5" t="s">
        <v>1203</v>
      </c>
      <c r="D201" s="5" t="s">
        <v>1252</v>
      </c>
      <c r="E201" s="5" t="s">
        <v>1252</v>
      </c>
      <c r="F201" s="6" t="s">
        <v>1205</v>
      </c>
      <c r="G201" s="5" t="s">
        <v>1253</v>
      </c>
      <c r="H201" s="5" t="s">
        <v>581</v>
      </c>
      <c r="I201" s="5" t="s">
        <v>1254</v>
      </c>
      <c r="J201" s="5" t="s">
        <v>1207</v>
      </c>
      <c r="K201" s="5" t="s">
        <v>1255</v>
      </c>
      <c r="L201" s="5" t="s">
        <v>1245</v>
      </c>
      <c r="M201" s="5"/>
      <c r="N201" s="6"/>
      <c r="O201" s="5" t="s">
        <v>103</v>
      </c>
      <c r="P201" s="5" t="s">
        <v>1217</v>
      </c>
      <c r="Q201" s="5" t="n">
        <v>1</v>
      </c>
      <c r="R201" s="5" t="n">
        <v>1</v>
      </c>
      <c r="S201" s="5" t="s">
        <v>103</v>
      </c>
      <c r="T201" s="7" t="s">
        <v>197</v>
      </c>
      <c r="U201" s="5" t="n">
        <v>2</v>
      </c>
      <c r="V201" s="6" t="s">
        <v>584</v>
      </c>
      <c r="W201" s="5" t="s">
        <v>800</v>
      </c>
      <c r="X201" s="6" t="s">
        <v>1256</v>
      </c>
    </row>
    <row r="202" customFormat="false" ht="23.85" hidden="false" customHeight="false" outlineLevel="0" collapsed="false">
      <c r="A202" s="5" t="s">
        <v>1257</v>
      </c>
      <c r="B202" s="5" t="s">
        <v>1202</v>
      </c>
      <c r="C202" s="5" t="s">
        <v>1203</v>
      </c>
      <c r="D202" s="5" t="s">
        <v>1258</v>
      </c>
      <c r="E202" s="5" t="s">
        <v>1258</v>
      </c>
      <c r="F202" s="6" t="s">
        <v>1205</v>
      </c>
      <c r="G202" s="5" t="s">
        <v>1253</v>
      </c>
      <c r="H202" s="5" t="s">
        <v>581</v>
      </c>
      <c r="I202" s="5" t="s">
        <v>1254</v>
      </c>
      <c r="J202" s="5" t="s">
        <v>1259</v>
      </c>
      <c r="K202" s="5" t="s">
        <v>1255</v>
      </c>
      <c r="L202" s="5" t="s">
        <v>1245</v>
      </c>
      <c r="M202" s="5"/>
      <c r="N202" s="6"/>
      <c r="O202" s="5" t="s">
        <v>103</v>
      </c>
      <c r="P202" s="5" t="s">
        <v>1217</v>
      </c>
      <c r="Q202" s="5" t="n">
        <v>1</v>
      </c>
      <c r="R202" s="5" t="n">
        <v>1</v>
      </c>
      <c r="S202" s="5" t="s">
        <v>103</v>
      </c>
      <c r="T202" s="7" t="s">
        <v>197</v>
      </c>
      <c r="U202" s="5" t="n">
        <v>2</v>
      </c>
      <c r="V202" s="6" t="s">
        <v>596</v>
      </c>
      <c r="W202" s="5" t="s">
        <v>800</v>
      </c>
      <c r="X202" s="6" t="s">
        <v>1260</v>
      </c>
    </row>
    <row r="203" customFormat="false" ht="57.45" hidden="false" customHeight="false" outlineLevel="0" collapsed="false">
      <c r="A203" s="5" t="s">
        <v>1261</v>
      </c>
      <c r="B203" s="5" t="s">
        <v>1202</v>
      </c>
      <c r="C203" s="5" t="s">
        <v>1203</v>
      </c>
      <c r="D203" s="5" t="s">
        <v>1262</v>
      </c>
      <c r="E203" s="5" t="s">
        <v>1262</v>
      </c>
      <c r="F203" s="6" t="s">
        <v>1205</v>
      </c>
      <c r="G203" s="5" t="s">
        <v>1253</v>
      </c>
      <c r="H203" s="5" t="s">
        <v>581</v>
      </c>
      <c r="I203" s="5" t="s">
        <v>1254</v>
      </c>
      <c r="J203" s="5" t="s">
        <v>1263</v>
      </c>
      <c r="K203" s="5" t="s">
        <v>589</v>
      </c>
      <c r="L203" s="5" t="s">
        <v>1208</v>
      </c>
      <c r="M203" s="5"/>
      <c r="N203" s="6"/>
      <c r="O203" s="5" t="s">
        <v>103</v>
      </c>
      <c r="P203" s="5" t="s">
        <v>1217</v>
      </c>
      <c r="Q203" s="5" t="n">
        <v>1</v>
      </c>
      <c r="R203" s="5"/>
      <c r="S203" s="5" t="s">
        <v>103</v>
      </c>
      <c r="T203" s="7" t="s">
        <v>197</v>
      </c>
      <c r="U203" s="5" t="n">
        <v>2</v>
      </c>
      <c r="V203" s="6" t="s">
        <v>590</v>
      </c>
      <c r="W203" s="5" t="s">
        <v>800</v>
      </c>
      <c r="X203" s="6" t="s">
        <v>1264</v>
      </c>
    </row>
    <row r="204" customFormat="false" ht="35.05" hidden="false" customHeight="false" outlineLevel="0" collapsed="false">
      <c r="A204" s="5" t="s">
        <v>1265</v>
      </c>
      <c r="B204" s="5" t="s">
        <v>1202</v>
      </c>
      <c r="C204" s="5" t="s">
        <v>1203</v>
      </c>
      <c r="D204" s="5" t="s">
        <v>1266</v>
      </c>
      <c r="E204" s="5" t="s">
        <v>1266</v>
      </c>
      <c r="F204" s="6" t="s">
        <v>1205</v>
      </c>
      <c r="G204" s="5" t="s">
        <v>600</v>
      </c>
      <c r="H204" s="5" t="s">
        <v>601</v>
      </c>
      <c r="I204" s="5" t="s">
        <v>1267</v>
      </c>
      <c r="J204" s="5" t="s">
        <v>1268</v>
      </c>
      <c r="K204" s="5" t="s">
        <v>1269</v>
      </c>
      <c r="L204" s="5" t="s">
        <v>1208</v>
      </c>
      <c r="M204" s="5"/>
      <c r="N204" s="6"/>
      <c r="O204" s="5" t="s">
        <v>103</v>
      </c>
      <c r="P204" s="5" t="s">
        <v>1217</v>
      </c>
      <c r="Q204" s="5" t="n">
        <v>1</v>
      </c>
      <c r="R204" s="5" t="n">
        <v>1</v>
      </c>
      <c r="S204" s="5" t="s">
        <v>103</v>
      </c>
      <c r="T204" s="7" t="s">
        <v>197</v>
      </c>
      <c r="U204" s="5" t="n">
        <v>2</v>
      </c>
      <c r="V204" s="6" t="s">
        <v>604</v>
      </c>
      <c r="W204" s="5" t="s">
        <v>800</v>
      </c>
      <c r="X204" s="6" t="s">
        <v>1270</v>
      </c>
    </row>
    <row r="205" customFormat="false" ht="23.85" hidden="false" customHeight="false" outlineLevel="0" collapsed="false">
      <c r="A205" s="5" t="s">
        <v>1271</v>
      </c>
      <c r="B205" s="5" t="s">
        <v>1202</v>
      </c>
      <c r="C205" s="5" t="s">
        <v>1203</v>
      </c>
      <c r="D205" s="5" t="s">
        <v>1272</v>
      </c>
      <c r="E205" s="5" t="s">
        <v>1272</v>
      </c>
      <c r="F205" s="6" t="s">
        <v>1205</v>
      </c>
      <c r="G205" s="5" t="s">
        <v>600</v>
      </c>
      <c r="H205" s="5" t="s">
        <v>601</v>
      </c>
      <c r="I205" s="5" t="s">
        <v>602</v>
      </c>
      <c r="J205" s="5" t="s">
        <v>1273</v>
      </c>
      <c r="K205" s="5" t="s">
        <v>1035</v>
      </c>
      <c r="L205" s="5" t="s">
        <v>1208</v>
      </c>
      <c r="M205" s="5"/>
      <c r="N205" s="6"/>
      <c r="O205" s="5" t="s">
        <v>103</v>
      </c>
      <c r="P205" s="5" t="s">
        <v>1217</v>
      </c>
      <c r="Q205" s="5" t="n">
        <v>1</v>
      </c>
      <c r="R205" s="5" t="n">
        <v>1</v>
      </c>
      <c r="S205" s="5" t="s">
        <v>103</v>
      </c>
      <c r="T205" s="7" t="s">
        <v>197</v>
      </c>
      <c r="U205" s="5" t="n">
        <v>2</v>
      </c>
      <c r="V205" s="6" t="s">
        <v>609</v>
      </c>
      <c r="W205" s="5" t="s">
        <v>800</v>
      </c>
      <c r="X205" s="6" t="s">
        <v>1274</v>
      </c>
    </row>
    <row r="206" customFormat="false" ht="23.85" hidden="false" customHeight="false" outlineLevel="0" collapsed="false">
      <c r="A206" s="5" t="s">
        <v>1275</v>
      </c>
      <c r="B206" s="5" t="s">
        <v>1202</v>
      </c>
      <c r="C206" s="5" t="s">
        <v>1203</v>
      </c>
      <c r="D206" s="5" t="s">
        <v>1276</v>
      </c>
      <c r="E206" s="5" t="s">
        <v>1276</v>
      </c>
      <c r="F206" s="6" t="s">
        <v>1205</v>
      </c>
      <c r="G206" s="5" t="s">
        <v>621</v>
      </c>
      <c r="H206" s="5" t="s">
        <v>614</v>
      </c>
      <c r="I206" s="5" t="s">
        <v>1277</v>
      </c>
      <c r="J206" s="5" t="s">
        <v>1278</v>
      </c>
      <c r="K206" s="5" t="s">
        <v>1041</v>
      </c>
      <c r="L206" s="5" t="s">
        <v>1208</v>
      </c>
      <c r="M206" s="5"/>
      <c r="N206" s="6"/>
      <c r="O206" s="5" t="s">
        <v>103</v>
      </c>
      <c r="P206" s="5" t="s">
        <v>1217</v>
      </c>
      <c r="Q206" s="5" t="n">
        <v>1</v>
      </c>
      <c r="R206" s="5" t="n">
        <v>1</v>
      </c>
      <c r="S206" s="5" t="s">
        <v>103</v>
      </c>
      <c r="T206" s="7" t="s">
        <v>197</v>
      </c>
      <c r="U206" s="5" t="n">
        <v>2</v>
      </c>
      <c r="V206" s="6" t="s">
        <v>616</v>
      </c>
      <c r="W206" s="5" t="s">
        <v>800</v>
      </c>
      <c r="X206" s="6" t="s">
        <v>1279</v>
      </c>
    </row>
    <row r="207" customFormat="false" ht="35.05" hidden="false" customHeight="false" outlineLevel="0" collapsed="false">
      <c r="A207" s="5" t="s">
        <v>1280</v>
      </c>
      <c r="B207" s="5" t="s">
        <v>1202</v>
      </c>
      <c r="C207" s="5" t="s">
        <v>1203</v>
      </c>
      <c r="D207" s="5" t="s">
        <v>1281</v>
      </c>
      <c r="E207" s="5" t="s">
        <v>1281</v>
      </c>
      <c r="F207" s="6" t="s">
        <v>1205</v>
      </c>
      <c r="G207" s="5" t="s">
        <v>1282</v>
      </c>
      <c r="H207" s="5" t="s">
        <v>621</v>
      </c>
      <c r="I207" s="5" t="s">
        <v>977</v>
      </c>
      <c r="J207" s="5" t="s">
        <v>985</v>
      </c>
      <c r="K207" s="5" t="s">
        <v>1103</v>
      </c>
      <c r="L207" s="5" t="s">
        <v>1208</v>
      </c>
      <c r="M207" s="5"/>
      <c r="N207" s="6"/>
      <c r="O207" s="5" t="s">
        <v>103</v>
      </c>
      <c r="P207" s="5" t="s">
        <v>1217</v>
      </c>
      <c r="Q207" s="5" t="n">
        <v>1</v>
      </c>
      <c r="R207" s="5" t="n">
        <v>1</v>
      </c>
      <c r="S207" s="5" t="s">
        <v>103</v>
      </c>
      <c r="T207" s="7" t="s">
        <v>197</v>
      </c>
      <c r="U207" s="5" t="n">
        <v>2</v>
      </c>
      <c r="V207" s="6" t="s">
        <v>640</v>
      </c>
      <c r="W207" s="5" t="s">
        <v>800</v>
      </c>
      <c r="X207" s="6" t="s">
        <v>1283</v>
      </c>
    </row>
    <row r="208" customFormat="false" ht="35.05" hidden="false" customHeight="false" outlineLevel="0" collapsed="false">
      <c r="A208" s="5" t="s">
        <v>1284</v>
      </c>
      <c r="B208" s="5" t="s">
        <v>1202</v>
      </c>
      <c r="C208" s="5" t="s">
        <v>1203</v>
      </c>
      <c r="D208" s="5" t="s">
        <v>1285</v>
      </c>
      <c r="E208" s="5" t="s">
        <v>1285</v>
      </c>
      <c r="F208" s="6" t="s">
        <v>1205</v>
      </c>
      <c r="G208" s="5" t="s">
        <v>1282</v>
      </c>
      <c r="H208" s="5" t="s">
        <v>621</v>
      </c>
      <c r="I208" s="5" t="s">
        <v>1286</v>
      </c>
      <c r="J208" s="5" t="s">
        <v>1287</v>
      </c>
      <c r="K208" s="5" t="s">
        <v>1255</v>
      </c>
      <c r="L208" s="5" t="s">
        <v>1208</v>
      </c>
      <c r="M208" s="5"/>
      <c r="N208" s="6"/>
      <c r="O208" s="5" t="s">
        <v>103</v>
      </c>
      <c r="P208" s="5" t="s">
        <v>1217</v>
      </c>
      <c r="Q208" s="5" t="n">
        <v>1</v>
      </c>
      <c r="R208" s="5" t="n">
        <v>1</v>
      </c>
      <c r="S208" s="5" t="s">
        <v>103</v>
      </c>
      <c r="T208" s="7" t="s">
        <v>197</v>
      </c>
      <c r="U208" s="5" t="n">
        <v>3</v>
      </c>
      <c r="V208" s="6" t="s">
        <v>623</v>
      </c>
      <c r="W208" s="5" t="s">
        <v>800</v>
      </c>
      <c r="X208" s="6" t="s">
        <v>1288</v>
      </c>
    </row>
    <row r="209" customFormat="false" ht="35.05" hidden="false" customHeight="false" outlineLevel="0" collapsed="false">
      <c r="A209" s="5" t="s">
        <v>1289</v>
      </c>
      <c r="B209" s="5" t="s">
        <v>1202</v>
      </c>
      <c r="C209" s="5" t="s">
        <v>1203</v>
      </c>
      <c r="D209" s="5" t="s">
        <v>1290</v>
      </c>
      <c r="E209" s="5" t="s">
        <v>1290</v>
      </c>
      <c r="F209" s="6" t="s">
        <v>1205</v>
      </c>
      <c r="G209" s="5" t="s">
        <v>977</v>
      </c>
      <c r="H209" s="5" t="s">
        <v>621</v>
      </c>
      <c r="I209" s="5" t="s">
        <v>1286</v>
      </c>
      <c r="J209" s="5" t="s">
        <v>1291</v>
      </c>
      <c r="K209" s="5" t="s">
        <v>1292</v>
      </c>
      <c r="L209" s="5" t="s">
        <v>1208</v>
      </c>
      <c r="M209" s="5"/>
      <c r="N209" s="6"/>
      <c r="O209" s="5" t="s">
        <v>103</v>
      </c>
      <c r="P209" s="5" t="s">
        <v>1217</v>
      </c>
      <c r="Q209" s="5" t="n">
        <v>1</v>
      </c>
      <c r="R209" s="5" t="n">
        <v>1</v>
      </c>
      <c r="S209" s="5" t="s">
        <v>103</v>
      </c>
      <c r="T209" s="7" t="s">
        <v>197</v>
      </c>
      <c r="U209" s="5" t="n">
        <v>2</v>
      </c>
      <c r="V209" s="6" t="s">
        <v>634</v>
      </c>
      <c r="W209" s="5" t="s">
        <v>800</v>
      </c>
      <c r="X209" s="6" t="s">
        <v>1293</v>
      </c>
    </row>
    <row r="210" customFormat="false" ht="35.05" hidden="false" customHeight="false" outlineLevel="0" collapsed="false">
      <c r="A210" s="5" t="s">
        <v>1294</v>
      </c>
      <c r="B210" s="5" t="s">
        <v>1202</v>
      </c>
      <c r="C210" s="5" t="s">
        <v>1203</v>
      </c>
      <c r="D210" s="5" t="s">
        <v>1295</v>
      </c>
      <c r="E210" s="5" t="s">
        <v>1295</v>
      </c>
      <c r="F210" s="6" t="s">
        <v>1205</v>
      </c>
      <c r="G210" s="5" t="s">
        <v>977</v>
      </c>
      <c r="H210" s="5" t="s">
        <v>621</v>
      </c>
      <c r="I210" s="5" t="s">
        <v>1286</v>
      </c>
      <c r="J210" s="5" t="s">
        <v>1296</v>
      </c>
      <c r="K210" s="5" t="s">
        <v>1090</v>
      </c>
      <c r="L210" s="5" t="s">
        <v>1208</v>
      </c>
      <c r="M210" s="5"/>
      <c r="N210" s="6"/>
      <c r="O210" s="5" t="s">
        <v>103</v>
      </c>
      <c r="P210" s="5" t="s">
        <v>1217</v>
      </c>
      <c r="Q210" s="5" t="n">
        <v>1</v>
      </c>
      <c r="R210" s="5" t="n">
        <v>1</v>
      </c>
      <c r="S210" s="5" t="s">
        <v>103</v>
      </c>
      <c r="T210" s="7" t="s">
        <v>197</v>
      </c>
      <c r="U210" s="5" t="n">
        <v>2</v>
      </c>
      <c r="V210" s="6" t="s">
        <v>629</v>
      </c>
      <c r="W210" s="5" t="s">
        <v>800</v>
      </c>
      <c r="X210" s="6" t="s">
        <v>1297</v>
      </c>
    </row>
    <row r="211" customFormat="false" ht="35.05" hidden="false" customHeight="false" outlineLevel="0" collapsed="false">
      <c r="A211" s="5" t="s">
        <v>1298</v>
      </c>
      <c r="B211" s="5" t="s">
        <v>1202</v>
      </c>
      <c r="C211" s="5" t="s">
        <v>1203</v>
      </c>
      <c r="D211" s="5" t="s">
        <v>1299</v>
      </c>
      <c r="E211" s="5" t="s">
        <v>1299</v>
      </c>
      <c r="F211" s="6" t="s">
        <v>1205</v>
      </c>
      <c r="G211" s="5" t="s">
        <v>1300</v>
      </c>
      <c r="H211" s="5" t="s">
        <v>653</v>
      </c>
      <c r="I211" s="5" t="s">
        <v>1301</v>
      </c>
      <c r="J211" s="5" t="s">
        <v>822</v>
      </c>
      <c r="K211" s="5" t="s">
        <v>1010</v>
      </c>
      <c r="L211" s="5" t="s">
        <v>1208</v>
      </c>
      <c r="M211" s="5"/>
      <c r="N211" s="6"/>
      <c r="O211" s="5" t="s">
        <v>103</v>
      </c>
      <c r="P211" s="5" t="s">
        <v>1217</v>
      </c>
      <c r="Q211" s="5" t="n">
        <v>1</v>
      </c>
      <c r="R211" s="5" t="n">
        <v>1</v>
      </c>
      <c r="S211" s="5" t="s">
        <v>103</v>
      </c>
      <c r="T211" s="7" t="s">
        <v>197</v>
      </c>
      <c r="U211" s="5" t="n">
        <v>4</v>
      </c>
      <c r="V211" s="6" t="s">
        <v>657</v>
      </c>
      <c r="W211" s="5" t="s">
        <v>800</v>
      </c>
      <c r="X211" s="6" t="s">
        <v>1302</v>
      </c>
    </row>
    <row r="212" customFormat="false" ht="46.25" hidden="false" customHeight="false" outlineLevel="0" collapsed="false">
      <c r="A212" s="5" t="s">
        <v>1303</v>
      </c>
      <c r="B212" s="5" t="s">
        <v>1202</v>
      </c>
      <c r="C212" s="5" t="s">
        <v>1203</v>
      </c>
      <c r="D212" s="5" t="s">
        <v>1304</v>
      </c>
      <c r="E212" s="5" t="s">
        <v>1304</v>
      </c>
      <c r="F212" s="6" t="s">
        <v>1205</v>
      </c>
      <c r="G212" s="5" t="s">
        <v>1300</v>
      </c>
      <c r="H212" s="5" t="s">
        <v>653</v>
      </c>
      <c r="I212" s="5" t="s">
        <v>1301</v>
      </c>
      <c r="J212" s="5" t="s">
        <v>806</v>
      </c>
      <c r="K212" s="5" t="s">
        <v>1010</v>
      </c>
      <c r="L212" s="5" t="s">
        <v>1208</v>
      </c>
      <c r="M212" s="5"/>
      <c r="N212" s="6"/>
      <c r="O212" s="5" t="s">
        <v>103</v>
      </c>
      <c r="P212" s="5" t="s">
        <v>1217</v>
      </c>
      <c r="Q212" s="5" t="n">
        <v>1</v>
      </c>
      <c r="R212" s="5" t="n">
        <v>1</v>
      </c>
      <c r="S212" s="5" t="s">
        <v>103</v>
      </c>
      <c r="T212" s="7" t="s">
        <v>197</v>
      </c>
      <c r="U212" s="5" t="n">
        <v>2</v>
      </c>
      <c r="V212" s="6" t="s">
        <v>663</v>
      </c>
      <c r="W212" s="5" t="s">
        <v>800</v>
      </c>
      <c r="X212" s="6" t="s">
        <v>1305</v>
      </c>
    </row>
    <row r="213" customFormat="false" ht="35.05" hidden="false" customHeight="false" outlineLevel="0" collapsed="false">
      <c r="A213" s="5" t="s">
        <v>1306</v>
      </c>
      <c r="B213" s="5" t="s">
        <v>1202</v>
      </c>
      <c r="C213" s="5" t="s">
        <v>1203</v>
      </c>
      <c r="D213" s="5" t="s">
        <v>1307</v>
      </c>
      <c r="E213" s="5" t="s">
        <v>1307</v>
      </c>
      <c r="F213" s="6" t="s">
        <v>1205</v>
      </c>
      <c r="G213" s="5" t="s">
        <v>1308</v>
      </c>
      <c r="H213" s="5" t="s">
        <v>676</v>
      </c>
      <c r="I213" s="5" t="s">
        <v>1308</v>
      </c>
      <c r="J213" s="5" t="s">
        <v>826</v>
      </c>
      <c r="K213" s="5" t="s">
        <v>1226</v>
      </c>
      <c r="L213" s="5" t="s">
        <v>1208</v>
      </c>
      <c r="M213" s="5"/>
      <c r="N213" s="6"/>
      <c r="O213" s="5" t="s">
        <v>103</v>
      </c>
      <c r="P213" s="5" t="s">
        <v>1217</v>
      </c>
      <c r="Q213" s="5" t="n">
        <v>1</v>
      </c>
      <c r="R213" s="5"/>
      <c r="S213" s="5" t="s">
        <v>103</v>
      </c>
      <c r="T213" s="7" t="s">
        <v>197</v>
      </c>
      <c r="U213" s="5" t="n">
        <v>4</v>
      </c>
      <c r="V213" s="6" t="s">
        <v>679</v>
      </c>
      <c r="W213" s="5" t="s">
        <v>800</v>
      </c>
      <c r="X213" s="6" t="s">
        <v>1309</v>
      </c>
    </row>
    <row r="214" customFormat="false" ht="23.85" hidden="false" customHeight="false" outlineLevel="0" collapsed="false">
      <c r="A214" s="5" t="s">
        <v>1310</v>
      </c>
      <c r="B214" s="5" t="s">
        <v>1202</v>
      </c>
      <c r="C214" s="5" t="s">
        <v>1203</v>
      </c>
      <c r="D214" s="5" t="s">
        <v>1311</v>
      </c>
      <c r="E214" s="5" t="s">
        <v>1311</v>
      </c>
      <c r="F214" s="6" t="s">
        <v>1205</v>
      </c>
      <c r="G214" s="5" t="s">
        <v>1308</v>
      </c>
      <c r="H214" s="5" t="s">
        <v>676</v>
      </c>
      <c r="I214" s="5" t="s">
        <v>1308</v>
      </c>
      <c r="J214" s="5" t="s">
        <v>683</v>
      </c>
      <c r="K214" s="5" t="s">
        <v>1121</v>
      </c>
      <c r="L214" s="5" t="s">
        <v>1208</v>
      </c>
      <c r="M214" s="5"/>
      <c r="N214" s="6"/>
      <c r="O214" s="5" t="s">
        <v>103</v>
      </c>
      <c r="P214" s="5" t="s">
        <v>1217</v>
      </c>
      <c r="Q214" s="5" t="n">
        <v>1</v>
      </c>
      <c r="R214" s="5" t="n">
        <v>1</v>
      </c>
      <c r="S214" s="5" t="s">
        <v>103</v>
      </c>
      <c r="T214" s="7" t="s">
        <v>197</v>
      </c>
      <c r="U214" s="5" t="n">
        <v>2</v>
      </c>
      <c r="V214" s="6" t="s">
        <v>684</v>
      </c>
      <c r="W214" s="5" t="s">
        <v>800</v>
      </c>
      <c r="X214" s="6" t="s">
        <v>1312</v>
      </c>
    </row>
    <row r="215" customFormat="false" ht="35.05" hidden="false" customHeight="false" outlineLevel="0" collapsed="false">
      <c r="A215" s="5" t="s">
        <v>1313</v>
      </c>
      <c r="B215" s="5" t="s">
        <v>1202</v>
      </c>
      <c r="C215" s="5" t="s">
        <v>1203</v>
      </c>
      <c r="D215" s="5" t="s">
        <v>1314</v>
      </c>
      <c r="E215" s="5" t="s">
        <v>1314</v>
      </c>
      <c r="F215" s="6" t="s">
        <v>1205</v>
      </c>
      <c r="G215" s="5" t="s">
        <v>1308</v>
      </c>
      <c r="H215" s="5" t="s">
        <v>676</v>
      </c>
      <c r="I215" s="5" t="s">
        <v>1308</v>
      </c>
      <c r="J215" s="5" t="s">
        <v>688</v>
      </c>
      <c r="K215" s="5" t="s">
        <v>1154</v>
      </c>
      <c r="L215" s="5" t="s">
        <v>1208</v>
      </c>
      <c r="M215" s="5"/>
      <c r="N215" s="6"/>
      <c r="O215" s="5" t="s">
        <v>103</v>
      </c>
      <c r="P215" s="5" t="s">
        <v>1217</v>
      </c>
      <c r="Q215" s="5" t="n">
        <v>1</v>
      </c>
      <c r="R215" s="5" t="n">
        <v>1</v>
      </c>
      <c r="S215" s="5" t="s">
        <v>103</v>
      </c>
      <c r="T215" s="7" t="s">
        <v>197</v>
      </c>
      <c r="U215" s="5" t="n">
        <v>4</v>
      </c>
      <c r="V215" s="6" t="s">
        <v>689</v>
      </c>
      <c r="W215" s="5" t="s">
        <v>800</v>
      </c>
      <c r="X215" s="6" t="s">
        <v>1315</v>
      </c>
    </row>
    <row r="216" customFormat="false" ht="23.85" hidden="false" customHeight="false" outlineLevel="0" collapsed="false">
      <c r="A216" s="5" t="s">
        <v>1316</v>
      </c>
      <c r="B216" s="5" t="s">
        <v>1202</v>
      </c>
      <c r="C216" s="5" t="s">
        <v>1203</v>
      </c>
      <c r="D216" s="5" t="s">
        <v>1317</v>
      </c>
      <c r="E216" s="5" t="s">
        <v>1317</v>
      </c>
      <c r="F216" s="6" t="s">
        <v>1205</v>
      </c>
      <c r="G216" s="5" t="s">
        <v>1308</v>
      </c>
      <c r="H216" s="5" t="s">
        <v>676</v>
      </c>
      <c r="I216" s="5" t="s">
        <v>1308</v>
      </c>
      <c r="J216" s="5" t="s">
        <v>693</v>
      </c>
      <c r="K216" s="5" t="s">
        <v>1318</v>
      </c>
      <c r="L216" s="5" t="s">
        <v>1208</v>
      </c>
      <c r="M216" s="5"/>
      <c r="N216" s="6"/>
      <c r="O216" s="5" t="s">
        <v>103</v>
      </c>
      <c r="P216" s="5" t="s">
        <v>1217</v>
      </c>
      <c r="Q216" s="5" t="n">
        <v>1</v>
      </c>
      <c r="R216" s="5" t="n">
        <v>1</v>
      </c>
      <c r="S216" s="5" t="s">
        <v>103</v>
      </c>
      <c r="T216" s="7" t="s">
        <v>197</v>
      </c>
      <c r="U216" s="5" t="n">
        <v>2</v>
      </c>
      <c r="V216" s="6" t="s">
        <v>694</v>
      </c>
      <c r="W216" s="5" t="s">
        <v>800</v>
      </c>
      <c r="X216" s="6" t="s">
        <v>1319</v>
      </c>
    </row>
    <row r="217" customFormat="false" ht="23.85" hidden="false" customHeight="false" outlineLevel="0" collapsed="false">
      <c r="A217" s="5" t="s">
        <v>1320</v>
      </c>
      <c r="B217" s="5" t="s">
        <v>1202</v>
      </c>
      <c r="C217" s="5" t="s">
        <v>1203</v>
      </c>
      <c r="D217" s="5" t="s">
        <v>1321</v>
      </c>
      <c r="E217" s="5" t="s">
        <v>1321</v>
      </c>
      <c r="F217" s="6" t="s">
        <v>1205</v>
      </c>
      <c r="G217" s="5" t="s">
        <v>699</v>
      </c>
      <c r="H217" s="5" t="s">
        <v>667</v>
      </c>
      <c r="I217" s="5" t="s">
        <v>1322</v>
      </c>
      <c r="J217" s="5" t="s">
        <v>849</v>
      </c>
      <c r="K217" s="5" t="s">
        <v>595</v>
      </c>
      <c r="L217" s="5" t="s">
        <v>1208</v>
      </c>
      <c r="M217" s="5"/>
      <c r="N217" s="6"/>
      <c r="O217" s="5" t="s">
        <v>103</v>
      </c>
      <c r="P217" s="5" t="s">
        <v>1323</v>
      </c>
      <c r="Q217" s="5" t="n">
        <v>1</v>
      </c>
      <c r="R217" s="5" t="n">
        <v>1</v>
      </c>
      <c r="S217" s="5" t="s">
        <v>103</v>
      </c>
      <c r="T217" s="7" t="s">
        <v>197</v>
      </c>
      <c r="U217" s="5" t="n">
        <v>2</v>
      </c>
      <c r="V217" s="6" t="s">
        <v>701</v>
      </c>
      <c r="W217" s="5" t="s">
        <v>800</v>
      </c>
      <c r="X217" s="6" t="s">
        <v>1324</v>
      </c>
    </row>
    <row r="218" customFormat="false" ht="23.85" hidden="false" customHeight="false" outlineLevel="0" collapsed="false">
      <c r="A218" s="5" t="s">
        <v>1325</v>
      </c>
      <c r="B218" s="5" t="s">
        <v>1202</v>
      </c>
      <c r="C218" s="5" t="s">
        <v>1203</v>
      </c>
      <c r="D218" s="5" t="s">
        <v>1326</v>
      </c>
      <c r="E218" s="5" t="s">
        <v>1326</v>
      </c>
      <c r="F218" s="6" t="s">
        <v>1205</v>
      </c>
      <c r="G218" s="5" t="s">
        <v>699</v>
      </c>
      <c r="H218" s="5" t="s">
        <v>667</v>
      </c>
      <c r="I218" s="5" t="s">
        <v>1322</v>
      </c>
      <c r="J218" s="5" t="s">
        <v>853</v>
      </c>
      <c r="K218" s="5" t="s">
        <v>595</v>
      </c>
      <c r="L218" s="5" t="s">
        <v>1208</v>
      </c>
      <c r="M218" s="5"/>
      <c r="N218" s="6"/>
      <c r="O218" s="5" t="s">
        <v>103</v>
      </c>
      <c r="P218" s="5" t="s">
        <v>1323</v>
      </c>
      <c r="Q218" s="5" t="n">
        <v>1</v>
      </c>
      <c r="R218" s="5" t="n">
        <v>1</v>
      </c>
      <c r="S218" s="5" t="s">
        <v>103</v>
      </c>
      <c r="T218" s="7" t="s">
        <v>197</v>
      </c>
      <c r="U218" s="5" t="n">
        <v>2</v>
      </c>
      <c r="V218" s="6" t="s">
        <v>706</v>
      </c>
      <c r="W218" s="5" t="s">
        <v>800</v>
      </c>
      <c r="X218" s="6" t="s">
        <v>1327</v>
      </c>
    </row>
    <row r="219" customFormat="false" ht="23.85" hidden="false" customHeight="false" outlineLevel="0" collapsed="false">
      <c r="A219" s="5" t="s">
        <v>1328</v>
      </c>
      <c r="B219" s="5" t="s">
        <v>1202</v>
      </c>
      <c r="C219" s="5" t="s">
        <v>1203</v>
      </c>
      <c r="D219" s="5" t="s">
        <v>1329</v>
      </c>
      <c r="E219" s="5" t="s">
        <v>1329</v>
      </c>
      <c r="F219" s="6" t="s">
        <v>1205</v>
      </c>
      <c r="G219" s="5" t="s">
        <v>699</v>
      </c>
      <c r="H219" s="5" t="s">
        <v>667</v>
      </c>
      <c r="I219" s="5" t="s">
        <v>1322</v>
      </c>
      <c r="J219" s="5" t="s">
        <v>841</v>
      </c>
      <c r="K219" s="5" t="s">
        <v>595</v>
      </c>
      <c r="L219" s="5" t="s">
        <v>1208</v>
      </c>
      <c r="M219" s="5"/>
      <c r="N219" s="6"/>
      <c r="O219" s="5" t="s">
        <v>103</v>
      </c>
      <c r="P219" s="5" t="s">
        <v>1323</v>
      </c>
      <c r="Q219" s="5" t="n">
        <v>1</v>
      </c>
      <c r="R219" s="5" t="n">
        <v>1</v>
      </c>
      <c r="S219" s="5" t="s">
        <v>103</v>
      </c>
      <c r="T219" s="7" t="s">
        <v>197</v>
      </c>
      <c r="U219" s="5" t="n">
        <v>2</v>
      </c>
      <c r="V219" s="6" t="s">
        <v>711</v>
      </c>
      <c r="W219" s="5" t="s">
        <v>800</v>
      </c>
      <c r="X219" s="6" t="s">
        <v>1330</v>
      </c>
    </row>
    <row r="220" customFormat="false" ht="35.05" hidden="false" customHeight="false" outlineLevel="0" collapsed="false">
      <c r="A220" s="5" t="s">
        <v>1331</v>
      </c>
      <c r="B220" s="5" t="s">
        <v>1202</v>
      </c>
      <c r="C220" s="5" t="s">
        <v>1203</v>
      </c>
      <c r="D220" s="5" t="s">
        <v>1332</v>
      </c>
      <c r="E220" s="5" t="s">
        <v>1332</v>
      </c>
      <c r="F220" s="6" t="s">
        <v>1205</v>
      </c>
      <c r="G220" s="5" t="s">
        <v>699</v>
      </c>
      <c r="H220" s="5" t="s">
        <v>667</v>
      </c>
      <c r="I220" s="5" t="s">
        <v>1322</v>
      </c>
      <c r="J220" s="5" t="s">
        <v>845</v>
      </c>
      <c r="K220" s="5" t="s">
        <v>595</v>
      </c>
      <c r="L220" s="5" t="s">
        <v>1208</v>
      </c>
      <c r="M220" s="5"/>
      <c r="N220" s="6"/>
      <c r="O220" s="5" t="s">
        <v>103</v>
      </c>
      <c r="P220" s="5" t="s">
        <v>1323</v>
      </c>
      <c r="Q220" s="5" t="n">
        <v>1</v>
      </c>
      <c r="R220" s="5" t="n">
        <v>1</v>
      </c>
      <c r="S220" s="5" t="s">
        <v>103</v>
      </c>
      <c r="T220" s="7" t="s">
        <v>197</v>
      </c>
      <c r="U220" s="5" t="n">
        <v>2</v>
      </c>
      <c r="V220" s="6" t="s">
        <v>717</v>
      </c>
      <c r="W220" s="5" t="s">
        <v>800</v>
      </c>
      <c r="X220" s="6" t="s">
        <v>1333</v>
      </c>
    </row>
    <row r="221" customFormat="false" ht="35.05" hidden="false" customHeight="false" outlineLevel="0" collapsed="false">
      <c r="A221" s="5" t="s">
        <v>1334</v>
      </c>
      <c r="B221" s="5" t="s">
        <v>1202</v>
      </c>
      <c r="C221" s="5" t="s">
        <v>1203</v>
      </c>
      <c r="D221" s="5" t="s">
        <v>1335</v>
      </c>
      <c r="E221" s="5" t="s">
        <v>1335</v>
      </c>
      <c r="F221" s="6" t="s">
        <v>1205</v>
      </c>
      <c r="G221" s="5" t="s">
        <v>1008</v>
      </c>
      <c r="H221" s="5" t="s">
        <v>739</v>
      </c>
      <c r="I221" s="5" t="s">
        <v>1336</v>
      </c>
      <c r="J221" s="5" t="s">
        <v>740</v>
      </c>
      <c r="K221" s="5" t="s">
        <v>1154</v>
      </c>
      <c r="L221" s="5" t="s">
        <v>1208</v>
      </c>
      <c r="M221" s="5"/>
      <c r="N221" s="6"/>
      <c r="O221" s="5" t="s">
        <v>103</v>
      </c>
      <c r="P221" s="5" t="s">
        <v>1337</v>
      </c>
      <c r="Q221" s="5" t="n">
        <v>1</v>
      </c>
      <c r="R221" s="5" t="n">
        <v>1</v>
      </c>
      <c r="S221" s="5" t="s">
        <v>103</v>
      </c>
      <c r="T221" s="7" t="s">
        <v>197</v>
      </c>
      <c r="U221" s="5" t="n">
        <v>3</v>
      </c>
      <c r="V221" s="6" t="s">
        <v>885</v>
      </c>
      <c r="W221" s="5" t="s">
        <v>800</v>
      </c>
      <c r="X221" s="6" t="s">
        <v>1338</v>
      </c>
    </row>
    <row r="222" customFormat="false" ht="35.05" hidden="false" customHeight="false" outlineLevel="0" collapsed="false">
      <c r="A222" s="5" t="s">
        <v>1339</v>
      </c>
      <c r="B222" s="5" t="s">
        <v>1202</v>
      </c>
      <c r="C222" s="5" t="s">
        <v>1203</v>
      </c>
      <c r="D222" s="5" t="s">
        <v>1340</v>
      </c>
      <c r="E222" s="5" t="s">
        <v>1340</v>
      </c>
      <c r="F222" s="6" t="s">
        <v>1205</v>
      </c>
      <c r="G222" s="5" t="s">
        <v>1008</v>
      </c>
      <c r="H222" s="5" t="s">
        <v>739</v>
      </c>
      <c r="I222" s="5" t="s">
        <v>1341</v>
      </c>
      <c r="J222" s="5" t="s">
        <v>745</v>
      </c>
      <c r="K222" s="5" t="s">
        <v>1096</v>
      </c>
      <c r="L222" s="5" t="s">
        <v>1208</v>
      </c>
      <c r="M222" s="5"/>
      <c r="N222" s="6"/>
      <c r="O222" s="5" t="s">
        <v>103</v>
      </c>
      <c r="P222" s="5" t="s">
        <v>1337</v>
      </c>
      <c r="Q222" s="5" t="n">
        <v>1</v>
      </c>
      <c r="R222" s="5" t="n">
        <v>1</v>
      </c>
      <c r="S222" s="5" t="s">
        <v>103</v>
      </c>
      <c r="T222" s="7" t="s">
        <v>197</v>
      </c>
      <c r="U222" s="5" t="n">
        <v>3</v>
      </c>
      <c r="V222" s="6" t="s">
        <v>1342</v>
      </c>
      <c r="W222" s="5" t="s">
        <v>800</v>
      </c>
      <c r="X222" s="6" t="s">
        <v>1343</v>
      </c>
    </row>
    <row r="223" customFormat="false" ht="35.05" hidden="false" customHeight="false" outlineLevel="0" collapsed="false">
      <c r="A223" s="5" t="s">
        <v>1344</v>
      </c>
      <c r="B223" s="5" t="s">
        <v>1202</v>
      </c>
      <c r="C223" s="5" t="s">
        <v>1203</v>
      </c>
      <c r="D223" s="5" t="s">
        <v>1345</v>
      </c>
      <c r="E223" s="5" t="s">
        <v>1345</v>
      </c>
      <c r="F223" s="6" t="s">
        <v>1205</v>
      </c>
      <c r="G223" s="5" t="s">
        <v>1008</v>
      </c>
      <c r="H223" s="5" t="s">
        <v>739</v>
      </c>
      <c r="I223" s="5" t="s">
        <v>1336</v>
      </c>
      <c r="J223" s="5" t="s">
        <v>750</v>
      </c>
      <c r="K223" s="5" t="s">
        <v>1096</v>
      </c>
      <c r="L223" s="5" t="s">
        <v>1208</v>
      </c>
      <c r="M223" s="5"/>
      <c r="N223" s="6"/>
      <c r="O223" s="5" t="s">
        <v>103</v>
      </c>
      <c r="P223" s="5" t="s">
        <v>1337</v>
      </c>
      <c r="Q223" s="5" t="n">
        <v>1</v>
      </c>
      <c r="R223" s="5" t="n">
        <v>1</v>
      </c>
      <c r="S223" s="5" t="s">
        <v>103</v>
      </c>
      <c r="T223" s="7" t="s">
        <v>197</v>
      </c>
      <c r="U223" s="5" t="n">
        <v>3</v>
      </c>
      <c r="V223" s="6" t="s">
        <v>899</v>
      </c>
      <c r="W223" s="5" t="s">
        <v>800</v>
      </c>
      <c r="X223" s="6" t="s">
        <v>1346</v>
      </c>
    </row>
    <row r="224" customFormat="false" ht="46.25" hidden="false" customHeight="false" outlineLevel="0" collapsed="false">
      <c r="A224" s="5" t="s">
        <v>1347</v>
      </c>
      <c r="B224" s="5" t="s">
        <v>1202</v>
      </c>
      <c r="C224" s="5" t="s">
        <v>1203</v>
      </c>
      <c r="D224" s="5" t="s">
        <v>1348</v>
      </c>
      <c r="E224" s="5" t="s">
        <v>1348</v>
      </c>
      <c r="F224" s="6" t="s">
        <v>1205</v>
      </c>
      <c r="G224" s="5" t="s">
        <v>1008</v>
      </c>
      <c r="H224" s="5" t="s">
        <v>739</v>
      </c>
      <c r="I224" s="5" t="s">
        <v>1349</v>
      </c>
      <c r="J224" s="5" t="s">
        <v>755</v>
      </c>
      <c r="K224" s="5" t="s">
        <v>1121</v>
      </c>
      <c r="L224" s="5" t="s">
        <v>1208</v>
      </c>
      <c r="M224" s="5"/>
      <c r="N224" s="6"/>
      <c r="O224" s="5" t="s">
        <v>103</v>
      </c>
      <c r="P224" s="5" t="s">
        <v>1337</v>
      </c>
      <c r="Q224" s="5" t="n">
        <v>1</v>
      </c>
      <c r="R224" s="5" t="n">
        <v>1</v>
      </c>
      <c r="S224" s="5" t="s">
        <v>103</v>
      </c>
      <c r="T224" s="7" t="s">
        <v>197</v>
      </c>
      <c r="U224" s="5" t="n">
        <v>3</v>
      </c>
      <c r="V224" s="6" t="s">
        <v>934</v>
      </c>
      <c r="W224" s="5" t="s">
        <v>800</v>
      </c>
      <c r="X224" s="6" t="s">
        <v>1350</v>
      </c>
    </row>
    <row r="225" customFormat="false" ht="35.05" hidden="false" customHeight="false" outlineLevel="0" collapsed="false">
      <c r="A225" s="5" t="s">
        <v>1351</v>
      </c>
      <c r="B225" s="5" t="s">
        <v>1202</v>
      </c>
      <c r="C225" s="5" t="s">
        <v>1203</v>
      </c>
      <c r="D225" s="5" t="s">
        <v>1352</v>
      </c>
      <c r="E225" s="5" t="s">
        <v>1352</v>
      </c>
      <c r="F225" s="6" t="s">
        <v>1205</v>
      </c>
      <c r="G225" s="5" t="s">
        <v>1008</v>
      </c>
      <c r="H225" s="5" t="s">
        <v>739</v>
      </c>
      <c r="I225" s="5" t="s">
        <v>1336</v>
      </c>
      <c r="J225" s="5" t="s">
        <v>760</v>
      </c>
      <c r="K225" s="5" t="s">
        <v>1176</v>
      </c>
      <c r="L225" s="5" t="s">
        <v>1208</v>
      </c>
      <c r="M225" s="5"/>
      <c r="N225" s="6"/>
      <c r="O225" s="5" t="s">
        <v>103</v>
      </c>
      <c r="P225" s="5" t="s">
        <v>1337</v>
      </c>
      <c r="Q225" s="5" t="n">
        <v>1</v>
      </c>
      <c r="R225" s="5" t="n">
        <v>1</v>
      </c>
      <c r="S225" s="5" t="s">
        <v>103</v>
      </c>
      <c r="T225" s="7" t="s">
        <v>197</v>
      </c>
      <c r="U225" s="5" t="n">
        <v>3</v>
      </c>
      <c r="V225" s="6" t="s">
        <v>950</v>
      </c>
      <c r="W225" s="5" t="s">
        <v>800</v>
      </c>
      <c r="X225" s="6" t="s">
        <v>1353</v>
      </c>
    </row>
    <row r="226" customFormat="false" ht="35.05" hidden="false" customHeight="false" outlineLevel="0" collapsed="false">
      <c r="A226" s="5" t="s">
        <v>1354</v>
      </c>
      <c r="B226" s="5" t="s">
        <v>1202</v>
      </c>
      <c r="C226" s="5" t="s">
        <v>1203</v>
      </c>
      <c r="D226" s="5" t="s">
        <v>1355</v>
      </c>
      <c r="E226" s="5" t="s">
        <v>1355</v>
      </c>
      <c r="F226" s="6" t="s">
        <v>1205</v>
      </c>
      <c r="G226" s="5" t="s">
        <v>1008</v>
      </c>
      <c r="H226" s="5" t="s">
        <v>739</v>
      </c>
      <c r="I226" s="5" t="s">
        <v>1336</v>
      </c>
      <c r="J226" s="5" t="s">
        <v>765</v>
      </c>
      <c r="K226" s="5" t="s">
        <v>1192</v>
      </c>
      <c r="L226" s="5" t="s">
        <v>1208</v>
      </c>
      <c r="M226" s="5"/>
      <c r="N226" s="6"/>
      <c r="O226" s="5" t="s">
        <v>103</v>
      </c>
      <c r="P226" s="5" t="s">
        <v>1337</v>
      </c>
      <c r="Q226" s="5" t="n">
        <v>1</v>
      </c>
      <c r="R226" s="5" t="n">
        <v>1</v>
      </c>
      <c r="S226" s="5" t="s">
        <v>103</v>
      </c>
      <c r="T226" s="7" t="s">
        <v>197</v>
      </c>
      <c r="U226" s="5" t="n">
        <v>3</v>
      </c>
      <c r="V226" s="6" t="s">
        <v>969</v>
      </c>
      <c r="W226" s="5" t="s">
        <v>800</v>
      </c>
      <c r="X226" s="6" t="s">
        <v>1356</v>
      </c>
    </row>
    <row r="227" customFormat="false" ht="35.05" hidden="false" customHeight="false" outlineLevel="0" collapsed="false">
      <c r="A227" s="5" t="s">
        <v>1357</v>
      </c>
      <c r="B227" s="5" t="s">
        <v>1202</v>
      </c>
      <c r="C227" s="5" t="s">
        <v>1203</v>
      </c>
      <c r="D227" s="5" t="s">
        <v>1358</v>
      </c>
      <c r="E227" s="5" t="s">
        <v>1358</v>
      </c>
      <c r="F227" s="6" t="s">
        <v>1205</v>
      </c>
      <c r="G227" s="5" t="s">
        <v>1008</v>
      </c>
      <c r="H227" s="5" t="s">
        <v>739</v>
      </c>
      <c r="I227" s="5" t="s">
        <v>1336</v>
      </c>
      <c r="J227" s="5" t="s">
        <v>770</v>
      </c>
      <c r="K227" s="5" t="s">
        <v>1096</v>
      </c>
      <c r="L227" s="5" t="s">
        <v>1208</v>
      </c>
      <c r="M227" s="5"/>
      <c r="N227" s="6"/>
      <c r="O227" s="5" t="s">
        <v>103</v>
      </c>
      <c r="P227" s="5" t="s">
        <v>1337</v>
      </c>
      <c r="Q227" s="5" t="n">
        <v>1</v>
      </c>
      <c r="R227" s="5" t="n">
        <v>1</v>
      </c>
      <c r="S227" s="5" t="s">
        <v>103</v>
      </c>
      <c r="T227" s="7" t="s">
        <v>197</v>
      </c>
      <c r="U227" s="5" t="n">
        <v>3</v>
      </c>
      <c r="V227" s="6" t="s">
        <v>793</v>
      </c>
      <c r="W227" s="5" t="s">
        <v>800</v>
      </c>
      <c r="X227" s="6" t="s">
        <v>1356</v>
      </c>
    </row>
    <row r="228" customFormat="false" ht="35.05" hidden="false" customHeight="false" outlineLevel="0" collapsed="false">
      <c r="A228" s="5" t="s">
        <v>1359</v>
      </c>
      <c r="B228" s="5" t="s">
        <v>1202</v>
      </c>
      <c r="C228" s="5" t="s">
        <v>1203</v>
      </c>
      <c r="D228" s="5" t="s">
        <v>1360</v>
      </c>
      <c r="E228" s="5" t="s">
        <v>1360</v>
      </c>
      <c r="F228" s="6" t="s">
        <v>1205</v>
      </c>
      <c r="G228" s="5" t="s">
        <v>1008</v>
      </c>
      <c r="H228" s="5" t="s">
        <v>739</v>
      </c>
      <c r="I228" s="5" t="s">
        <v>1336</v>
      </c>
      <c r="J228" s="5" t="s">
        <v>776</v>
      </c>
      <c r="K228" s="5" t="s">
        <v>1041</v>
      </c>
      <c r="L228" s="5" t="s">
        <v>1208</v>
      </c>
      <c r="M228" s="5"/>
      <c r="N228" s="6"/>
      <c r="O228" s="5" t="s">
        <v>103</v>
      </c>
      <c r="P228" s="5" t="s">
        <v>1337</v>
      </c>
      <c r="Q228" s="5" t="n">
        <v>1</v>
      </c>
      <c r="R228" s="5" t="n">
        <v>1</v>
      </c>
      <c r="S228" s="5" t="s">
        <v>103</v>
      </c>
      <c r="T228" s="7" t="s">
        <v>197</v>
      </c>
      <c r="U228" s="5" t="n">
        <v>3</v>
      </c>
      <c r="V228" s="6" t="s">
        <v>868</v>
      </c>
      <c r="W228" s="5" t="s">
        <v>800</v>
      </c>
      <c r="X228" s="6" t="s">
        <v>1361</v>
      </c>
    </row>
    <row r="229" customFormat="false" ht="35.05" hidden="false" customHeight="false" outlineLevel="0" collapsed="false">
      <c r="A229" s="5" t="s">
        <v>1362</v>
      </c>
      <c r="B229" s="5" t="s">
        <v>1202</v>
      </c>
      <c r="C229" s="5" t="s">
        <v>1203</v>
      </c>
      <c r="D229" s="5" t="s">
        <v>1363</v>
      </c>
      <c r="E229" s="5" t="s">
        <v>1363</v>
      </c>
      <c r="F229" s="6" t="s">
        <v>1205</v>
      </c>
      <c r="G229" s="5" t="s">
        <v>1008</v>
      </c>
      <c r="H229" s="5" t="s">
        <v>739</v>
      </c>
      <c r="I229" s="5" t="s">
        <v>1336</v>
      </c>
      <c r="J229" s="5" t="s">
        <v>781</v>
      </c>
      <c r="K229" s="5" t="s">
        <v>595</v>
      </c>
      <c r="L229" s="5" t="s">
        <v>1208</v>
      </c>
      <c r="M229" s="5"/>
      <c r="N229" s="6"/>
      <c r="O229" s="5" t="s">
        <v>103</v>
      </c>
      <c r="P229" s="5" t="s">
        <v>1337</v>
      </c>
      <c r="Q229" s="5" t="n">
        <v>1</v>
      </c>
      <c r="R229" s="5" t="n">
        <v>1</v>
      </c>
      <c r="S229" s="5" t="s">
        <v>103</v>
      </c>
      <c r="T229" s="7" t="s">
        <v>197</v>
      </c>
      <c r="U229" s="5" t="n">
        <v>3</v>
      </c>
      <c r="V229" s="6" t="s">
        <v>922</v>
      </c>
      <c r="W229" s="5" t="s">
        <v>800</v>
      </c>
      <c r="X229" s="6" t="s">
        <v>1364</v>
      </c>
    </row>
    <row r="230" customFormat="false" ht="23.85" hidden="false" customHeight="false" outlineLevel="0" collapsed="false">
      <c r="A230" s="5" t="s">
        <v>1365</v>
      </c>
      <c r="B230" s="5" t="s">
        <v>1202</v>
      </c>
      <c r="C230" s="5" t="s">
        <v>1203</v>
      </c>
      <c r="D230" s="5" t="s">
        <v>1366</v>
      </c>
      <c r="E230" s="5" t="s">
        <v>1366</v>
      </c>
      <c r="F230" s="6" t="s">
        <v>1205</v>
      </c>
      <c r="G230" s="5" t="s">
        <v>1367</v>
      </c>
      <c r="H230" s="5" t="s">
        <v>97</v>
      </c>
      <c r="I230" s="5" t="s">
        <v>112</v>
      </c>
      <c r="J230" s="5" t="s">
        <v>1368</v>
      </c>
      <c r="K230" s="5" t="s">
        <v>1121</v>
      </c>
      <c r="L230" s="5" t="s">
        <v>1208</v>
      </c>
      <c r="M230" s="5"/>
      <c r="N230" s="6"/>
      <c r="O230" s="5" t="s">
        <v>103</v>
      </c>
      <c r="P230" s="5" t="s">
        <v>1337</v>
      </c>
      <c r="Q230" s="5" t="n">
        <v>1</v>
      </c>
      <c r="R230" s="5" t="n">
        <v>1</v>
      </c>
      <c r="S230" s="5" t="s">
        <v>103</v>
      </c>
      <c r="T230" s="5" t="s">
        <v>104</v>
      </c>
      <c r="U230" s="5" t="n">
        <v>2</v>
      </c>
      <c r="V230" s="6" t="s">
        <v>1369</v>
      </c>
      <c r="W230" s="5" t="s">
        <v>800</v>
      </c>
      <c r="X230" s="6" t="s">
        <v>1356</v>
      </c>
    </row>
    <row r="231" customFormat="false" ht="23.85" hidden="false" customHeight="false" outlineLevel="0" collapsed="false">
      <c r="A231" s="5" t="s">
        <v>1370</v>
      </c>
      <c r="B231" s="5" t="s">
        <v>1202</v>
      </c>
      <c r="C231" s="5" t="s">
        <v>1203</v>
      </c>
      <c r="D231" s="5" t="s">
        <v>1371</v>
      </c>
      <c r="E231" s="5" t="s">
        <v>1371</v>
      </c>
      <c r="F231" s="6" t="s">
        <v>1205</v>
      </c>
      <c r="G231" s="5" t="s">
        <v>1367</v>
      </c>
      <c r="H231" s="5" t="s">
        <v>97</v>
      </c>
      <c r="I231" s="5" t="s">
        <v>112</v>
      </c>
      <c r="J231" s="5" t="s">
        <v>1372</v>
      </c>
      <c r="K231" s="5" t="s">
        <v>1041</v>
      </c>
      <c r="L231" s="5" t="s">
        <v>1208</v>
      </c>
      <c r="M231" s="5"/>
      <c r="N231" s="6"/>
      <c r="O231" s="5" t="s">
        <v>103</v>
      </c>
      <c r="P231" s="5" t="s">
        <v>1337</v>
      </c>
      <c r="Q231" s="5" t="n">
        <v>1</v>
      </c>
      <c r="R231" s="5" t="n">
        <v>1</v>
      </c>
      <c r="S231" s="5" t="s">
        <v>103</v>
      </c>
      <c r="T231" s="5" t="s">
        <v>104</v>
      </c>
      <c r="U231" s="5" t="n">
        <v>2</v>
      </c>
      <c r="V231" s="6" t="s">
        <v>1373</v>
      </c>
      <c r="W231" s="5" t="s">
        <v>800</v>
      </c>
      <c r="X231" s="6" t="s">
        <v>1356</v>
      </c>
    </row>
    <row r="232" customFormat="false" ht="23.85" hidden="false" customHeight="false" outlineLevel="0" collapsed="false">
      <c r="A232" s="5" t="s">
        <v>1374</v>
      </c>
      <c r="B232" s="5" t="s">
        <v>1202</v>
      </c>
      <c r="C232" s="5" t="s">
        <v>1203</v>
      </c>
      <c r="D232" s="5" t="s">
        <v>1375</v>
      </c>
      <c r="E232" s="5" t="s">
        <v>1375</v>
      </c>
      <c r="F232" s="6" t="s">
        <v>1205</v>
      </c>
      <c r="G232" s="5" t="s">
        <v>1367</v>
      </c>
      <c r="H232" s="5" t="s">
        <v>97</v>
      </c>
      <c r="I232" s="5" t="s">
        <v>112</v>
      </c>
      <c r="J232" s="5" t="s">
        <v>1026</v>
      </c>
      <c r="K232" s="5" t="s">
        <v>595</v>
      </c>
      <c r="L232" s="5" t="s">
        <v>1208</v>
      </c>
      <c r="M232" s="5"/>
      <c r="N232" s="6"/>
      <c r="O232" s="5" t="s">
        <v>103</v>
      </c>
      <c r="P232" s="5" t="s">
        <v>1337</v>
      </c>
      <c r="Q232" s="5" t="n">
        <v>1</v>
      </c>
      <c r="R232" s="5" t="n">
        <v>1</v>
      </c>
      <c r="S232" s="5" t="s">
        <v>103</v>
      </c>
      <c r="T232" s="5" t="s">
        <v>104</v>
      </c>
      <c r="U232" s="5" t="n">
        <v>2</v>
      </c>
      <c r="V232" s="6" t="s">
        <v>1376</v>
      </c>
      <c r="W232" s="5" t="s">
        <v>800</v>
      </c>
      <c r="X232" s="6" t="s">
        <v>1377</v>
      </c>
    </row>
    <row r="233" customFormat="false" ht="35.05" hidden="false" customHeight="false" outlineLevel="0" collapsed="false">
      <c r="A233" s="5" t="s">
        <v>1378</v>
      </c>
      <c r="B233" s="5" t="s">
        <v>1202</v>
      </c>
      <c r="C233" s="5" t="s">
        <v>1203</v>
      </c>
      <c r="D233" s="5" t="s">
        <v>1379</v>
      </c>
      <c r="E233" s="5" t="s">
        <v>1379</v>
      </c>
      <c r="F233" s="6" t="s">
        <v>1205</v>
      </c>
      <c r="G233" s="5" t="s">
        <v>1367</v>
      </c>
      <c r="H233" s="5" t="s">
        <v>97</v>
      </c>
      <c r="I233" s="5" t="s">
        <v>112</v>
      </c>
      <c r="J233" s="5" t="s">
        <v>1026</v>
      </c>
      <c r="K233" s="5" t="s">
        <v>595</v>
      </c>
      <c r="L233" s="5" t="s">
        <v>1208</v>
      </c>
      <c r="M233" s="5"/>
      <c r="N233" s="6"/>
      <c r="O233" s="5" t="s">
        <v>103</v>
      </c>
      <c r="P233" s="5" t="s">
        <v>1337</v>
      </c>
      <c r="Q233" s="5" t="n">
        <v>1</v>
      </c>
      <c r="R233" s="5" t="n">
        <v>1</v>
      </c>
      <c r="S233" s="5" t="s">
        <v>103</v>
      </c>
      <c r="T233" s="5" t="s">
        <v>104</v>
      </c>
      <c r="U233" s="5" t="n">
        <v>2</v>
      </c>
      <c r="V233" s="6" t="s">
        <v>1380</v>
      </c>
      <c r="W233" s="5" t="s">
        <v>800</v>
      </c>
      <c r="X233" s="6" t="s">
        <v>1381</v>
      </c>
    </row>
    <row r="234" customFormat="false" ht="23.85" hidden="false" customHeight="false" outlineLevel="0" collapsed="false">
      <c r="A234" s="5" t="s">
        <v>1382</v>
      </c>
      <c r="B234" s="5" t="s">
        <v>1202</v>
      </c>
      <c r="C234" s="5" t="s">
        <v>1203</v>
      </c>
      <c r="D234" s="5" t="s">
        <v>1383</v>
      </c>
      <c r="E234" s="5" t="s">
        <v>1383</v>
      </c>
      <c r="F234" s="6" t="s">
        <v>1205</v>
      </c>
      <c r="G234" s="5" t="s">
        <v>1367</v>
      </c>
      <c r="H234" s="5" t="s">
        <v>97</v>
      </c>
      <c r="I234" s="5" t="s">
        <v>112</v>
      </c>
      <c r="J234" s="5" t="s">
        <v>1047</v>
      </c>
      <c r="K234" s="5" t="s">
        <v>595</v>
      </c>
      <c r="L234" s="5" t="s">
        <v>1208</v>
      </c>
      <c r="M234" s="5"/>
      <c r="N234" s="6"/>
      <c r="O234" s="5" t="s">
        <v>103</v>
      </c>
      <c r="P234" s="5" t="s">
        <v>1337</v>
      </c>
      <c r="Q234" s="5" t="n">
        <v>1</v>
      </c>
      <c r="R234" s="5" t="n">
        <v>1</v>
      </c>
      <c r="S234" s="5" t="s">
        <v>103</v>
      </c>
      <c r="T234" s="5" t="s">
        <v>104</v>
      </c>
      <c r="U234" s="5" t="n">
        <v>2</v>
      </c>
      <c r="V234" s="6" t="s">
        <v>1384</v>
      </c>
      <c r="W234" s="5" t="s">
        <v>800</v>
      </c>
      <c r="X234" s="6" t="s">
        <v>1385</v>
      </c>
    </row>
    <row r="235" customFormat="false" ht="35.05" hidden="false" customHeight="false" outlineLevel="0" collapsed="false">
      <c r="A235" s="5" t="s">
        <v>1386</v>
      </c>
      <c r="B235" s="5" t="s">
        <v>1202</v>
      </c>
      <c r="C235" s="5" t="s">
        <v>1203</v>
      </c>
      <c r="D235" s="5" t="s">
        <v>1387</v>
      </c>
      <c r="E235" s="5" t="s">
        <v>1387</v>
      </c>
      <c r="F235" s="6" t="s">
        <v>1205</v>
      </c>
      <c r="G235" s="5" t="s">
        <v>1367</v>
      </c>
      <c r="H235" s="5" t="s">
        <v>97</v>
      </c>
      <c r="I235" s="5" t="s">
        <v>112</v>
      </c>
      <c r="J235" s="5" t="s">
        <v>1047</v>
      </c>
      <c r="K235" s="5" t="s">
        <v>595</v>
      </c>
      <c r="L235" s="5" t="s">
        <v>1208</v>
      </c>
      <c r="M235" s="5"/>
      <c r="N235" s="6"/>
      <c r="O235" s="5" t="s">
        <v>103</v>
      </c>
      <c r="P235" s="5" t="s">
        <v>1337</v>
      </c>
      <c r="Q235" s="5" t="n">
        <v>1</v>
      </c>
      <c r="R235" s="5" t="n">
        <v>1</v>
      </c>
      <c r="S235" s="5" t="s">
        <v>103</v>
      </c>
      <c r="T235" s="5" t="s">
        <v>104</v>
      </c>
      <c r="U235" s="5" t="n">
        <v>2</v>
      </c>
      <c r="V235" s="6" t="s">
        <v>1388</v>
      </c>
      <c r="W235" s="5" t="s">
        <v>800</v>
      </c>
      <c r="X235" s="6" t="s">
        <v>1389</v>
      </c>
    </row>
    <row r="236" customFormat="false" ht="23.85" hidden="false" customHeight="false" outlineLevel="0" collapsed="false">
      <c r="A236" s="5" t="s">
        <v>1390</v>
      </c>
      <c r="B236" s="5" t="s">
        <v>1202</v>
      </c>
      <c r="C236" s="5" t="s">
        <v>1203</v>
      </c>
      <c r="D236" s="5" t="s">
        <v>1391</v>
      </c>
      <c r="E236" s="5" t="s">
        <v>1391</v>
      </c>
      <c r="F236" s="6" t="s">
        <v>1205</v>
      </c>
      <c r="G236" s="5" t="s">
        <v>1367</v>
      </c>
      <c r="H236" s="5" t="s">
        <v>97</v>
      </c>
      <c r="I236" s="5" t="s">
        <v>112</v>
      </c>
      <c r="J236" s="5" t="s">
        <v>1114</v>
      </c>
      <c r="K236" s="5" t="s">
        <v>595</v>
      </c>
      <c r="L236" s="5" t="s">
        <v>1208</v>
      </c>
      <c r="M236" s="5"/>
      <c r="N236" s="6"/>
      <c r="O236" s="5" t="s">
        <v>103</v>
      </c>
      <c r="P236" s="5" t="s">
        <v>1337</v>
      </c>
      <c r="Q236" s="5" t="n">
        <v>1</v>
      </c>
      <c r="R236" s="5" t="n">
        <v>1</v>
      </c>
      <c r="S236" s="5" t="s">
        <v>103</v>
      </c>
      <c r="T236" s="5" t="s">
        <v>104</v>
      </c>
      <c r="U236" s="5" t="n">
        <v>2</v>
      </c>
      <c r="V236" s="6" t="s">
        <v>1392</v>
      </c>
      <c r="W236" s="5" t="s">
        <v>800</v>
      </c>
      <c r="X236" s="6" t="s">
        <v>1393</v>
      </c>
    </row>
    <row r="237" customFormat="false" ht="35.05" hidden="false" customHeight="false" outlineLevel="0" collapsed="false">
      <c r="A237" s="5" t="s">
        <v>1394</v>
      </c>
      <c r="B237" s="5" t="s">
        <v>1202</v>
      </c>
      <c r="C237" s="5" t="s">
        <v>1203</v>
      </c>
      <c r="D237" s="5" t="s">
        <v>1395</v>
      </c>
      <c r="E237" s="5" t="s">
        <v>1395</v>
      </c>
      <c r="F237" s="6" t="s">
        <v>1205</v>
      </c>
      <c r="G237" s="5" t="s">
        <v>1367</v>
      </c>
      <c r="H237" s="5" t="s">
        <v>97</v>
      </c>
      <c r="I237" s="5" t="s">
        <v>112</v>
      </c>
      <c r="J237" s="5" t="s">
        <v>1114</v>
      </c>
      <c r="K237" s="5" t="s">
        <v>595</v>
      </c>
      <c r="L237" s="5" t="s">
        <v>1208</v>
      </c>
      <c r="M237" s="5"/>
      <c r="N237" s="6"/>
      <c r="O237" s="5" t="s">
        <v>103</v>
      </c>
      <c r="P237" s="5" t="s">
        <v>1337</v>
      </c>
      <c r="Q237" s="5" t="n">
        <v>1</v>
      </c>
      <c r="R237" s="5" t="n">
        <v>1</v>
      </c>
      <c r="S237" s="5" t="s">
        <v>103</v>
      </c>
      <c r="T237" s="5" t="s">
        <v>104</v>
      </c>
      <c r="U237" s="5" t="n">
        <v>2</v>
      </c>
      <c r="V237" s="6" t="s">
        <v>1396</v>
      </c>
      <c r="W237" s="5" t="s">
        <v>800</v>
      </c>
      <c r="X237" s="6" t="s">
        <v>1397</v>
      </c>
    </row>
    <row r="238" customFormat="false" ht="57.45" hidden="false" customHeight="false" outlineLevel="0" collapsed="false">
      <c r="A238" s="5" t="s">
        <v>1398</v>
      </c>
      <c r="B238" s="5" t="s">
        <v>1202</v>
      </c>
      <c r="C238" s="5" t="s">
        <v>1203</v>
      </c>
      <c r="D238" s="5" t="s">
        <v>1399</v>
      </c>
      <c r="E238" s="5" t="s">
        <v>1399</v>
      </c>
      <c r="F238" s="6" t="s">
        <v>1205</v>
      </c>
      <c r="G238" s="5" t="s">
        <v>1400</v>
      </c>
      <c r="H238" s="5" t="s">
        <v>1401</v>
      </c>
      <c r="I238" s="5" t="s">
        <v>1402</v>
      </c>
      <c r="J238" s="5" t="s">
        <v>1403</v>
      </c>
      <c r="K238" s="5" t="s">
        <v>595</v>
      </c>
      <c r="L238" s="5" t="s">
        <v>1208</v>
      </c>
      <c r="M238" s="5"/>
      <c r="N238" s="6"/>
      <c r="O238" s="5" t="s">
        <v>103</v>
      </c>
      <c r="P238" s="5" t="s">
        <v>1337</v>
      </c>
      <c r="Q238" s="5" t="n">
        <v>1</v>
      </c>
      <c r="R238" s="5" t="n">
        <v>1</v>
      </c>
      <c r="S238" s="5" t="s">
        <v>103</v>
      </c>
      <c r="T238" s="5" t="s">
        <v>104</v>
      </c>
      <c r="U238" s="5" t="n">
        <v>2</v>
      </c>
      <c r="V238" s="6" t="s">
        <v>1404</v>
      </c>
      <c r="W238" s="5" t="s">
        <v>800</v>
      </c>
      <c r="X238" s="6" t="s">
        <v>1405</v>
      </c>
    </row>
    <row r="239" customFormat="false" ht="68.65" hidden="false" customHeight="false" outlineLevel="0" collapsed="false">
      <c r="A239" s="5" t="s">
        <v>1406</v>
      </c>
      <c r="B239" s="5" t="s">
        <v>1202</v>
      </c>
      <c r="C239" s="5" t="s">
        <v>1203</v>
      </c>
      <c r="D239" s="5" t="s">
        <v>1407</v>
      </c>
      <c r="E239" s="5" t="s">
        <v>1407</v>
      </c>
      <c r="F239" s="6" t="s">
        <v>1205</v>
      </c>
      <c r="G239" s="5" t="s">
        <v>1400</v>
      </c>
      <c r="H239" s="5" t="s">
        <v>1401</v>
      </c>
      <c r="I239" s="5" t="s">
        <v>1408</v>
      </c>
      <c r="J239" s="5" t="s">
        <v>1403</v>
      </c>
      <c r="K239" s="5" t="s">
        <v>595</v>
      </c>
      <c r="L239" s="5" t="s">
        <v>1208</v>
      </c>
      <c r="M239" s="5"/>
      <c r="N239" s="6"/>
      <c r="O239" s="5" t="s">
        <v>103</v>
      </c>
      <c r="P239" s="5" t="s">
        <v>1337</v>
      </c>
      <c r="Q239" s="5" t="n">
        <v>1</v>
      </c>
      <c r="R239" s="5" t="n">
        <v>1</v>
      </c>
      <c r="S239" s="5" t="s">
        <v>103</v>
      </c>
      <c r="T239" s="5" t="s">
        <v>104</v>
      </c>
      <c r="U239" s="5" t="n">
        <v>2</v>
      </c>
      <c r="V239" s="6" t="s">
        <v>1409</v>
      </c>
      <c r="W239" s="5" t="s">
        <v>800</v>
      </c>
      <c r="X239" s="6" t="s">
        <v>1410</v>
      </c>
    </row>
    <row r="240" customFormat="false" ht="57.45" hidden="false" customHeight="false" outlineLevel="0" collapsed="false">
      <c r="A240" s="5" t="s">
        <v>1411</v>
      </c>
      <c r="B240" s="5" t="s">
        <v>1202</v>
      </c>
      <c r="C240" s="5" t="s">
        <v>1203</v>
      </c>
      <c r="D240" s="5" t="s">
        <v>1412</v>
      </c>
      <c r="E240" s="5" t="s">
        <v>1412</v>
      </c>
      <c r="F240" s="6" t="s">
        <v>1205</v>
      </c>
      <c r="G240" s="5" t="s">
        <v>1400</v>
      </c>
      <c r="H240" s="5" t="s">
        <v>1401</v>
      </c>
      <c r="I240" s="5" t="s">
        <v>1408</v>
      </c>
      <c r="J240" s="5" t="s">
        <v>1413</v>
      </c>
      <c r="K240" s="5" t="s">
        <v>595</v>
      </c>
      <c r="L240" s="5" t="s">
        <v>1208</v>
      </c>
      <c r="M240" s="5"/>
      <c r="N240" s="6"/>
      <c r="O240" s="5" t="s">
        <v>103</v>
      </c>
      <c r="P240" s="5" t="s">
        <v>1337</v>
      </c>
      <c r="Q240" s="5" t="n">
        <v>1</v>
      </c>
      <c r="R240" s="5" t="n">
        <v>1</v>
      </c>
      <c r="S240" s="5" t="s">
        <v>103</v>
      </c>
      <c r="T240" s="5" t="s">
        <v>104</v>
      </c>
      <c r="U240" s="5" t="n">
        <v>2</v>
      </c>
      <c r="V240" s="6" t="s">
        <v>1414</v>
      </c>
      <c r="W240" s="5" t="s">
        <v>800</v>
      </c>
      <c r="X240" s="6" t="s">
        <v>1415</v>
      </c>
    </row>
    <row r="241" customFormat="false" ht="46.25" hidden="false" customHeight="false" outlineLevel="0" collapsed="false">
      <c r="A241" s="5" t="s">
        <v>1416</v>
      </c>
      <c r="B241" s="5" t="s">
        <v>1202</v>
      </c>
      <c r="C241" s="5" t="s">
        <v>1203</v>
      </c>
      <c r="D241" s="5" t="s">
        <v>1417</v>
      </c>
      <c r="E241" s="5" t="s">
        <v>1417</v>
      </c>
      <c r="F241" s="6" t="s">
        <v>1205</v>
      </c>
      <c r="G241" s="5" t="s">
        <v>1400</v>
      </c>
      <c r="H241" s="5" t="s">
        <v>1401</v>
      </c>
      <c r="I241" s="5" t="s">
        <v>1402</v>
      </c>
      <c r="J241" s="5" t="s">
        <v>1047</v>
      </c>
      <c r="K241" s="5" t="s">
        <v>595</v>
      </c>
      <c r="L241" s="5" t="s">
        <v>1208</v>
      </c>
      <c r="M241" s="5"/>
      <c r="N241" s="6"/>
      <c r="O241" s="5" t="s">
        <v>103</v>
      </c>
      <c r="P241" s="5" t="s">
        <v>1337</v>
      </c>
      <c r="Q241" s="5" t="n">
        <v>1</v>
      </c>
      <c r="R241" s="5" t="n">
        <v>1</v>
      </c>
      <c r="S241" s="5" t="s">
        <v>103</v>
      </c>
      <c r="T241" s="5" t="s">
        <v>104</v>
      </c>
      <c r="U241" s="5" t="n">
        <v>2</v>
      </c>
      <c r="V241" s="6" t="s">
        <v>1418</v>
      </c>
      <c r="W241" s="5" t="s">
        <v>800</v>
      </c>
      <c r="X241" s="6" t="s">
        <v>1419</v>
      </c>
    </row>
    <row r="242" customFormat="false" ht="46.25" hidden="false" customHeight="false" outlineLevel="0" collapsed="false">
      <c r="A242" s="5" t="s">
        <v>1420</v>
      </c>
      <c r="B242" s="5" t="s">
        <v>1202</v>
      </c>
      <c r="C242" s="5" t="s">
        <v>1203</v>
      </c>
      <c r="D242" s="5" t="s">
        <v>1421</v>
      </c>
      <c r="E242" s="5" t="s">
        <v>1421</v>
      </c>
      <c r="F242" s="6" t="s">
        <v>1205</v>
      </c>
      <c r="G242" s="5" t="s">
        <v>1400</v>
      </c>
      <c r="H242" s="5" t="s">
        <v>1401</v>
      </c>
      <c r="I242" s="5" t="s">
        <v>1402</v>
      </c>
      <c r="J242" s="5" t="s">
        <v>1422</v>
      </c>
      <c r="K242" s="5" t="s">
        <v>1020</v>
      </c>
      <c r="L242" s="5" t="s">
        <v>1208</v>
      </c>
      <c r="M242" s="5"/>
      <c r="N242" s="6"/>
      <c r="O242" s="5" t="s">
        <v>103</v>
      </c>
      <c r="P242" s="5" t="s">
        <v>1337</v>
      </c>
      <c r="Q242" s="5" t="n">
        <v>1</v>
      </c>
      <c r="R242" s="5" t="n">
        <v>1</v>
      </c>
      <c r="S242" s="5" t="s">
        <v>103</v>
      </c>
      <c r="T242" s="5" t="s">
        <v>104</v>
      </c>
      <c r="U242" s="5" t="n">
        <v>2</v>
      </c>
      <c r="V242" s="6" t="s">
        <v>1423</v>
      </c>
      <c r="W242" s="5" t="s">
        <v>800</v>
      </c>
      <c r="X242" s="6" t="s">
        <v>1424</v>
      </c>
    </row>
    <row r="243" customFormat="false" ht="46.25" hidden="false" customHeight="false" outlineLevel="0" collapsed="false">
      <c r="A243" s="5" t="s">
        <v>1425</v>
      </c>
      <c r="B243" s="5" t="s">
        <v>1202</v>
      </c>
      <c r="C243" s="5" t="s">
        <v>1203</v>
      </c>
      <c r="D243" s="5" t="s">
        <v>1426</v>
      </c>
      <c r="E243" s="5" t="s">
        <v>1426</v>
      </c>
      <c r="F243" s="6" t="s">
        <v>1205</v>
      </c>
      <c r="G243" s="5" t="s">
        <v>1400</v>
      </c>
      <c r="H243" s="5" t="s">
        <v>1401</v>
      </c>
      <c r="I243" s="5" t="s">
        <v>1402</v>
      </c>
      <c r="J243" s="5" t="s">
        <v>1427</v>
      </c>
      <c r="K243" s="5" t="s">
        <v>1020</v>
      </c>
      <c r="L243" s="5" t="s">
        <v>1208</v>
      </c>
      <c r="M243" s="5"/>
      <c r="N243" s="6"/>
      <c r="O243" s="5" t="s">
        <v>103</v>
      </c>
      <c r="P243" s="5" t="s">
        <v>1337</v>
      </c>
      <c r="Q243" s="5" t="n">
        <v>1</v>
      </c>
      <c r="R243" s="5"/>
      <c r="S243" s="5" t="s">
        <v>103</v>
      </c>
      <c r="T243" s="5" t="s">
        <v>104</v>
      </c>
      <c r="U243" s="5" t="n">
        <v>2</v>
      </c>
      <c r="V243" s="6" t="s">
        <v>1428</v>
      </c>
      <c r="W243" s="5" t="s">
        <v>800</v>
      </c>
      <c r="X243" s="6" t="s">
        <v>1429</v>
      </c>
    </row>
    <row r="244" customFormat="false" ht="35.05" hidden="false" customHeight="false" outlineLevel="0" collapsed="false">
      <c r="A244" s="5" t="s">
        <v>1430</v>
      </c>
      <c r="B244" s="5" t="s">
        <v>1202</v>
      </c>
      <c r="C244" s="5" t="s">
        <v>1203</v>
      </c>
      <c r="D244" s="5" t="s">
        <v>1431</v>
      </c>
      <c r="E244" s="5" t="s">
        <v>1431</v>
      </c>
      <c r="F244" s="6" t="s">
        <v>1205</v>
      </c>
      <c r="G244" s="5" t="s">
        <v>1400</v>
      </c>
      <c r="H244" s="5" t="s">
        <v>1401</v>
      </c>
      <c r="I244" s="5" t="s">
        <v>1402</v>
      </c>
      <c r="J244" s="5" t="s">
        <v>1432</v>
      </c>
      <c r="K244" s="5" t="s">
        <v>1433</v>
      </c>
      <c r="L244" s="5" t="s">
        <v>1208</v>
      </c>
      <c r="M244" s="5"/>
      <c r="N244" s="6"/>
      <c r="O244" s="5" t="s">
        <v>103</v>
      </c>
      <c r="P244" s="5" t="s">
        <v>1337</v>
      </c>
      <c r="Q244" s="5" t="n">
        <v>1</v>
      </c>
      <c r="R244" s="5" t="n">
        <v>1</v>
      </c>
      <c r="S244" s="5" t="s">
        <v>103</v>
      </c>
      <c r="T244" s="5" t="s">
        <v>104</v>
      </c>
      <c r="U244" s="5" t="n">
        <v>2</v>
      </c>
      <c r="V244" s="6" t="s">
        <v>1434</v>
      </c>
      <c r="W244" s="5" t="s">
        <v>800</v>
      </c>
      <c r="X244" s="6" t="s">
        <v>1435</v>
      </c>
    </row>
    <row r="245" customFormat="false" ht="35.05" hidden="false" customHeight="false" outlineLevel="0" collapsed="false">
      <c r="A245" s="5" t="s">
        <v>1436</v>
      </c>
      <c r="B245" s="5" t="s">
        <v>1202</v>
      </c>
      <c r="C245" s="5" t="s">
        <v>1203</v>
      </c>
      <c r="D245" s="5" t="s">
        <v>1437</v>
      </c>
      <c r="E245" s="5" t="s">
        <v>1437</v>
      </c>
      <c r="F245" s="6" t="s">
        <v>1205</v>
      </c>
      <c r="G245" s="5" t="s">
        <v>1400</v>
      </c>
      <c r="H245" s="5" t="s">
        <v>1401</v>
      </c>
      <c r="I245" s="5" t="s">
        <v>1408</v>
      </c>
      <c r="J245" s="5" t="s">
        <v>1438</v>
      </c>
      <c r="K245" s="5" t="s">
        <v>1433</v>
      </c>
      <c r="L245" s="5" t="s">
        <v>1208</v>
      </c>
      <c r="M245" s="5"/>
      <c r="N245" s="6"/>
      <c r="O245" s="5" t="s">
        <v>103</v>
      </c>
      <c r="P245" s="5" t="s">
        <v>1337</v>
      </c>
      <c r="Q245" s="5" t="n">
        <v>1</v>
      </c>
      <c r="R245" s="5" t="n">
        <v>1</v>
      </c>
      <c r="S245" s="5" t="s">
        <v>103</v>
      </c>
      <c r="T245" s="5" t="s">
        <v>104</v>
      </c>
      <c r="U245" s="5" t="n">
        <v>2</v>
      </c>
      <c r="V245" s="6" t="s">
        <v>1439</v>
      </c>
      <c r="W245" s="5" t="s">
        <v>800</v>
      </c>
      <c r="X245" s="6" t="s">
        <v>1440</v>
      </c>
    </row>
    <row r="246" customFormat="false" ht="46.25" hidden="false" customHeight="false" outlineLevel="0" collapsed="false">
      <c r="A246" s="5" t="s">
        <v>1441</v>
      </c>
      <c r="B246" s="5" t="s">
        <v>1202</v>
      </c>
      <c r="C246" s="5" t="s">
        <v>1203</v>
      </c>
      <c r="D246" s="5" t="s">
        <v>1442</v>
      </c>
      <c r="E246" s="5" t="s">
        <v>1442</v>
      </c>
      <c r="F246" s="6" t="s">
        <v>1205</v>
      </c>
      <c r="G246" s="5" t="s">
        <v>1400</v>
      </c>
      <c r="H246" s="5" t="s">
        <v>1401</v>
      </c>
      <c r="I246" s="5" t="s">
        <v>1408</v>
      </c>
      <c r="J246" s="5" t="s">
        <v>1443</v>
      </c>
      <c r="K246" s="5" t="s">
        <v>1433</v>
      </c>
      <c r="L246" s="5" t="s">
        <v>1208</v>
      </c>
      <c r="M246" s="5"/>
      <c r="N246" s="6"/>
      <c r="O246" s="5" t="s">
        <v>103</v>
      </c>
      <c r="P246" s="5" t="s">
        <v>1337</v>
      </c>
      <c r="Q246" s="5" t="n">
        <v>1</v>
      </c>
      <c r="R246" s="5" t="n">
        <v>1</v>
      </c>
      <c r="S246" s="5" t="s">
        <v>103</v>
      </c>
      <c r="T246" s="5" t="s">
        <v>104</v>
      </c>
      <c r="U246" s="5" t="n">
        <v>2</v>
      </c>
      <c r="V246" s="6" t="s">
        <v>1444</v>
      </c>
      <c r="W246" s="5" t="s">
        <v>800</v>
      </c>
      <c r="X246" s="6" t="s">
        <v>1445</v>
      </c>
    </row>
    <row r="247" customFormat="false" ht="23.85" hidden="false" customHeight="false" outlineLevel="0" collapsed="false">
      <c r="A247" s="5" t="s">
        <v>1446</v>
      </c>
      <c r="B247" s="5" t="s">
        <v>1202</v>
      </c>
      <c r="C247" s="5" t="s">
        <v>1203</v>
      </c>
      <c r="D247" s="5" t="s">
        <v>1447</v>
      </c>
      <c r="E247" s="5" t="s">
        <v>1447</v>
      </c>
      <c r="F247" s="6" t="s">
        <v>1205</v>
      </c>
      <c r="G247" s="5" t="s">
        <v>1400</v>
      </c>
      <c r="H247" s="5" t="s">
        <v>1401</v>
      </c>
      <c r="I247" s="5" t="s">
        <v>1408</v>
      </c>
      <c r="J247" s="5" t="s">
        <v>1448</v>
      </c>
      <c r="K247" s="5" t="s">
        <v>1449</v>
      </c>
      <c r="L247" s="5" t="s">
        <v>1208</v>
      </c>
      <c r="M247" s="5"/>
      <c r="N247" s="6"/>
      <c r="O247" s="5" t="s">
        <v>103</v>
      </c>
      <c r="P247" s="5" t="s">
        <v>1337</v>
      </c>
      <c r="Q247" s="5" t="n">
        <v>1</v>
      </c>
      <c r="R247" s="5" t="n">
        <v>1</v>
      </c>
      <c r="S247" s="5" t="s">
        <v>103</v>
      </c>
      <c r="T247" s="5" t="s">
        <v>104</v>
      </c>
      <c r="U247" s="5" t="n">
        <v>2</v>
      </c>
      <c r="V247" s="6" t="s">
        <v>1450</v>
      </c>
      <c r="W247" s="5" t="s">
        <v>800</v>
      </c>
      <c r="X247" s="6" t="s">
        <v>1385</v>
      </c>
    </row>
    <row r="248" customFormat="false" ht="23.85" hidden="false" customHeight="false" outlineLevel="0" collapsed="false">
      <c r="A248" s="5" t="s">
        <v>1451</v>
      </c>
      <c r="B248" s="5" t="s">
        <v>1202</v>
      </c>
      <c r="C248" s="5" t="s">
        <v>1203</v>
      </c>
      <c r="D248" s="5" t="s">
        <v>1452</v>
      </c>
      <c r="E248" s="5" t="s">
        <v>1452</v>
      </c>
      <c r="F248" s="6" t="s">
        <v>1205</v>
      </c>
      <c r="G248" s="5" t="s">
        <v>1400</v>
      </c>
      <c r="H248" s="5" t="s">
        <v>1401</v>
      </c>
      <c r="I248" s="5" t="s">
        <v>1408</v>
      </c>
      <c r="J248" s="5" t="s">
        <v>1453</v>
      </c>
      <c r="K248" s="5" t="s">
        <v>1449</v>
      </c>
      <c r="L248" s="5" t="s">
        <v>1208</v>
      </c>
      <c r="M248" s="5"/>
      <c r="N248" s="6"/>
      <c r="O248" s="5" t="s">
        <v>103</v>
      </c>
      <c r="P248" s="5" t="s">
        <v>1337</v>
      </c>
      <c r="Q248" s="5" t="n">
        <v>1</v>
      </c>
      <c r="R248" s="5" t="n">
        <v>1</v>
      </c>
      <c r="S248" s="5" t="s">
        <v>103</v>
      </c>
      <c r="T248" s="5" t="s">
        <v>104</v>
      </c>
      <c r="U248" s="5" t="n">
        <v>2</v>
      </c>
      <c r="V248" s="6" t="s">
        <v>1454</v>
      </c>
      <c r="W248" s="5" t="s">
        <v>800</v>
      </c>
      <c r="X248" s="6" t="s">
        <v>1356</v>
      </c>
    </row>
    <row r="249" customFormat="false" ht="23.85" hidden="false" customHeight="false" outlineLevel="0" collapsed="false">
      <c r="A249" s="5" t="s">
        <v>1455</v>
      </c>
      <c r="B249" s="5" t="s">
        <v>1202</v>
      </c>
      <c r="C249" s="5" t="s">
        <v>1203</v>
      </c>
      <c r="D249" s="5" t="s">
        <v>1456</v>
      </c>
      <c r="E249" s="5" t="s">
        <v>1456</v>
      </c>
      <c r="F249" s="6" t="s">
        <v>1205</v>
      </c>
      <c r="G249" s="5" t="s">
        <v>1400</v>
      </c>
      <c r="H249" s="5" t="s">
        <v>1401</v>
      </c>
      <c r="I249" s="5" t="s">
        <v>1408</v>
      </c>
      <c r="J249" s="5" t="s">
        <v>1457</v>
      </c>
      <c r="K249" s="5" t="s">
        <v>1458</v>
      </c>
      <c r="L249" s="5" t="s">
        <v>1208</v>
      </c>
      <c r="M249" s="5"/>
      <c r="N249" s="6"/>
      <c r="O249" s="5" t="s">
        <v>103</v>
      </c>
      <c r="P249" s="5" t="s">
        <v>1337</v>
      </c>
      <c r="Q249" s="5" t="n">
        <v>1</v>
      </c>
      <c r="R249" s="5" t="n">
        <v>1</v>
      </c>
      <c r="S249" s="5" t="s">
        <v>103</v>
      </c>
      <c r="T249" s="5" t="s">
        <v>104</v>
      </c>
      <c r="U249" s="5" t="n">
        <v>2</v>
      </c>
      <c r="V249" s="6" t="s">
        <v>1459</v>
      </c>
      <c r="W249" s="5" t="s">
        <v>800</v>
      </c>
      <c r="X249" s="6" t="s">
        <v>1385</v>
      </c>
    </row>
    <row r="250" customFormat="false" ht="23.85" hidden="false" customHeight="false" outlineLevel="0" collapsed="false">
      <c r="A250" s="5" t="s">
        <v>1460</v>
      </c>
      <c r="B250" s="5" t="s">
        <v>1202</v>
      </c>
      <c r="C250" s="5" t="s">
        <v>1203</v>
      </c>
      <c r="D250" s="5" t="s">
        <v>1461</v>
      </c>
      <c r="E250" s="5" t="s">
        <v>1461</v>
      </c>
      <c r="F250" s="6" t="s">
        <v>1205</v>
      </c>
      <c r="G250" s="5" t="s">
        <v>1400</v>
      </c>
      <c r="H250" s="5" t="s">
        <v>1401</v>
      </c>
      <c r="I250" s="5" t="s">
        <v>1408</v>
      </c>
      <c r="J250" s="5" t="s">
        <v>1462</v>
      </c>
      <c r="K250" s="5" t="s">
        <v>1463</v>
      </c>
      <c r="L250" s="5" t="s">
        <v>1208</v>
      </c>
      <c r="M250" s="5"/>
      <c r="N250" s="6"/>
      <c r="O250" s="5" t="s">
        <v>103</v>
      </c>
      <c r="P250" s="5" t="s">
        <v>1337</v>
      </c>
      <c r="Q250" s="5" t="n">
        <v>1</v>
      </c>
      <c r="R250" s="5" t="n">
        <v>1</v>
      </c>
      <c r="S250" s="5" t="s">
        <v>103</v>
      </c>
      <c r="T250" s="5" t="s">
        <v>104</v>
      </c>
      <c r="U250" s="5" t="n">
        <v>2</v>
      </c>
      <c r="V250" s="6" t="s">
        <v>1464</v>
      </c>
      <c r="W250" s="5" t="s">
        <v>800</v>
      </c>
      <c r="X250" s="6" t="s">
        <v>1356</v>
      </c>
    </row>
    <row r="251" customFormat="false" ht="23.85" hidden="false" customHeight="false" outlineLevel="0" collapsed="false">
      <c r="A251" s="5" t="s">
        <v>1465</v>
      </c>
      <c r="B251" s="5" t="s">
        <v>1202</v>
      </c>
      <c r="C251" s="5" t="s">
        <v>1203</v>
      </c>
      <c r="D251" s="5" t="s">
        <v>1466</v>
      </c>
      <c r="E251" s="5" t="s">
        <v>1466</v>
      </c>
      <c r="F251" s="6" t="s">
        <v>1205</v>
      </c>
      <c r="G251" s="5" t="s">
        <v>1467</v>
      </c>
      <c r="H251" s="5" t="s">
        <v>1468</v>
      </c>
      <c r="I251" s="5" t="s">
        <v>1469</v>
      </c>
      <c r="J251" s="5" t="s">
        <v>1470</v>
      </c>
      <c r="K251" s="5" t="s">
        <v>1449</v>
      </c>
      <c r="L251" s="5" t="s">
        <v>1208</v>
      </c>
      <c r="M251" s="5"/>
      <c r="N251" s="6"/>
      <c r="O251" s="5" t="s">
        <v>103</v>
      </c>
      <c r="P251" s="5" t="s">
        <v>1337</v>
      </c>
      <c r="Q251" s="5" t="n">
        <v>1</v>
      </c>
      <c r="R251" s="5" t="n">
        <v>1</v>
      </c>
      <c r="S251" s="5" t="s">
        <v>103</v>
      </c>
      <c r="T251" s="5" t="s">
        <v>104</v>
      </c>
      <c r="U251" s="5" t="n">
        <v>2</v>
      </c>
      <c r="V251" s="6" t="s">
        <v>1471</v>
      </c>
      <c r="W251" s="5" t="s">
        <v>800</v>
      </c>
      <c r="X251" s="6" t="s">
        <v>1472</v>
      </c>
    </row>
    <row r="252" customFormat="false" ht="46.25" hidden="false" customHeight="false" outlineLevel="0" collapsed="false">
      <c r="A252" s="5" t="s">
        <v>1473</v>
      </c>
      <c r="B252" s="5" t="s">
        <v>1202</v>
      </c>
      <c r="C252" s="5" t="s">
        <v>1203</v>
      </c>
      <c r="D252" s="5" t="s">
        <v>1474</v>
      </c>
      <c r="E252" s="5" t="s">
        <v>1474</v>
      </c>
      <c r="F252" s="6" t="s">
        <v>1205</v>
      </c>
      <c r="G252" s="5" t="s">
        <v>1467</v>
      </c>
      <c r="H252" s="5" t="s">
        <v>1468</v>
      </c>
      <c r="I252" s="5" t="s">
        <v>1469</v>
      </c>
      <c r="J252" s="5" t="s">
        <v>1475</v>
      </c>
      <c r="K252" s="5" t="s">
        <v>1433</v>
      </c>
      <c r="L252" s="5" t="s">
        <v>1208</v>
      </c>
      <c r="M252" s="5"/>
      <c r="N252" s="6"/>
      <c r="O252" s="5" t="s">
        <v>103</v>
      </c>
      <c r="P252" s="5" t="s">
        <v>1337</v>
      </c>
      <c r="Q252" s="5" t="n">
        <v>1</v>
      </c>
      <c r="R252" s="5" t="n">
        <v>1</v>
      </c>
      <c r="S252" s="5" t="s">
        <v>103</v>
      </c>
      <c r="T252" s="5" t="s">
        <v>104</v>
      </c>
      <c r="U252" s="5" t="n">
        <v>2</v>
      </c>
      <c r="V252" s="6" t="s">
        <v>1476</v>
      </c>
      <c r="W252" s="5" t="s">
        <v>800</v>
      </c>
      <c r="X252" s="6" t="s">
        <v>1477</v>
      </c>
    </row>
    <row r="253" customFormat="false" ht="46.25" hidden="false" customHeight="false" outlineLevel="0" collapsed="false">
      <c r="A253" s="5" t="s">
        <v>1478</v>
      </c>
      <c r="B253" s="5" t="s">
        <v>1202</v>
      </c>
      <c r="C253" s="5" t="s">
        <v>1203</v>
      </c>
      <c r="D253" s="5" t="s">
        <v>1479</v>
      </c>
      <c r="E253" s="5" t="s">
        <v>1479</v>
      </c>
      <c r="F253" s="6" t="s">
        <v>1205</v>
      </c>
      <c r="G253" s="5" t="s">
        <v>1467</v>
      </c>
      <c r="H253" s="5" t="s">
        <v>1468</v>
      </c>
      <c r="I253" s="5" t="s">
        <v>1469</v>
      </c>
      <c r="J253" s="5" t="s">
        <v>1480</v>
      </c>
      <c r="K253" s="5" t="s">
        <v>1449</v>
      </c>
      <c r="L253" s="5" t="s">
        <v>1208</v>
      </c>
      <c r="M253" s="5"/>
      <c r="N253" s="6"/>
      <c r="O253" s="5" t="s">
        <v>103</v>
      </c>
      <c r="P253" s="5" t="s">
        <v>1337</v>
      </c>
      <c r="Q253" s="5" t="n">
        <v>1</v>
      </c>
      <c r="R253" s="5" t="n">
        <v>1</v>
      </c>
      <c r="S253" s="5" t="s">
        <v>103</v>
      </c>
      <c r="T253" s="5" t="s">
        <v>104</v>
      </c>
      <c r="U253" s="5" t="n">
        <v>2</v>
      </c>
      <c r="V253" s="6" t="s">
        <v>1481</v>
      </c>
      <c r="W253" s="5" t="s">
        <v>800</v>
      </c>
      <c r="X253" s="6" t="s">
        <v>1482</v>
      </c>
    </row>
    <row r="254" customFormat="false" ht="35.05" hidden="false" customHeight="false" outlineLevel="0" collapsed="false">
      <c r="A254" s="5" t="s">
        <v>1483</v>
      </c>
      <c r="B254" s="5" t="s">
        <v>1202</v>
      </c>
      <c r="C254" s="5" t="s">
        <v>1203</v>
      </c>
      <c r="D254" s="5" t="s">
        <v>1484</v>
      </c>
      <c r="E254" s="5" t="s">
        <v>1484</v>
      </c>
      <c r="F254" s="6" t="s">
        <v>1205</v>
      </c>
      <c r="G254" s="5" t="s">
        <v>1467</v>
      </c>
      <c r="H254" s="5" t="s">
        <v>1468</v>
      </c>
      <c r="I254" s="5" t="s">
        <v>1469</v>
      </c>
      <c r="J254" s="5" t="s">
        <v>1485</v>
      </c>
      <c r="K254" s="5" t="s">
        <v>1433</v>
      </c>
      <c r="L254" s="5" t="s">
        <v>1208</v>
      </c>
      <c r="M254" s="5"/>
      <c r="N254" s="6"/>
      <c r="O254" s="5" t="s">
        <v>103</v>
      </c>
      <c r="P254" s="5" t="s">
        <v>1337</v>
      </c>
      <c r="Q254" s="5" t="n">
        <v>1</v>
      </c>
      <c r="R254" s="5" t="n">
        <v>1</v>
      </c>
      <c r="S254" s="5" t="s">
        <v>103</v>
      </c>
      <c r="T254" s="5" t="s">
        <v>104</v>
      </c>
      <c r="U254" s="5" t="n">
        <v>2</v>
      </c>
      <c r="V254" s="6" t="s">
        <v>1486</v>
      </c>
      <c r="W254" s="5" t="s">
        <v>800</v>
      </c>
      <c r="X254" s="6" t="s">
        <v>1487</v>
      </c>
    </row>
    <row r="255" customFormat="false" ht="35.05" hidden="false" customHeight="false" outlineLevel="0" collapsed="false">
      <c r="A255" s="5" t="s">
        <v>1488</v>
      </c>
      <c r="B255" s="5" t="s">
        <v>1202</v>
      </c>
      <c r="C255" s="5" t="s">
        <v>1203</v>
      </c>
      <c r="D255" s="5" t="s">
        <v>1489</v>
      </c>
      <c r="E255" s="5" t="s">
        <v>1489</v>
      </c>
      <c r="F255" s="6" t="s">
        <v>1205</v>
      </c>
      <c r="G255" s="5" t="s">
        <v>1467</v>
      </c>
      <c r="H255" s="5" t="s">
        <v>1468</v>
      </c>
      <c r="I255" s="5" t="s">
        <v>1469</v>
      </c>
      <c r="J255" s="5" t="s">
        <v>1490</v>
      </c>
      <c r="K255" s="5" t="s">
        <v>1020</v>
      </c>
      <c r="L255" s="5" t="s">
        <v>1208</v>
      </c>
      <c r="M255" s="5"/>
      <c r="N255" s="6"/>
      <c r="O255" s="5" t="s">
        <v>103</v>
      </c>
      <c r="P255" s="5" t="s">
        <v>1337</v>
      </c>
      <c r="Q255" s="5" t="n">
        <v>1</v>
      </c>
      <c r="R255" s="5" t="n">
        <v>1</v>
      </c>
      <c r="S255" s="5" t="s">
        <v>103</v>
      </c>
      <c r="T255" s="5" t="s">
        <v>104</v>
      </c>
      <c r="U255" s="5" t="n">
        <v>2</v>
      </c>
      <c r="V255" s="6" t="s">
        <v>1491</v>
      </c>
      <c r="W255" s="5" t="s">
        <v>800</v>
      </c>
      <c r="X255" s="6" t="s">
        <v>1492</v>
      </c>
    </row>
    <row r="256" customFormat="false" ht="23.85" hidden="false" customHeight="false" outlineLevel="0" collapsed="false">
      <c r="A256" s="5" t="s">
        <v>1493</v>
      </c>
      <c r="B256" s="5" t="s">
        <v>1202</v>
      </c>
      <c r="C256" s="5" t="s">
        <v>1203</v>
      </c>
      <c r="D256" s="5" t="s">
        <v>1494</v>
      </c>
      <c r="E256" s="5" t="s">
        <v>1494</v>
      </c>
      <c r="F256" s="6" t="s">
        <v>1205</v>
      </c>
      <c r="G256" s="5" t="s">
        <v>1467</v>
      </c>
      <c r="H256" s="5" t="s">
        <v>1468</v>
      </c>
      <c r="I256" s="5" t="s">
        <v>1469</v>
      </c>
      <c r="J256" s="5" t="s">
        <v>1495</v>
      </c>
      <c r="K256" s="5" t="s">
        <v>1433</v>
      </c>
      <c r="L256" s="5" t="s">
        <v>1208</v>
      </c>
      <c r="M256" s="5"/>
      <c r="N256" s="6"/>
      <c r="O256" s="5" t="s">
        <v>103</v>
      </c>
      <c r="P256" s="5" t="s">
        <v>1337</v>
      </c>
      <c r="Q256" s="5" t="n">
        <v>1</v>
      </c>
      <c r="R256" s="5" t="n">
        <v>1</v>
      </c>
      <c r="S256" s="5" t="s">
        <v>103</v>
      </c>
      <c r="T256" s="5" t="s">
        <v>104</v>
      </c>
      <c r="U256" s="5" t="n">
        <v>2</v>
      </c>
      <c r="V256" s="6" t="s">
        <v>1496</v>
      </c>
      <c r="W256" s="5" t="s">
        <v>800</v>
      </c>
      <c r="X256" s="6" t="s">
        <v>1497</v>
      </c>
    </row>
    <row r="257" customFormat="false" ht="46.25" hidden="false" customHeight="false" outlineLevel="0" collapsed="false">
      <c r="A257" s="5" t="s">
        <v>1498</v>
      </c>
      <c r="B257" s="5" t="s">
        <v>1202</v>
      </c>
      <c r="C257" s="5" t="s">
        <v>1203</v>
      </c>
      <c r="D257" s="5" t="s">
        <v>1499</v>
      </c>
      <c r="E257" s="5" t="s">
        <v>1499</v>
      </c>
      <c r="F257" s="6" t="s">
        <v>1205</v>
      </c>
      <c r="G257" s="5" t="s">
        <v>1500</v>
      </c>
      <c r="H257" s="5" t="s">
        <v>1468</v>
      </c>
      <c r="I257" s="5" t="s">
        <v>1501</v>
      </c>
      <c r="J257" s="5" t="s">
        <v>1502</v>
      </c>
      <c r="K257" s="5" t="s">
        <v>1463</v>
      </c>
      <c r="L257" s="5" t="s">
        <v>1208</v>
      </c>
      <c r="M257" s="5"/>
      <c r="N257" s="6"/>
      <c r="O257" s="5" t="s">
        <v>103</v>
      </c>
      <c r="P257" s="5" t="s">
        <v>1337</v>
      </c>
      <c r="Q257" s="5" t="n">
        <v>1</v>
      </c>
      <c r="R257" s="5" t="n">
        <v>1</v>
      </c>
      <c r="S257" s="5" t="s">
        <v>103</v>
      </c>
      <c r="T257" s="5" t="s">
        <v>104</v>
      </c>
      <c r="U257" s="5" t="n">
        <v>2</v>
      </c>
      <c r="V257" s="6" t="s">
        <v>1503</v>
      </c>
      <c r="W257" s="5" t="s">
        <v>800</v>
      </c>
      <c r="X257" s="6" t="s">
        <v>1504</v>
      </c>
    </row>
    <row r="258" customFormat="false" ht="57.45" hidden="false" customHeight="false" outlineLevel="0" collapsed="false">
      <c r="A258" s="5" t="s">
        <v>1505</v>
      </c>
      <c r="B258" s="5" t="s">
        <v>1202</v>
      </c>
      <c r="C258" s="5" t="s">
        <v>1203</v>
      </c>
      <c r="D258" s="5" t="s">
        <v>1506</v>
      </c>
      <c r="E258" s="5" t="s">
        <v>1506</v>
      </c>
      <c r="F258" s="6" t="s">
        <v>1205</v>
      </c>
      <c r="G258" s="5" t="s">
        <v>1500</v>
      </c>
      <c r="H258" s="5" t="s">
        <v>1468</v>
      </c>
      <c r="I258" s="5" t="s">
        <v>1501</v>
      </c>
      <c r="J258" s="5" t="s">
        <v>1507</v>
      </c>
      <c r="K258" s="5" t="s">
        <v>595</v>
      </c>
      <c r="L258" s="5" t="s">
        <v>1208</v>
      </c>
      <c r="M258" s="5"/>
      <c r="N258" s="6"/>
      <c r="O258" s="5" t="s">
        <v>103</v>
      </c>
      <c r="P258" s="5" t="s">
        <v>1337</v>
      </c>
      <c r="Q258" s="5" t="n">
        <v>1</v>
      </c>
      <c r="R258" s="5" t="n">
        <v>1</v>
      </c>
      <c r="S258" s="5" t="s">
        <v>103</v>
      </c>
      <c r="T258" s="5" t="s">
        <v>104</v>
      </c>
      <c r="U258" s="5" t="n">
        <v>2</v>
      </c>
      <c r="V258" s="6" t="s">
        <v>1508</v>
      </c>
      <c r="W258" s="5" t="s">
        <v>800</v>
      </c>
      <c r="X258" s="6" t="s">
        <v>1509</v>
      </c>
    </row>
    <row r="259" customFormat="false" ht="57.45" hidden="false" customHeight="false" outlineLevel="0" collapsed="false">
      <c r="A259" s="5" t="s">
        <v>1510</v>
      </c>
      <c r="B259" s="5" t="s">
        <v>1202</v>
      </c>
      <c r="C259" s="5" t="s">
        <v>1203</v>
      </c>
      <c r="D259" s="5" t="s">
        <v>1511</v>
      </c>
      <c r="E259" s="5" t="s">
        <v>1511</v>
      </c>
      <c r="F259" s="6" t="s">
        <v>1205</v>
      </c>
      <c r="G259" s="5" t="s">
        <v>1500</v>
      </c>
      <c r="H259" s="5" t="s">
        <v>1468</v>
      </c>
      <c r="I259" s="5" t="s">
        <v>1512</v>
      </c>
      <c r="J259" s="5" t="s">
        <v>1513</v>
      </c>
      <c r="K259" s="5" t="s">
        <v>595</v>
      </c>
      <c r="L259" s="5" t="s">
        <v>1208</v>
      </c>
      <c r="M259" s="5"/>
      <c r="N259" s="6"/>
      <c r="O259" s="5" t="s">
        <v>103</v>
      </c>
      <c r="P259" s="5" t="s">
        <v>1337</v>
      </c>
      <c r="Q259" s="5" t="n">
        <v>1</v>
      </c>
      <c r="R259" s="5" t="n">
        <v>1</v>
      </c>
      <c r="S259" s="5" t="s">
        <v>103</v>
      </c>
      <c r="T259" s="5" t="s">
        <v>104</v>
      </c>
      <c r="U259" s="5" t="n">
        <v>2</v>
      </c>
      <c r="V259" s="6" t="s">
        <v>1514</v>
      </c>
      <c r="W259" s="5" t="s">
        <v>800</v>
      </c>
      <c r="X259" s="6" t="s">
        <v>1515</v>
      </c>
    </row>
    <row r="260" customFormat="false" ht="46.25" hidden="false" customHeight="false" outlineLevel="0" collapsed="false">
      <c r="A260" s="5" t="s">
        <v>1516</v>
      </c>
      <c r="B260" s="5" t="s">
        <v>1202</v>
      </c>
      <c r="C260" s="5" t="s">
        <v>1203</v>
      </c>
      <c r="D260" s="5" t="s">
        <v>1517</v>
      </c>
      <c r="E260" s="5" t="s">
        <v>1517</v>
      </c>
      <c r="F260" s="6" t="s">
        <v>1205</v>
      </c>
      <c r="G260" s="5" t="s">
        <v>1500</v>
      </c>
      <c r="H260" s="5" t="s">
        <v>1468</v>
      </c>
      <c r="I260" s="5" t="s">
        <v>1512</v>
      </c>
      <c r="J260" s="5" t="s">
        <v>1518</v>
      </c>
      <c r="K260" s="5" t="s">
        <v>595</v>
      </c>
      <c r="L260" s="5" t="s">
        <v>1208</v>
      </c>
      <c r="M260" s="5"/>
      <c r="N260" s="6"/>
      <c r="O260" s="5" t="s">
        <v>103</v>
      </c>
      <c r="P260" s="5" t="s">
        <v>1337</v>
      </c>
      <c r="Q260" s="5" t="n">
        <v>1</v>
      </c>
      <c r="R260" s="5" t="n">
        <v>1</v>
      </c>
      <c r="S260" s="5" t="s">
        <v>103</v>
      </c>
      <c r="T260" s="5" t="s">
        <v>104</v>
      </c>
      <c r="U260" s="5" t="n">
        <v>2</v>
      </c>
      <c r="V260" s="6" t="s">
        <v>1519</v>
      </c>
      <c r="W260" s="5" t="s">
        <v>800</v>
      </c>
      <c r="X260" s="6" t="s">
        <v>1520</v>
      </c>
    </row>
    <row r="261" customFormat="false" ht="79.85" hidden="false" customHeight="false" outlineLevel="0" collapsed="false">
      <c r="A261" s="5" t="s">
        <v>1521</v>
      </c>
      <c r="B261" s="5" t="s">
        <v>1202</v>
      </c>
      <c r="C261" s="5" t="s">
        <v>1203</v>
      </c>
      <c r="D261" s="5" t="s">
        <v>1522</v>
      </c>
      <c r="E261" s="5" t="s">
        <v>1522</v>
      </c>
      <c r="F261" s="6" t="s">
        <v>1205</v>
      </c>
      <c r="G261" s="5" t="s">
        <v>1523</v>
      </c>
      <c r="H261" s="5" t="s">
        <v>1512</v>
      </c>
      <c r="I261" s="5" t="s">
        <v>1524</v>
      </c>
      <c r="J261" s="5" t="s">
        <v>1525</v>
      </c>
      <c r="K261" s="5" t="s">
        <v>1449</v>
      </c>
      <c r="L261" s="5" t="s">
        <v>1208</v>
      </c>
      <c r="M261" s="5"/>
      <c r="N261" s="6"/>
      <c r="O261" s="5" t="s">
        <v>103</v>
      </c>
      <c r="P261" s="5" t="s">
        <v>1337</v>
      </c>
      <c r="Q261" s="5" t="n">
        <v>2</v>
      </c>
      <c r="R261" s="5" t="n">
        <v>2</v>
      </c>
      <c r="S261" s="5" t="s">
        <v>103</v>
      </c>
      <c r="T261" s="5" t="s">
        <v>104</v>
      </c>
      <c r="U261" s="5" t="n">
        <v>2</v>
      </c>
      <c r="V261" s="6" t="s">
        <v>1526</v>
      </c>
      <c r="W261" s="5" t="s">
        <v>106</v>
      </c>
      <c r="X261" s="6" t="s">
        <v>1527</v>
      </c>
    </row>
    <row r="262" customFormat="false" ht="35.05" hidden="false" customHeight="false" outlineLevel="0" collapsed="false">
      <c r="A262" s="5" t="s">
        <v>1528</v>
      </c>
      <c r="B262" s="5" t="s">
        <v>1202</v>
      </c>
      <c r="C262" s="5" t="s">
        <v>1203</v>
      </c>
      <c r="D262" s="5" t="s">
        <v>1529</v>
      </c>
      <c r="E262" s="5" t="s">
        <v>1529</v>
      </c>
      <c r="F262" s="6" t="s">
        <v>1205</v>
      </c>
      <c r="G262" s="5" t="s">
        <v>1523</v>
      </c>
      <c r="H262" s="5" t="s">
        <v>1512</v>
      </c>
      <c r="I262" s="5" t="s">
        <v>1524</v>
      </c>
      <c r="J262" s="5" t="s">
        <v>1530</v>
      </c>
      <c r="K262" s="5" t="s">
        <v>1020</v>
      </c>
      <c r="L262" s="5" t="s">
        <v>1208</v>
      </c>
      <c r="M262" s="5"/>
      <c r="N262" s="6"/>
      <c r="O262" s="5" t="s">
        <v>103</v>
      </c>
      <c r="P262" s="5" t="s">
        <v>1337</v>
      </c>
      <c r="Q262" s="5" t="n">
        <v>1</v>
      </c>
      <c r="R262" s="5" t="n">
        <v>1</v>
      </c>
      <c r="S262" s="5" t="s">
        <v>103</v>
      </c>
      <c r="T262" s="5" t="s">
        <v>104</v>
      </c>
      <c r="U262" s="5" t="n">
        <v>2</v>
      </c>
      <c r="V262" s="6" t="s">
        <v>1531</v>
      </c>
      <c r="W262" s="5" t="s">
        <v>800</v>
      </c>
      <c r="X262" s="6" t="s">
        <v>1532</v>
      </c>
    </row>
    <row r="263" customFormat="false" ht="158.2" hidden="false" customHeight="false" outlineLevel="0" collapsed="false">
      <c r="A263" s="5" t="s">
        <v>1533</v>
      </c>
      <c r="B263" s="5" t="s">
        <v>1534</v>
      </c>
      <c r="C263" s="5" t="s">
        <v>1535</v>
      </c>
      <c r="D263" s="5"/>
      <c r="E263" s="5"/>
      <c r="F263" s="6"/>
      <c r="G263" s="5"/>
      <c r="H263" s="5"/>
      <c r="I263" s="5"/>
      <c r="J263" s="5"/>
      <c r="K263" s="5"/>
      <c r="L263" s="5" t="s">
        <v>1536</v>
      </c>
      <c r="M263" s="5"/>
      <c r="N263" s="6"/>
      <c r="O263" s="5"/>
      <c r="P263" s="5"/>
      <c r="Q263" s="5" t="n">
        <v>1</v>
      </c>
      <c r="R263" s="5"/>
      <c r="S263" s="5" t="s">
        <v>103</v>
      </c>
      <c r="T263" s="7" t="s">
        <v>197</v>
      </c>
      <c r="U263" s="5" t="n">
        <v>4</v>
      </c>
      <c r="V263" s="6" t="s">
        <v>1537</v>
      </c>
      <c r="W263" s="5" t="s">
        <v>800</v>
      </c>
      <c r="X263" s="6" t="s">
        <v>1538</v>
      </c>
    </row>
  </sheetData>
  <autoFilter ref="A1:X2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4" min="3" style="0" width="22"/>
    <col collapsed="false" customWidth="true" hidden="false" outlineLevel="0" max="5" min="5" style="0" width="52"/>
    <col collapsed="false" customWidth="true" hidden="false" outlineLevel="0" max="6" min="6" style="0" width="44"/>
    <col collapsed="false" customWidth="true" hidden="false" outlineLevel="0" max="7" min="7" style="0" width="34"/>
    <col collapsed="false" customWidth="true" hidden="false" outlineLevel="0" max="8" min="8" style="0" width="16"/>
    <col collapsed="false" customWidth="true" hidden="false" outlineLevel="0" max="9" min="9" style="0" width="44"/>
  </cols>
  <sheetData>
    <row r="1" customFormat="false" ht="33.75" hidden="false" customHeight="true" outlineLevel="0" collapsed="false">
      <c r="A1" s="4" t="s">
        <v>66</v>
      </c>
      <c r="B1" s="4" t="s">
        <v>68</v>
      </c>
      <c r="C1" s="4" t="s">
        <v>1539</v>
      </c>
      <c r="D1" s="4" t="s">
        <v>1540</v>
      </c>
      <c r="E1" s="4" t="s">
        <v>1541</v>
      </c>
      <c r="F1" s="4" t="s">
        <v>1542</v>
      </c>
      <c r="G1" s="4" t="s">
        <v>1543</v>
      </c>
      <c r="H1" s="4" t="s">
        <v>1544</v>
      </c>
      <c r="I1" s="4" t="s">
        <v>1545</v>
      </c>
    </row>
    <row r="2" customFormat="false" ht="68.65" hidden="false" customHeight="false" outlineLevel="0" collapsed="false">
      <c r="A2" s="5" t="s">
        <v>1546</v>
      </c>
      <c r="B2" s="5" t="s">
        <v>92</v>
      </c>
      <c r="C2" s="5" t="s">
        <v>93</v>
      </c>
      <c r="D2" s="5" t="s">
        <v>99</v>
      </c>
      <c r="E2" s="6" t="s">
        <v>1547</v>
      </c>
      <c r="F2" s="6" t="s">
        <v>1548</v>
      </c>
      <c r="G2" s="6" t="s">
        <v>1549</v>
      </c>
      <c r="H2" s="5" t="s">
        <v>1550</v>
      </c>
      <c r="I2" s="6" t="s">
        <v>1551</v>
      </c>
    </row>
    <row r="3" customFormat="false" ht="79.85" hidden="false" customHeight="false" outlineLevel="0" collapsed="false">
      <c r="A3" s="5" t="s">
        <v>1552</v>
      </c>
      <c r="B3" s="5" t="s">
        <v>92</v>
      </c>
      <c r="C3" s="5" t="s">
        <v>109</v>
      </c>
      <c r="D3" s="5" t="s">
        <v>99</v>
      </c>
      <c r="E3" s="6" t="s">
        <v>1553</v>
      </c>
      <c r="F3" s="6"/>
      <c r="G3" s="6" t="s">
        <v>1554</v>
      </c>
      <c r="H3" s="5" t="s">
        <v>1555</v>
      </c>
      <c r="I3" s="6" t="s">
        <v>1556</v>
      </c>
    </row>
    <row r="4" customFormat="false" ht="79.85" hidden="false" customHeight="false" outlineLevel="0" collapsed="false">
      <c r="A4" s="5" t="s">
        <v>1552</v>
      </c>
      <c r="B4" s="5" t="s">
        <v>92</v>
      </c>
      <c r="C4" s="5" t="s">
        <v>109</v>
      </c>
      <c r="D4" s="5" t="s">
        <v>99</v>
      </c>
      <c r="E4" s="6" t="s">
        <v>1557</v>
      </c>
      <c r="F4" s="6"/>
      <c r="G4" s="6" t="s">
        <v>1554</v>
      </c>
      <c r="H4" s="5" t="s">
        <v>1555</v>
      </c>
      <c r="I4" s="6" t="s">
        <v>1556</v>
      </c>
    </row>
    <row r="5" customFormat="false" ht="79.85" hidden="false" customHeight="false" outlineLevel="0" collapsed="false">
      <c r="A5" s="5" t="s">
        <v>1552</v>
      </c>
      <c r="B5" s="5" t="s">
        <v>92</v>
      </c>
      <c r="C5" s="5" t="s">
        <v>109</v>
      </c>
      <c r="D5" s="5" t="s">
        <v>99</v>
      </c>
      <c r="E5" s="6" t="s">
        <v>1558</v>
      </c>
      <c r="F5" s="6"/>
      <c r="G5" s="6" t="s">
        <v>1559</v>
      </c>
      <c r="H5" s="5" t="s">
        <v>1560</v>
      </c>
      <c r="I5" s="6" t="s">
        <v>1556</v>
      </c>
    </row>
    <row r="6" customFormat="false" ht="68.65" hidden="false" customHeight="false" outlineLevel="0" collapsed="false">
      <c r="A6" s="5" t="s">
        <v>1561</v>
      </c>
      <c r="B6" s="5" t="s">
        <v>92</v>
      </c>
      <c r="C6" s="5" t="s">
        <v>117</v>
      </c>
      <c r="D6" s="6" t="s">
        <v>119</v>
      </c>
      <c r="E6" s="6" t="s">
        <v>1547</v>
      </c>
      <c r="F6" s="6" t="s">
        <v>1548</v>
      </c>
      <c r="G6" s="6" t="s">
        <v>1562</v>
      </c>
      <c r="H6" s="5" t="s">
        <v>1550</v>
      </c>
      <c r="I6" s="6" t="s">
        <v>1563</v>
      </c>
    </row>
    <row r="7" customFormat="false" ht="79.85" hidden="false" customHeight="false" outlineLevel="0" collapsed="false">
      <c r="A7" s="5" t="s">
        <v>1564</v>
      </c>
      <c r="B7" s="5" t="s">
        <v>92</v>
      </c>
      <c r="C7" s="5" t="s">
        <v>125</v>
      </c>
      <c r="D7" s="6" t="s">
        <v>119</v>
      </c>
      <c r="E7" s="6" t="s">
        <v>1553</v>
      </c>
      <c r="F7" s="6"/>
      <c r="G7" s="6" t="s">
        <v>1554</v>
      </c>
      <c r="H7" s="5" t="s">
        <v>1555</v>
      </c>
      <c r="I7" s="6" t="s">
        <v>1565</v>
      </c>
    </row>
    <row r="8" customFormat="false" ht="79.85" hidden="false" customHeight="false" outlineLevel="0" collapsed="false">
      <c r="A8" s="5" t="s">
        <v>1564</v>
      </c>
      <c r="B8" s="5" t="s">
        <v>92</v>
      </c>
      <c r="C8" s="5" t="s">
        <v>125</v>
      </c>
      <c r="D8" s="6" t="s">
        <v>119</v>
      </c>
      <c r="E8" s="6" t="s">
        <v>1557</v>
      </c>
      <c r="F8" s="6"/>
      <c r="G8" s="6" t="s">
        <v>1554</v>
      </c>
      <c r="H8" s="5" t="s">
        <v>1555</v>
      </c>
      <c r="I8" s="6" t="s">
        <v>1565</v>
      </c>
    </row>
    <row r="9" customFormat="false" ht="79.85" hidden="false" customHeight="false" outlineLevel="0" collapsed="false">
      <c r="A9" s="5" t="s">
        <v>1564</v>
      </c>
      <c r="B9" s="5" t="s">
        <v>92</v>
      </c>
      <c r="C9" s="5" t="s">
        <v>125</v>
      </c>
      <c r="D9" s="6" t="s">
        <v>119</v>
      </c>
      <c r="E9" s="6" t="s">
        <v>1558</v>
      </c>
      <c r="F9" s="6"/>
      <c r="G9" s="6" t="s">
        <v>1566</v>
      </c>
      <c r="H9" s="5" t="s">
        <v>1567</v>
      </c>
      <c r="I9" s="6" t="s">
        <v>1565</v>
      </c>
    </row>
    <row r="10" customFormat="false" ht="68.65" hidden="false" customHeight="false" outlineLevel="0" collapsed="false">
      <c r="A10" s="5" t="s">
        <v>1568</v>
      </c>
      <c r="B10" s="5" t="s">
        <v>92</v>
      </c>
      <c r="C10" s="5" t="s">
        <v>130</v>
      </c>
      <c r="D10" s="5" t="s">
        <v>132</v>
      </c>
      <c r="E10" s="6" t="s">
        <v>1547</v>
      </c>
      <c r="F10" s="6" t="s">
        <v>1548</v>
      </c>
      <c r="G10" s="6" t="s">
        <v>1569</v>
      </c>
      <c r="H10" s="5" t="s">
        <v>1550</v>
      </c>
      <c r="I10" s="6" t="s">
        <v>1551</v>
      </c>
    </row>
    <row r="11" customFormat="false" ht="79.85" hidden="false" customHeight="false" outlineLevel="0" collapsed="false">
      <c r="A11" s="5" t="s">
        <v>1570</v>
      </c>
      <c r="B11" s="5" t="s">
        <v>92</v>
      </c>
      <c r="C11" s="5" t="s">
        <v>137</v>
      </c>
      <c r="D11" s="6" t="s">
        <v>138</v>
      </c>
      <c r="E11" s="6" t="s">
        <v>1553</v>
      </c>
      <c r="F11" s="6"/>
      <c r="G11" s="6" t="s">
        <v>1554</v>
      </c>
      <c r="H11" s="5" t="s">
        <v>1555</v>
      </c>
      <c r="I11" s="6" t="s">
        <v>1565</v>
      </c>
    </row>
    <row r="12" customFormat="false" ht="79.85" hidden="false" customHeight="false" outlineLevel="0" collapsed="false">
      <c r="A12" s="5" t="s">
        <v>1570</v>
      </c>
      <c r="B12" s="5" t="s">
        <v>92</v>
      </c>
      <c r="C12" s="5" t="s">
        <v>137</v>
      </c>
      <c r="D12" s="6" t="s">
        <v>138</v>
      </c>
      <c r="E12" s="6" t="s">
        <v>1557</v>
      </c>
      <c r="F12" s="6"/>
      <c r="G12" s="6" t="s">
        <v>1554</v>
      </c>
      <c r="H12" s="5" t="s">
        <v>1555</v>
      </c>
      <c r="I12" s="6" t="s">
        <v>1565</v>
      </c>
    </row>
    <row r="13" customFormat="false" ht="79.85" hidden="false" customHeight="false" outlineLevel="0" collapsed="false">
      <c r="A13" s="5" t="s">
        <v>1570</v>
      </c>
      <c r="B13" s="5" t="s">
        <v>92</v>
      </c>
      <c r="C13" s="5" t="s">
        <v>137</v>
      </c>
      <c r="D13" s="6" t="s">
        <v>138</v>
      </c>
      <c r="E13" s="6" t="s">
        <v>1558</v>
      </c>
      <c r="F13" s="6"/>
      <c r="G13" s="6" t="s">
        <v>1571</v>
      </c>
      <c r="H13" s="5" t="s">
        <v>1572</v>
      </c>
      <c r="I13" s="6" t="s">
        <v>1565</v>
      </c>
    </row>
    <row r="14" customFormat="false" ht="68.65" hidden="false" customHeight="false" outlineLevel="0" collapsed="false">
      <c r="A14" s="5" t="s">
        <v>1573</v>
      </c>
      <c r="B14" s="5" t="s">
        <v>92</v>
      </c>
      <c r="C14" s="5" t="s">
        <v>142</v>
      </c>
      <c r="D14" s="5" t="s">
        <v>144</v>
      </c>
      <c r="E14" s="6" t="s">
        <v>1547</v>
      </c>
      <c r="F14" s="6" t="s">
        <v>1548</v>
      </c>
      <c r="G14" s="6" t="s">
        <v>1574</v>
      </c>
      <c r="H14" s="5" t="s">
        <v>1550</v>
      </c>
      <c r="I14" s="6" t="s">
        <v>1551</v>
      </c>
    </row>
    <row r="15" customFormat="false" ht="79.85" hidden="false" customHeight="false" outlineLevel="0" collapsed="false">
      <c r="A15" s="5" t="s">
        <v>1575</v>
      </c>
      <c r="B15" s="5" t="s">
        <v>92</v>
      </c>
      <c r="C15" s="5" t="s">
        <v>148</v>
      </c>
      <c r="D15" s="6" t="s">
        <v>149</v>
      </c>
      <c r="E15" s="6" t="s">
        <v>1553</v>
      </c>
      <c r="F15" s="6"/>
      <c r="G15" s="6" t="s">
        <v>1554</v>
      </c>
      <c r="H15" s="5" t="s">
        <v>1555</v>
      </c>
      <c r="I15" s="6" t="s">
        <v>1565</v>
      </c>
    </row>
    <row r="16" customFormat="false" ht="79.85" hidden="false" customHeight="false" outlineLevel="0" collapsed="false">
      <c r="A16" s="5" t="s">
        <v>1575</v>
      </c>
      <c r="B16" s="5" t="s">
        <v>92</v>
      </c>
      <c r="C16" s="5" t="s">
        <v>148</v>
      </c>
      <c r="D16" s="6" t="s">
        <v>149</v>
      </c>
      <c r="E16" s="6" t="s">
        <v>1557</v>
      </c>
      <c r="F16" s="6"/>
      <c r="G16" s="6" t="s">
        <v>1554</v>
      </c>
      <c r="H16" s="5" t="s">
        <v>1555</v>
      </c>
      <c r="I16" s="6" t="s">
        <v>1565</v>
      </c>
    </row>
    <row r="17" customFormat="false" ht="79.85" hidden="false" customHeight="false" outlineLevel="0" collapsed="false">
      <c r="A17" s="5" t="s">
        <v>1575</v>
      </c>
      <c r="B17" s="5" t="s">
        <v>92</v>
      </c>
      <c r="C17" s="5" t="s">
        <v>148</v>
      </c>
      <c r="D17" s="6" t="s">
        <v>149</v>
      </c>
      <c r="E17" s="6" t="s">
        <v>1558</v>
      </c>
      <c r="F17" s="6"/>
      <c r="G17" s="6" t="s">
        <v>1576</v>
      </c>
      <c r="H17" s="5" t="s">
        <v>1577</v>
      </c>
      <c r="I17" s="6" t="s">
        <v>1565</v>
      </c>
    </row>
    <row r="18" customFormat="false" ht="68.65" hidden="false" customHeight="false" outlineLevel="0" collapsed="false">
      <c r="A18" s="5" t="s">
        <v>1578</v>
      </c>
      <c r="B18" s="5" t="s">
        <v>92</v>
      </c>
      <c r="C18" s="5" t="s">
        <v>153</v>
      </c>
      <c r="D18" s="6" t="s">
        <v>155</v>
      </c>
      <c r="E18" s="6" t="s">
        <v>1547</v>
      </c>
      <c r="F18" s="6" t="s">
        <v>1548</v>
      </c>
      <c r="G18" s="6" t="s">
        <v>1579</v>
      </c>
      <c r="H18" s="5" t="s">
        <v>1550</v>
      </c>
      <c r="I18" s="6" t="s">
        <v>1563</v>
      </c>
    </row>
    <row r="19" customFormat="false" ht="79.85" hidden="false" customHeight="false" outlineLevel="0" collapsed="false">
      <c r="A19" s="5" t="s">
        <v>1580</v>
      </c>
      <c r="B19" s="5" t="s">
        <v>92</v>
      </c>
      <c r="C19" s="5" t="s">
        <v>160</v>
      </c>
      <c r="D19" s="6" t="s">
        <v>155</v>
      </c>
      <c r="E19" s="6" t="s">
        <v>1553</v>
      </c>
      <c r="F19" s="6"/>
      <c r="G19" s="6" t="s">
        <v>1554</v>
      </c>
      <c r="H19" s="5" t="s">
        <v>1555</v>
      </c>
      <c r="I19" s="6" t="s">
        <v>1565</v>
      </c>
    </row>
    <row r="20" customFormat="false" ht="79.85" hidden="false" customHeight="false" outlineLevel="0" collapsed="false">
      <c r="A20" s="5" t="s">
        <v>1580</v>
      </c>
      <c r="B20" s="5" t="s">
        <v>92</v>
      </c>
      <c r="C20" s="5" t="s">
        <v>160</v>
      </c>
      <c r="D20" s="6" t="s">
        <v>155</v>
      </c>
      <c r="E20" s="6" t="s">
        <v>1557</v>
      </c>
      <c r="F20" s="6"/>
      <c r="G20" s="6" t="s">
        <v>1554</v>
      </c>
      <c r="H20" s="5" t="s">
        <v>1555</v>
      </c>
      <c r="I20" s="6" t="s">
        <v>1565</v>
      </c>
    </row>
    <row r="21" customFormat="false" ht="79.85" hidden="false" customHeight="false" outlineLevel="0" collapsed="false">
      <c r="A21" s="5" t="s">
        <v>1580</v>
      </c>
      <c r="B21" s="5" t="s">
        <v>92</v>
      </c>
      <c r="C21" s="5" t="s">
        <v>160</v>
      </c>
      <c r="D21" s="6" t="s">
        <v>155</v>
      </c>
      <c r="E21" s="6" t="s">
        <v>1558</v>
      </c>
      <c r="F21" s="6"/>
      <c r="G21" s="6" t="s">
        <v>1581</v>
      </c>
      <c r="H21" s="5" t="s">
        <v>1582</v>
      </c>
      <c r="I21" s="6" t="s">
        <v>1565</v>
      </c>
    </row>
    <row r="22" customFormat="false" ht="68.65" hidden="false" customHeight="false" outlineLevel="0" collapsed="false">
      <c r="A22" s="5" t="s">
        <v>1583</v>
      </c>
      <c r="B22" s="5" t="s">
        <v>92</v>
      </c>
      <c r="C22" s="5" t="s">
        <v>164</v>
      </c>
      <c r="D22" s="6" t="s">
        <v>166</v>
      </c>
      <c r="E22" s="6" t="s">
        <v>1547</v>
      </c>
      <c r="F22" s="6" t="s">
        <v>1548</v>
      </c>
      <c r="G22" s="6" t="s">
        <v>1584</v>
      </c>
      <c r="H22" s="5" t="s">
        <v>1550</v>
      </c>
      <c r="I22" s="6" t="s">
        <v>1563</v>
      </c>
    </row>
    <row r="23" customFormat="false" ht="79.85" hidden="false" customHeight="false" outlineLevel="0" collapsed="false">
      <c r="A23" s="5" t="s">
        <v>1585</v>
      </c>
      <c r="B23" s="5" t="s">
        <v>92</v>
      </c>
      <c r="C23" s="5" t="s">
        <v>171</v>
      </c>
      <c r="D23" s="5" t="s">
        <v>173</v>
      </c>
      <c r="E23" s="6" t="s">
        <v>1553</v>
      </c>
      <c r="F23" s="6"/>
      <c r="G23" s="6" t="s">
        <v>1554</v>
      </c>
      <c r="H23" s="5" t="s">
        <v>1555</v>
      </c>
      <c r="I23" s="6" t="s">
        <v>1556</v>
      </c>
    </row>
    <row r="24" customFormat="false" ht="79.85" hidden="false" customHeight="false" outlineLevel="0" collapsed="false">
      <c r="A24" s="5" t="s">
        <v>1585</v>
      </c>
      <c r="B24" s="5" t="s">
        <v>92</v>
      </c>
      <c r="C24" s="5" t="s">
        <v>171</v>
      </c>
      <c r="D24" s="5" t="s">
        <v>173</v>
      </c>
      <c r="E24" s="6" t="s">
        <v>1557</v>
      </c>
      <c r="F24" s="6"/>
      <c r="G24" s="6" t="s">
        <v>1554</v>
      </c>
      <c r="H24" s="5" t="s">
        <v>1555</v>
      </c>
      <c r="I24" s="6" t="s">
        <v>1556</v>
      </c>
    </row>
    <row r="25" customFormat="false" ht="79.85" hidden="false" customHeight="false" outlineLevel="0" collapsed="false">
      <c r="A25" s="5" t="s">
        <v>1585</v>
      </c>
      <c r="B25" s="5" t="s">
        <v>92</v>
      </c>
      <c r="C25" s="5" t="s">
        <v>171</v>
      </c>
      <c r="D25" s="5" t="s">
        <v>173</v>
      </c>
      <c r="E25" s="6" t="s">
        <v>1558</v>
      </c>
      <c r="F25" s="6"/>
      <c r="G25" s="6" t="s">
        <v>1586</v>
      </c>
      <c r="H25" s="5" t="s">
        <v>1587</v>
      </c>
      <c r="I25" s="6" t="s">
        <v>1556</v>
      </c>
    </row>
    <row r="26" customFormat="false" ht="68.65" hidden="false" customHeight="false" outlineLevel="0" collapsed="false">
      <c r="A26" s="5" t="s">
        <v>1588</v>
      </c>
      <c r="B26" s="5" t="s">
        <v>92</v>
      </c>
      <c r="C26" s="5" t="s">
        <v>177</v>
      </c>
      <c r="D26" s="6" t="s">
        <v>155</v>
      </c>
      <c r="E26" s="6" t="s">
        <v>1547</v>
      </c>
      <c r="F26" s="6" t="s">
        <v>1548</v>
      </c>
      <c r="G26" s="6" t="s">
        <v>1589</v>
      </c>
      <c r="H26" s="5" t="s">
        <v>1550</v>
      </c>
      <c r="I26" s="6" t="s">
        <v>1563</v>
      </c>
    </row>
    <row r="27" customFormat="false" ht="79.85" hidden="false" customHeight="false" outlineLevel="0" collapsed="false">
      <c r="A27" s="5" t="s">
        <v>1590</v>
      </c>
      <c r="B27" s="5" t="s">
        <v>92</v>
      </c>
      <c r="C27" s="5" t="s">
        <v>186</v>
      </c>
      <c r="D27" s="6" t="s">
        <v>155</v>
      </c>
      <c r="E27" s="6" t="s">
        <v>1553</v>
      </c>
      <c r="F27" s="6"/>
      <c r="G27" s="6" t="s">
        <v>1591</v>
      </c>
      <c r="H27" s="5" t="s">
        <v>1555</v>
      </c>
      <c r="I27" s="6" t="s">
        <v>1565</v>
      </c>
    </row>
    <row r="28" customFormat="false" ht="79.85" hidden="false" customHeight="false" outlineLevel="0" collapsed="false">
      <c r="A28" s="5" t="s">
        <v>1590</v>
      </c>
      <c r="B28" s="5" t="s">
        <v>92</v>
      </c>
      <c r="C28" s="5" t="s">
        <v>186</v>
      </c>
      <c r="D28" s="6" t="s">
        <v>155</v>
      </c>
      <c r="E28" s="6" t="s">
        <v>1557</v>
      </c>
      <c r="F28" s="6"/>
      <c r="G28" s="6" t="s">
        <v>1591</v>
      </c>
      <c r="H28" s="5" t="s">
        <v>1555</v>
      </c>
      <c r="I28" s="6" t="s">
        <v>1565</v>
      </c>
    </row>
    <row r="29" customFormat="false" ht="79.85" hidden="false" customHeight="false" outlineLevel="0" collapsed="false">
      <c r="A29" s="5" t="s">
        <v>1590</v>
      </c>
      <c r="B29" s="5" t="s">
        <v>92</v>
      </c>
      <c r="C29" s="5" t="s">
        <v>186</v>
      </c>
      <c r="D29" s="6" t="s">
        <v>155</v>
      </c>
      <c r="E29" s="6" t="s">
        <v>1592</v>
      </c>
      <c r="F29" s="6"/>
      <c r="G29" s="6" t="s">
        <v>1593</v>
      </c>
      <c r="H29" s="5" t="s">
        <v>1594</v>
      </c>
      <c r="I29" s="6" t="s">
        <v>1565</v>
      </c>
    </row>
    <row r="30" customFormat="false" ht="68.65" hidden="false" customHeight="false" outlineLevel="0" collapsed="false">
      <c r="A30" s="5" t="s">
        <v>1595</v>
      </c>
      <c r="B30" s="5" t="s">
        <v>92</v>
      </c>
      <c r="C30" s="5" t="s">
        <v>193</v>
      </c>
      <c r="D30" s="6" t="s">
        <v>195</v>
      </c>
      <c r="E30" s="6" t="s">
        <v>1547</v>
      </c>
      <c r="F30" s="6" t="s">
        <v>1548</v>
      </c>
      <c r="G30" s="6" t="s">
        <v>1596</v>
      </c>
      <c r="H30" s="5" t="s">
        <v>1550</v>
      </c>
      <c r="I30" s="6" t="s">
        <v>1563</v>
      </c>
    </row>
    <row r="31" customFormat="false" ht="79.85" hidden="false" customHeight="false" outlineLevel="0" collapsed="false">
      <c r="A31" s="5" t="s">
        <v>1597</v>
      </c>
      <c r="B31" s="5" t="s">
        <v>92</v>
      </c>
      <c r="C31" s="5" t="s">
        <v>202</v>
      </c>
      <c r="D31" s="6" t="s">
        <v>203</v>
      </c>
      <c r="E31" s="6" t="s">
        <v>1553</v>
      </c>
      <c r="F31" s="6"/>
      <c r="G31" s="6" t="s">
        <v>1591</v>
      </c>
      <c r="H31" s="5" t="s">
        <v>1555</v>
      </c>
      <c r="I31" s="6" t="s">
        <v>1565</v>
      </c>
    </row>
    <row r="32" customFormat="false" ht="79.85" hidden="false" customHeight="false" outlineLevel="0" collapsed="false">
      <c r="A32" s="5" t="s">
        <v>1597</v>
      </c>
      <c r="B32" s="5" t="s">
        <v>92</v>
      </c>
      <c r="C32" s="5" t="s">
        <v>202</v>
      </c>
      <c r="D32" s="6" t="s">
        <v>203</v>
      </c>
      <c r="E32" s="6" t="s">
        <v>1557</v>
      </c>
      <c r="F32" s="6"/>
      <c r="G32" s="6" t="s">
        <v>1591</v>
      </c>
      <c r="H32" s="5" t="s">
        <v>1555</v>
      </c>
      <c r="I32" s="6" t="s">
        <v>1565</v>
      </c>
    </row>
    <row r="33" customFormat="false" ht="79.85" hidden="false" customHeight="false" outlineLevel="0" collapsed="false">
      <c r="A33" s="5" t="s">
        <v>1597</v>
      </c>
      <c r="B33" s="5" t="s">
        <v>92</v>
      </c>
      <c r="C33" s="5" t="s">
        <v>202</v>
      </c>
      <c r="D33" s="6" t="s">
        <v>203</v>
      </c>
      <c r="E33" s="6" t="s">
        <v>1592</v>
      </c>
      <c r="F33" s="6"/>
      <c r="G33" s="6" t="s">
        <v>1598</v>
      </c>
      <c r="H33" s="5" t="s">
        <v>1599</v>
      </c>
      <c r="I33" s="6" t="s">
        <v>1565</v>
      </c>
    </row>
    <row r="34" customFormat="false" ht="68.65" hidden="false" customHeight="false" outlineLevel="0" collapsed="false">
      <c r="A34" s="5" t="s">
        <v>1600</v>
      </c>
      <c r="B34" s="5" t="s">
        <v>92</v>
      </c>
      <c r="C34" s="5" t="s">
        <v>208</v>
      </c>
      <c r="D34" s="5" t="s">
        <v>210</v>
      </c>
      <c r="E34" s="6" t="s">
        <v>1547</v>
      </c>
      <c r="F34" s="6" t="s">
        <v>1548</v>
      </c>
      <c r="G34" s="6" t="s">
        <v>1596</v>
      </c>
      <c r="H34" s="5" t="s">
        <v>1550</v>
      </c>
      <c r="I34" s="6" t="s">
        <v>1551</v>
      </c>
    </row>
    <row r="35" customFormat="false" ht="79.85" hidden="false" customHeight="false" outlineLevel="0" collapsed="false">
      <c r="A35" s="5" t="s">
        <v>1601</v>
      </c>
      <c r="B35" s="5" t="s">
        <v>92</v>
      </c>
      <c r="C35" s="5" t="s">
        <v>216</v>
      </c>
      <c r="D35" s="5" t="s">
        <v>218</v>
      </c>
      <c r="E35" s="6" t="s">
        <v>1553</v>
      </c>
      <c r="F35" s="6"/>
      <c r="G35" s="6" t="s">
        <v>1591</v>
      </c>
      <c r="H35" s="5" t="s">
        <v>1555</v>
      </c>
      <c r="I35" s="6" t="s">
        <v>1556</v>
      </c>
    </row>
    <row r="36" customFormat="false" ht="79.85" hidden="false" customHeight="false" outlineLevel="0" collapsed="false">
      <c r="A36" s="5" t="s">
        <v>1601</v>
      </c>
      <c r="B36" s="5" t="s">
        <v>92</v>
      </c>
      <c r="C36" s="5" t="s">
        <v>216</v>
      </c>
      <c r="D36" s="5" t="s">
        <v>218</v>
      </c>
      <c r="E36" s="6" t="s">
        <v>1557</v>
      </c>
      <c r="F36" s="6"/>
      <c r="G36" s="6" t="s">
        <v>1591</v>
      </c>
      <c r="H36" s="5" t="s">
        <v>1555</v>
      </c>
      <c r="I36" s="6" t="s">
        <v>1556</v>
      </c>
    </row>
    <row r="37" customFormat="false" ht="79.85" hidden="false" customHeight="false" outlineLevel="0" collapsed="false">
      <c r="A37" s="5" t="s">
        <v>1601</v>
      </c>
      <c r="B37" s="5" t="s">
        <v>92</v>
      </c>
      <c r="C37" s="5" t="s">
        <v>216</v>
      </c>
      <c r="D37" s="5" t="s">
        <v>218</v>
      </c>
      <c r="E37" s="6" t="s">
        <v>1558</v>
      </c>
      <c r="F37" s="6"/>
      <c r="G37" s="6" t="s">
        <v>1602</v>
      </c>
      <c r="H37" s="5" t="s">
        <v>1603</v>
      </c>
      <c r="I37" s="6" t="s">
        <v>1556</v>
      </c>
    </row>
    <row r="38" customFormat="false" ht="68.65" hidden="false" customHeight="false" outlineLevel="0" collapsed="false">
      <c r="A38" s="5" t="s">
        <v>1604</v>
      </c>
      <c r="B38" s="5" t="s">
        <v>92</v>
      </c>
      <c r="C38" s="5" t="s">
        <v>224</v>
      </c>
      <c r="D38" s="5" t="s">
        <v>226</v>
      </c>
      <c r="E38" s="6" t="s">
        <v>1547</v>
      </c>
      <c r="F38" s="6" t="s">
        <v>1548</v>
      </c>
      <c r="G38" s="6" t="s">
        <v>1605</v>
      </c>
      <c r="H38" s="5" t="s">
        <v>1550</v>
      </c>
      <c r="I38" s="6" t="s">
        <v>1551</v>
      </c>
    </row>
    <row r="39" customFormat="false" ht="79.85" hidden="false" customHeight="false" outlineLevel="0" collapsed="false">
      <c r="A39" s="5" t="s">
        <v>1606</v>
      </c>
      <c r="B39" s="5" t="s">
        <v>92</v>
      </c>
      <c r="C39" s="5" t="s">
        <v>233</v>
      </c>
      <c r="D39" s="5" t="s">
        <v>226</v>
      </c>
      <c r="E39" s="6" t="s">
        <v>1553</v>
      </c>
      <c r="F39" s="6"/>
      <c r="G39" s="6" t="s">
        <v>1591</v>
      </c>
      <c r="H39" s="5" t="s">
        <v>1555</v>
      </c>
      <c r="I39" s="6" t="s">
        <v>1556</v>
      </c>
    </row>
    <row r="40" customFormat="false" ht="79.85" hidden="false" customHeight="false" outlineLevel="0" collapsed="false">
      <c r="A40" s="5" t="s">
        <v>1606</v>
      </c>
      <c r="B40" s="5" t="s">
        <v>92</v>
      </c>
      <c r="C40" s="5" t="s">
        <v>233</v>
      </c>
      <c r="D40" s="5" t="s">
        <v>226</v>
      </c>
      <c r="E40" s="6" t="s">
        <v>1557</v>
      </c>
      <c r="F40" s="6"/>
      <c r="G40" s="6" t="s">
        <v>1591</v>
      </c>
      <c r="H40" s="5" t="s">
        <v>1555</v>
      </c>
      <c r="I40" s="6" t="s">
        <v>1556</v>
      </c>
    </row>
    <row r="41" customFormat="false" ht="79.85" hidden="false" customHeight="false" outlineLevel="0" collapsed="false">
      <c r="A41" s="5" t="s">
        <v>1606</v>
      </c>
      <c r="B41" s="5" t="s">
        <v>92</v>
      </c>
      <c r="C41" s="5" t="s">
        <v>233</v>
      </c>
      <c r="D41" s="5" t="s">
        <v>226</v>
      </c>
      <c r="E41" s="6" t="s">
        <v>1558</v>
      </c>
      <c r="F41" s="6"/>
      <c r="G41" s="6" t="s">
        <v>1607</v>
      </c>
      <c r="H41" s="5" t="s">
        <v>1608</v>
      </c>
      <c r="I41" s="6" t="s">
        <v>1556</v>
      </c>
    </row>
    <row r="42" customFormat="false" ht="79.85" hidden="false" customHeight="false" outlineLevel="0" collapsed="false">
      <c r="A42" s="5" t="s">
        <v>1609</v>
      </c>
      <c r="B42" s="5" t="s">
        <v>92</v>
      </c>
      <c r="C42" s="5" t="s">
        <v>239</v>
      </c>
      <c r="D42" s="5" t="s">
        <v>244</v>
      </c>
      <c r="E42" s="6" t="s">
        <v>1553</v>
      </c>
      <c r="F42" s="6"/>
      <c r="G42" s="6" t="s">
        <v>1610</v>
      </c>
      <c r="H42" s="5" t="s">
        <v>1555</v>
      </c>
      <c r="I42" s="6" t="s">
        <v>1611</v>
      </c>
    </row>
    <row r="43" customFormat="false" ht="79.85" hidden="false" customHeight="false" outlineLevel="0" collapsed="false">
      <c r="A43" s="5" t="s">
        <v>1609</v>
      </c>
      <c r="B43" s="5" t="s">
        <v>92</v>
      </c>
      <c r="C43" s="5" t="s">
        <v>239</v>
      </c>
      <c r="D43" s="5" t="s">
        <v>244</v>
      </c>
      <c r="E43" s="6" t="s">
        <v>1557</v>
      </c>
      <c r="F43" s="6"/>
      <c r="G43" s="6" t="s">
        <v>1612</v>
      </c>
      <c r="H43" s="5" t="s">
        <v>1613</v>
      </c>
      <c r="I43" s="6" t="s">
        <v>1611</v>
      </c>
    </row>
    <row r="44" customFormat="false" ht="79.85" hidden="false" customHeight="false" outlineLevel="0" collapsed="false">
      <c r="A44" s="5" t="s">
        <v>1609</v>
      </c>
      <c r="B44" s="5" t="s">
        <v>92</v>
      </c>
      <c r="C44" s="5" t="s">
        <v>239</v>
      </c>
      <c r="D44" s="5" t="s">
        <v>244</v>
      </c>
      <c r="E44" s="6" t="s">
        <v>1592</v>
      </c>
      <c r="F44" s="6"/>
      <c r="G44" s="6" t="s">
        <v>1614</v>
      </c>
      <c r="H44" s="5" t="s">
        <v>1615</v>
      </c>
      <c r="I44" s="6" t="s">
        <v>1611</v>
      </c>
    </row>
    <row r="45" customFormat="false" ht="135.8" hidden="false" customHeight="false" outlineLevel="0" collapsed="false">
      <c r="A45" s="5" t="s">
        <v>1616</v>
      </c>
      <c r="B45" s="5" t="s">
        <v>92</v>
      </c>
      <c r="C45" s="5" t="s">
        <v>249</v>
      </c>
      <c r="D45" s="6" t="s">
        <v>254</v>
      </c>
      <c r="E45" s="6" t="s">
        <v>1617</v>
      </c>
      <c r="F45" s="6"/>
      <c r="G45" s="6" t="s">
        <v>1618</v>
      </c>
      <c r="H45" s="5" t="s">
        <v>1555</v>
      </c>
      <c r="I45" s="6" t="s">
        <v>1619</v>
      </c>
    </row>
    <row r="46" customFormat="false" ht="135.8" hidden="false" customHeight="false" outlineLevel="0" collapsed="false">
      <c r="A46" s="5" t="s">
        <v>1616</v>
      </c>
      <c r="B46" s="5" t="s">
        <v>92</v>
      </c>
      <c r="C46" s="5" t="s">
        <v>249</v>
      </c>
      <c r="D46" s="6" t="s">
        <v>254</v>
      </c>
      <c r="E46" s="6" t="s">
        <v>1620</v>
      </c>
      <c r="F46" s="6"/>
      <c r="G46" s="6" t="s">
        <v>1618</v>
      </c>
      <c r="H46" s="5" t="s">
        <v>1555</v>
      </c>
      <c r="I46" s="6" t="s">
        <v>1619</v>
      </c>
    </row>
    <row r="47" customFormat="false" ht="135.8" hidden="false" customHeight="false" outlineLevel="0" collapsed="false">
      <c r="A47" s="5" t="s">
        <v>1616</v>
      </c>
      <c r="B47" s="5" t="s">
        <v>92</v>
      </c>
      <c r="C47" s="5" t="s">
        <v>249</v>
      </c>
      <c r="D47" s="6" t="s">
        <v>254</v>
      </c>
      <c r="E47" s="6" t="s">
        <v>1621</v>
      </c>
      <c r="F47" s="6"/>
      <c r="G47" s="6" t="s">
        <v>1618</v>
      </c>
      <c r="H47" s="5" t="s">
        <v>1555</v>
      </c>
      <c r="I47" s="6" t="s">
        <v>1619</v>
      </c>
    </row>
    <row r="48" customFormat="false" ht="135.8" hidden="false" customHeight="false" outlineLevel="0" collapsed="false">
      <c r="A48" s="5" t="s">
        <v>1616</v>
      </c>
      <c r="B48" s="5" t="s">
        <v>92</v>
      </c>
      <c r="C48" s="5" t="s">
        <v>249</v>
      </c>
      <c r="D48" s="6" t="s">
        <v>254</v>
      </c>
      <c r="E48" s="6" t="s">
        <v>1622</v>
      </c>
      <c r="F48" s="6"/>
      <c r="G48" s="6" t="s">
        <v>1618</v>
      </c>
      <c r="H48" s="5" t="s">
        <v>1555</v>
      </c>
      <c r="I48" s="6" t="s">
        <v>1619</v>
      </c>
    </row>
    <row r="49" customFormat="false" ht="135.8" hidden="false" customHeight="false" outlineLevel="0" collapsed="false">
      <c r="A49" s="5" t="s">
        <v>1616</v>
      </c>
      <c r="B49" s="5" t="s">
        <v>92</v>
      </c>
      <c r="C49" s="5" t="s">
        <v>249</v>
      </c>
      <c r="D49" s="6" t="s">
        <v>254</v>
      </c>
      <c r="E49" s="6" t="s">
        <v>1623</v>
      </c>
      <c r="F49" s="6"/>
      <c r="G49" s="6" t="s">
        <v>1618</v>
      </c>
      <c r="H49" s="5" t="s">
        <v>1555</v>
      </c>
      <c r="I49" s="6" t="s">
        <v>1619</v>
      </c>
    </row>
    <row r="50" customFormat="false" ht="79.85" hidden="false" customHeight="false" outlineLevel="0" collapsed="false">
      <c r="A50" s="5" t="s">
        <v>1624</v>
      </c>
      <c r="B50" s="5" t="s">
        <v>92</v>
      </c>
      <c r="C50" s="5" t="s">
        <v>258</v>
      </c>
      <c r="D50" s="5" t="s">
        <v>260</v>
      </c>
      <c r="E50" s="6" t="s">
        <v>1553</v>
      </c>
      <c r="F50" s="6"/>
      <c r="G50" s="6" t="s">
        <v>1610</v>
      </c>
      <c r="H50" s="5" t="s">
        <v>1555</v>
      </c>
      <c r="I50" s="6" t="s">
        <v>1611</v>
      </c>
    </row>
    <row r="51" customFormat="false" ht="79.85" hidden="false" customHeight="false" outlineLevel="0" collapsed="false">
      <c r="A51" s="5" t="s">
        <v>1624</v>
      </c>
      <c r="B51" s="5" t="s">
        <v>92</v>
      </c>
      <c r="C51" s="5" t="s">
        <v>258</v>
      </c>
      <c r="D51" s="5" t="s">
        <v>260</v>
      </c>
      <c r="E51" s="6" t="s">
        <v>1557</v>
      </c>
      <c r="F51" s="6"/>
      <c r="G51" s="6" t="s">
        <v>1610</v>
      </c>
      <c r="H51" s="5" t="s">
        <v>1555</v>
      </c>
      <c r="I51" s="6" t="s">
        <v>1611</v>
      </c>
    </row>
    <row r="52" customFormat="false" ht="79.85" hidden="false" customHeight="false" outlineLevel="0" collapsed="false">
      <c r="A52" s="5" t="s">
        <v>1624</v>
      </c>
      <c r="B52" s="5" t="s">
        <v>92</v>
      </c>
      <c r="C52" s="5" t="s">
        <v>258</v>
      </c>
      <c r="D52" s="5" t="s">
        <v>260</v>
      </c>
      <c r="E52" s="6" t="s">
        <v>1592</v>
      </c>
      <c r="F52" s="6"/>
      <c r="G52" s="6" t="s">
        <v>1625</v>
      </c>
      <c r="H52" s="5" t="s">
        <v>1626</v>
      </c>
      <c r="I52" s="6" t="s">
        <v>1611</v>
      </c>
    </row>
    <row r="53" customFormat="false" ht="135.8" hidden="false" customHeight="false" outlineLevel="0" collapsed="false">
      <c r="A53" s="5" t="s">
        <v>1627</v>
      </c>
      <c r="B53" s="5" t="s">
        <v>92</v>
      </c>
      <c r="C53" s="5" t="s">
        <v>264</v>
      </c>
      <c r="D53" s="5" t="s">
        <v>260</v>
      </c>
      <c r="E53" s="6" t="s">
        <v>1628</v>
      </c>
      <c r="F53" s="6"/>
      <c r="G53" s="6" t="s">
        <v>1618</v>
      </c>
      <c r="H53" s="5" t="s">
        <v>1555</v>
      </c>
      <c r="I53" s="6" t="s">
        <v>1629</v>
      </c>
    </row>
    <row r="54" customFormat="false" ht="135.8" hidden="false" customHeight="false" outlineLevel="0" collapsed="false">
      <c r="A54" s="5" t="s">
        <v>1627</v>
      </c>
      <c r="B54" s="5" t="s">
        <v>92</v>
      </c>
      <c r="C54" s="5" t="s">
        <v>264</v>
      </c>
      <c r="D54" s="5" t="s">
        <v>260</v>
      </c>
      <c r="E54" s="6" t="s">
        <v>1630</v>
      </c>
      <c r="F54" s="6"/>
      <c r="G54" s="6" t="s">
        <v>1618</v>
      </c>
      <c r="H54" s="5" t="s">
        <v>1555</v>
      </c>
      <c r="I54" s="6" t="s">
        <v>1629</v>
      </c>
    </row>
    <row r="55" customFormat="false" ht="135.8" hidden="false" customHeight="false" outlineLevel="0" collapsed="false">
      <c r="A55" s="5" t="s">
        <v>1627</v>
      </c>
      <c r="B55" s="5" t="s">
        <v>92</v>
      </c>
      <c r="C55" s="5" t="s">
        <v>264</v>
      </c>
      <c r="D55" s="5" t="s">
        <v>260</v>
      </c>
      <c r="E55" s="6" t="s">
        <v>1631</v>
      </c>
      <c r="F55" s="6"/>
      <c r="G55" s="6" t="s">
        <v>1618</v>
      </c>
      <c r="H55" s="5" t="s">
        <v>1555</v>
      </c>
      <c r="I55" s="6" t="s">
        <v>1629</v>
      </c>
    </row>
    <row r="56" customFormat="false" ht="135.8" hidden="false" customHeight="false" outlineLevel="0" collapsed="false">
      <c r="A56" s="5" t="s">
        <v>1627</v>
      </c>
      <c r="B56" s="5" t="s">
        <v>92</v>
      </c>
      <c r="C56" s="5" t="s">
        <v>264</v>
      </c>
      <c r="D56" s="5" t="s">
        <v>260</v>
      </c>
      <c r="E56" s="6" t="s">
        <v>1632</v>
      </c>
      <c r="F56" s="6"/>
      <c r="G56" s="6" t="s">
        <v>1618</v>
      </c>
      <c r="H56" s="5" t="s">
        <v>1555</v>
      </c>
      <c r="I56" s="6" t="s">
        <v>1629</v>
      </c>
    </row>
    <row r="57" customFormat="false" ht="135.8" hidden="false" customHeight="false" outlineLevel="0" collapsed="false">
      <c r="A57" s="5" t="s">
        <v>1627</v>
      </c>
      <c r="B57" s="5" t="s">
        <v>92</v>
      </c>
      <c r="C57" s="5" t="s">
        <v>264</v>
      </c>
      <c r="D57" s="5" t="s">
        <v>260</v>
      </c>
      <c r="E57" s="6" t="s">
        <v>1623</v>
      </c>
      <c r="F57" s="6"/>
      <c r="G57" s="6" t="s">
        <v>1618</v>
      </c>
      <c r="H57" s="5" t="s">
        <v>1555</v>
      </c>
      <c r="I57" s="6" t="s">
        <v>1629</v>
      </c>
    </row>
    <row r="58" customFormat="false" ht="79.85" hidden="false" customHeight="false" outlineLevel="0" collapsed="false">
      <c r="A58" s="5" t="s">
        <v>1633</v>
      </c>
      <c r="B58" s="5" t="s">
        <v>92</v>
      </c>
      <c r="C58" s="5" t="s">
        <v>269</v>
      </c>
      <c r="D58" s="5" t="s">
        <v>272</v>
      </c>
      <c r="E58" s="6" t="s">
        <v>1553</v>
      </c>
      <c r="F58" s="6"/>
      <c r="G58" s="6" t="s">
        <v>1610</v>
      </c>
      <c r="H58" s="5" t="s">
        <v>1555</v>
      </c>
      <c r="I58" s="6" t="s">
        <v>1611</v>
      </c>
    </row>
    <row r="59" customFormat="false" ht="79.85" hidden="false" customHeight="false" outlineLevel="0" collapsed="false">
      <c r="A59" s="5" t="s">
        <v>1633</v>
      </c>
      <c r="B59" s="5" t="s">
        <v>92</v>
      </c>
      <c r="C59" s="5" t="s">
        <v>269</v>
      </c>
      <c r="D59" s="5" t="s">
        <v>272</v>
      </c>
      <c r="E59" s="6" t="s">
        <v>1557</v>
      </c>
      <c r="F59" s="6"/>
      <c r="G59" s="6" t="s">
        <v>1634</v>
      </c>
      <c r="H59" s="5" t="s">
        <v>1635</v>
      </c>
      <c r="I59" s="6" t="s">
        <v>1611</v>
      </c>
    </row>
    <row r="60" customFormat="false" ht="79.85" hidden="false" customHeight="false" outlineLevel="0" collapsed="false">
      <c r="A60" s="5" t="s">
        <v>1633</v>
      </c>
      <c r="B60" s="5" t="s">
        <v>92</v>
      </c>
      <c r="C60" s="5" t="s">
        <v>269</v>
      </c>
      <c r="D60" s="5" t="s">
        <v>272</v>
      </c>
      <c r="E60" s="6" t="s">
        <v>1592</v>
      </c>
      <c r="F60" s="6"/>
      <c r="G60" s="6" t="s">
        <v>1636</v>
      </c>
      <c r="H60" s="5" t="s">
        <v>1637</v>
      </c>
      <c r="I60" s="6" t="s">
        <v>1611</v>
      </c>
    </row>
    <row r="61" customFormat="false" ht="135.8" hidden="false" customHeight="false" outlineLevel="0" collapsed="false">
      <c r="A61" s="5" t="s">
        <v>1638</v>
      </c>
      <c r="B61" s="5" t="s">
        <v>92</v>
      </c>
      <c r="C61" s="5" t="s">
        <v>276</v>
      </c>
      <c r="D61" s="5" t="s">
        <v>272</v>
      </c>
      <c r="E61" s="6" t="s">
        <v>1628</v>
      </c>
      <c r="F61" s="6"/>
      <c r="G61" s="6" t="s">
        <v>1618</v>
      </c>
      <c r="H61" s="5" t="s">
        <v>1555</v>
      </c>
      <c r="I61" s="6" t="s">
        <v>1629</v>
      </c>
    </row>
    <row r="62" customFormat="false" ht="135.8" hidden="false" customHeight="false" outlineLevel="0" collapsed="false">
      <c r="A62" s="5" t="s">
        <v>1638</v>
      </c>
      <c r="B62" s="5" t="s">
        <v>92</v>
      </c>
      <c r="C62" s="5" t="s">
        <v>276</v>
      </c>
      <c r="D62" s="5" t="s">
        <v>272</v>
      </c>
      <c r="E62" s="6" t="s">
        <v>1630</v>
      </c>
      <c r="F62" s="6"/>
      <c r="G62" s="6" t="s">
        <v>1618</v>
      </c>
      <c r="H62" s="5" t="s">
        <v>1555</v>
      </c>
      <c r="I62" s="6" t="s">
        <v>1629</v>
      </c>
    </row>
    <row r="63" customFormat="false" ht="135.8" hidden="false" customHeight="false" outlineLevel="0" collapsed="false">
      <c r="A63" s="5" t="s">
        <v>1638</v>
      </c>
      <c r="B63" s="5" t="s">
        <v>92</v>
      </c>
      <c r="C63" s="5" t="s">
        <v>276</v>
      </c>
      <c r="D63" s="5" t="s">
        <v>272</v>
      </c>
      <c r="E63" s="6" t="s">
        <v>1631</v>
      </c>
      <c r="F63" s="6"/>
      <c r="G63" s="6" t="s">
        <v>1618</v>
      </c>
      <c r="H63" s="5" t="s">
        <v>1555</v>
      </c>
      <c r="I63" s="6" t="s">
        <v>1629</v>
      </c>
    </row>
    <row r="64" customFormat="false" ht="135.8" hidden="false" customHeight="false" outlineLevel="0" collapsed="false">
      <c r="A64" s="5" t="s">
        <v>1638</v>
      </c>
      <c r="B64" s="5" t="s">
        <v>92</v>
      </c>
      <c r="C64" s="5" t="s">
        <v>276</v>
      </c>
      <c r="D64" s="5" t="s">
        <v>272</v>
      </c>
      <c r="E64" s="6" t="s">
        <v>1632</v>
      </c>
      <c r="F64" s="6"/>
      <c r="G64" s="6" t="s">
        <v>1618</v>
      </c>
      <c r="H64" s="5" t="s">
        <v>1555</v>
      </c>
      <c r="I64" s="6" t="s">
        <v>1629</v>
      </c>
    </row>
    <row r="65" customFormat="false" ht="135.8" hidden="false" customHeight="false" outlineLevel="0" collapsed="false">
      <c r="A65" s="5" t="s">
        <v>1638</v>
      </c>
      <c r="B65" s="5" t="s">
        <v>92</v>
      </c>
      <c r="C65" s="5" t="s">
        <v>276</v>
      </c>
      <c r="D65" s="5" t="s">
        <v>272</v>
      </c>
      <c r="E65" s="6" t="s">
        <v>1623</v>
      </c>
      <c r="F65" s="6"/>
      <c r="G65" s="6" t="s">
        <v>1618</v>
      </c>
      <c r="H65" s="5" t="s">
        <v>1555</v>
      </c>
      <c r="I65" s="6" t="s">
        <v>1629</v>
      </c>
    </row>
    <row r="66" customFormat="false" ht="79.85" hidden="false" customHeight="false" outlineLevel="0" collapsed="false">
      <c r="A66" s="5" t="s">
        <v>1639</v>
      </c>
      <c r="B66" s="5" t="s">
        <v>92</v>
      </c>
      <c r="C66" s="5" t="s">
        <v>281</v>
      </c>
      <c r="D66" s="5" t="s">
        <v>283</v>
      </c>
      <c r="E66" s="6" t="s">
        <v>1553</v>
      </c>
      <c r="F66" s="6"/>
      <c r="G66" s="6" t="s">
        <v>1610</v>
      </c>
      <c r="H66" s="5" t="s">
        <v>1555</v>
      </c>
      <c r="I66" s="6" t="s">
        <v>1611</v>
      </c>
    </row>
    <row r="67" customFormat="false" ht="79.85" hidden="false" customHeight="false" outlineLevel="0" collapsed="false">
      <c r="A67" s="5" t="s">
        <v>1639</v>
      </c>
      <c r="B67" s="5" t="s">
        <v>92</v>
      </c>
      <c r="C67" s="5" t="s">
        <v>281</v>
      </c>
      <c r="D67" s="5" t="s">
        <v>283</v>
      </c>
      <c r="E67" s="6" t="s">
        <v>1557</v>
      </c>
      <c r="F67" s="6"/>
      <c r="G67" s="6" t="s">
        <v>1610</v>
      </c>
      <c r="H67" s="5" t="s">
        <v>1555</v>
      </c>
      <c r="I67" s="6" t="s">
        <v>1611</v>
      </c>
    </row>
    <row r="68" customFormat="false" ht="79.85" hidden="false" customHeight="false" outlineLevel="0" collapsed="false">
      <c r="A68" s="5" t="s">
        <v>1639</v>
      </c>
      <c r="B68" s="5" t="s">
        <v>92</v>
      </c>
      <c r="C68" s="5" t="s">
        <v>281</v>
      </c>
      <c r="D68" s="5" t="s">
        <v>283</v>
      </c>
      <c r="E68" s="6" t="s">
        <v>1592</v>
      </c>
      <c r="F68" s="6"/>
      <c r="G68" s="6" t="s">
        <v>1640</v>
      </c>
      <c r="H68" s="5" t="s">
        <v>1641</v>
      </c>
      <c r="I68" s="6" t="s">
        <v>1611</v>
      </c>
    </row>
    <row r="69" customFormat="false" ht="135.8" hidden="false" customHeight="false" outlineLevel="0" collapsed="false">
      <c r="A69" s="5" t="s">
        <v>1642</v>
      </c>
      <c r="B69" s="5" t="s">
        <v>92</v>
      </c>
      <c r="C69" s="5" t="s">
        <v>287</v>
      </c>
      <c r="D69" s="5" t="s">
        <v>289</v>
      </c>
      <c r="E69" s="6" t="s">
        <v>1617</v>
      </c>
      <c r="F69" s="6"/>
      <c r="G69" s="6" t="s">
        <v>1618</v>
      </c>
      <c r="H69" s="5" t="s">
        <v>1555</v>
      </c>
      <c r="I69" s="6" t="s">
        <v>1643</v>
      </c>
    </row>
    <row r="70" customFormat="false" ht="135.8" hidden="false" customHeight="false" outlineLevel="0" collapsed="false">
      <c r="A70" s="5" t="s">
        <v>1642</v>
      </c>
      <c r="B70" s="5" t="s">
        <v>92</v>
      </c>
      <c r="C70" s="5" t="s">
        <v>287</v>
      </c>
      <c r="D70" s="5" t="s">
        <v>289</v>
      </c>
      <c r="E70" s="6" t="s">
        <v>1620</v>
      </c>
      <c r="F70" s="6"/>
      <c r="G70" s="6" t="s">
        <v>1618</v>
      </c>
      <c r="H70" s="5" t="s">
        <v>1555</v>
      </c>
      <c r="I70" s="6" t="s">
        <v>1643</v>
      </c>
    </row>
    <row r="71" customFormat="false" ht="135.8" hidden="false" customHeight="false" outlineLevel="0" collapsed="false">
      <c r="A71" s="5" t="s">
        <v>1642</v>
      </c>
      <c r="B71" s="5" t="s">
        <v>92</v>
      </c>
      <c r="C71" s="5" t="s">
        <v>287</v>
      </c>
      <c r="D71" s="5" t="s">
        <v>289</v>
      </c>
      <c r="E71" s="6" t="s">
        <v>1621</v>
      </c>
      <c r="F71" s="6"/>
      <c r="G71" s="6" t="s">
        <v>1618</v>
      </c>
      <c r="H71" s="5" t="s">
        <v>1555</v>
      </c>
      <c r="I71" s="6" t="s">
        <v>1643</v>
      </c>
    </row>
    <row r="72" customFormat="false" ht="135.8" hidden="false" customHeight="false" outlineLevel="0" collapsed="false">
      <c r="A72" s="5" t="s">
        <v>1642</v>
      </c>
      <c r="B72" s="5" t="s">
        <v>92</v>
      </c>
      <c r="C72" s="5" t="s">
        <v>287</v>
      </c>
      <c r="D72" s="5" t="s">
        <v>289</v>
      </c>
      <c r="E72" s="6" t="s">
        <v>1622</v>
      </c>
      <c r="F72" s="6"/>
      <c r="G72" s="6" t="s">
        <v>1618</v>
      </c>
      <c r="H72" s="5" t="s">
        <v>1555</v>
      </c>
      <c r="I72" s="6" t="s">
        <v>1643</v>
      </c>
    </row>
    <row r="73" customFormat="false" ht="135.8" hidden="false" customHeight="false" outlineLevel="0" collapsed="false">
      <c r="A73" s="5" t="s">
        <v>1642</v>
      </c>
      <c r="B73" s="5" t="s">
        <v>92</v>
      </c>
      <c r="C73" s="5" t="s">
        <v>287</v>
      </c>
      <c r="D73" s="5" t="s">
        <v>289</v>
      </c>
      <c r="E73" s="6" t="s">
        <v>1623</v>
      </c>
      <c r="F73" s="6"/>
      <c r="G73" s="6" t="s">
        <v>1618</v>
      </c>
      <c r="H73" s="5" t="s">
        <v>1555</v>
      </c>
      <c r="I73" s="6" t="s">
        <v>1643</v>
      </c>
    </row>
    <row r="74" customFormat="false" ht="79.85" hidden="false" customHeight="false" outlineLevel="0" collapsed="false">
      <c r="A74" s="5" t="s">
        <v>1644</v>
      </c>
      <c r="B74" s="5" t="s">
        <v>92</v>
      </c>
      <c r="C74" s="5" t="s">
        <v>293</v>
      </c>
      <c r="D74" s="5" t="s">
        <v>295</v>
      </c>
      <c r="E74" s="6" t="s">
        <v>1553</v>
      </c>
      <c r="F74" s="6"/>
      <c r="G74" s="6" t="s">
        <v>1610</v>
      </c>
      <c r="H74" s="5" t="s">
        <v>1555</v>
      </c>
      <c r="I74" s="6" t="s">
        <v>1556</v>
      </c>
    </row>
    <row r="75" customFormat="false" ht="79.85" hidden="false" customHeight="false" outlineLevel="0" collapsed="false">
      <c r="A75" s="5" t="s">
        <v>1644</v>
      </c>
      <c r="B75" s="5" t="s">
        <v>92</v>
      </c>
      <c r="C75" s="5" t="s">
        <v>293</v>
      </c>
      <c r="D75" s="5" t="s">
        <v>295</v>
      </c>
      <c r="E75" s="6" t="s">
        <v>1557</v>
      </c>
      <c r="F75" s="6"/>
      <c r="G75" s="6" t="s">
        <v>1645</v>
      </c>
      <c r="H75" s="5" t="s">
        <v>1613</v>
      </c>
      <c r="I75" s="6" t="s">
        <v>1556</v>
      </c>
    </row>
    <row r="76" customFormat="false" ht="79.85" hidden="false" customHeight="false" outlineLevel="0" collapsed="false">
      <c r="A76" s="5" t="s">
        <v>1644</v>
      </c>
      <c r="B76" s="5" t="s">
        <v>92</v>
      </c>
      <c r="C76" s="5" t="s">
        <v>293</v>
      </c>
      <c r="D76" s="5" t="s">
        <v>295</v>
      </c>
      <c r="E76" s="6" t="s">
        <v>1558</v>
      </c>
      <c r="F76" s="6"/>
      <c r="G76" s="6" t="s">
        <v>1646</v>
      </c>
      <c r="H76" s="5" t="s">
        <v>1647</v>
      </c>
      <c r="I76" s="6" t="s">
        <v>1556</v>
      </c>
    </row>
    <row r="77" customFormat="false" ht="135.8" hidden="false" customHeight="false" outlineLevel="0" collapsed="false">
      <c r="A77" s="5" t="s">
        <v>1648</v>
      </c>
      <c r="B77" s="5" t="s">
        <v>92</v>
      </c>
      <c r="C77" s="5" t="s">
        <v>300</v>
      </c>
      <c r="D77" s="5" t="s">
        <v>295</v>
      </c>
      <c r="E77" s="6" t="s">
        <v>1617</v>
      </c>
      <c r="F77" s="6"/>
      <c r="G77" s="6" t="s">
        <v>1618</v>
      </c>
      <c r="H77" s="5" t="s">
        <v>1555</v>
      </c>
      <c r="I77" s="6" t="s">
        <v>1643</v>
      </c>
    </row>
    <row r="78" customFormat="false" ht="135.8" hidden="false" customHeight="false" outlineLevel="0" collapsed="false">
      <c r="A78" s="5" t="s">
        <v>1648</v>
      </c>
      <c r="B78" s="5" t="s">
        <v>92</v>
      </c>
      <c r="C78" s="5" t="s">
        <v>300</v>
      </c>
      <c r="D78" s="5" t="s">
        <v>295</v>
      </c>
      <c r="E78" s="6" t="s">
        <v>1620</v>
      </c>
      <c r="F78" s="6"/>
      <c r="G78" s="6" t="s">
        <v>1618</v>
      </c>
      <c r="H78" s="5" t="s">
        <v>1555</v>
      </c>
      <c r="I78" s="6" t="s">
        <v>1643</v>
      </c>
    </row>
    <row r="79" customFormat="false" ht="135.8" hidden="false" customHeight="false" outlineLevel="0" collapsed="false">
      <c r="A79" s="5" t="s">
        <v>1648</v>
      </c>
      <c r="B79" s="5" t="s">
        <v>92</v>
      </c>
      <c r="C79" s="5" t="s">
        <v>300</v>
      </c>
      <c r="D79" s="5" t="s">
        <v>295</v>
      </c>
      <c r="E79" s="6" t="s">
        <v>1621</v>
      </c>
      <c r="F79" s="6"/>
      <c r="G79" s="6" t="s">
        <v>1618</v>
      </c>
      <c r="H79" s="5" t="s">
        <v>1555</v>
      </c>
      <c r="I79" s="6" t="s">
        <v>1643</v>
      </c>
    </row>
    <row r="80" customFormat="false" ht="135.8" hidden="false" customHeight="false" outlineLevel="0" collapsed="false">
      <c r="A80" s="5" t="s">
        <v>1648</v>
      </c>
      <c r="B80" s="5" t="s">
        <v>92</v>
      </c>
      <c r="C80" s="5" t="s">
        <v>300</v>
      </c>
      <c r="D80" s="5" t="s">
        <v>295</v>
      </c>
      <c r="E80" s="6" t="s">
        <v>1622</v>
      </c>
      <c r="F80" s="6"/>
      <c r="G80" s="6" t="s">
        <v>1618</v>
      </c>
      <c r="H80" s="5" t="s">
        <v>1555</v>
      </c>
      <c r="I80" s="6" t="s">
        <v>1643</v>
      </c>
    </row>
    <row r="81" customFormat="false" ht="135.8" hidden="false" customHeight="false" outlineLevel="0" collapsed="false">
      <c r="A81" s="5" t="s">
        <v>1648</v>
      </c>
      <c r="B81" s="5" t="s">
        <v>92</v>
      </c>
      <c r="C81" s="5" t="s">
        <v>300</v>
      </c>
      <c r="D81" s="5" t="s">
        <v>295</v>
      </c>
      <c r="E81" s="6" t="s">
        <v>1623</v>
      </c>
      <c r="F81" s="6"/>
      <c r="G81" s="6" t="s">
        <v>1591</v>
      </c>
      <c r="H81" s="5" t="s">
        <v>1555</v>
      </c>
      <c r="I81" s="6" t="s">
        <v>1643</v>
      </c>
    </row>
    <row r="82" customFormat="false" ht="79.85" hidden="false" customHeight="false" outlineLevel="0" collapsed="false">
      <c r="A82" s="5" t="s">
        <v>1649</v>
      </c>
      <c r="B82" s="5" t="s">
        <v>92</v>
      </c>
      <c r="C82" s="5" t="s">
        <v>305</v>
      </c>
      <c r="D82" s="5" t="s">
        <v>307</v>
      </c>
      <c r="E82" s="6" t="s">
        <v>1553</v>
      </c>
      <c r="F82" s="6"/>
      <c r="G82" s="6" t="s">
        <v>1610</v>
      </c>
      <c r="H82" s="5" t="s">
        <v>1555</v>
      </c>
      <c r="I82" s="6" t="s">
        <v>1650</v>
      </c>
    </row>
    <row r="83" customFormat="false" ht="79.85" hidden="false" customHeight="false" outlineLevel="0" collapsed="false">
      <c r="A83" s="5" t="s">
        <v>1649</v>
      </c>
      <c r="B83" s="5" t="s">
        <v>92</v>
      </c>
      <c r="C83" s="5" t="s">
        <v>305</v>
      </c>
      <c r="D83" s="5" t="s">
        <v>307</v>
      </c>
      <c r="E83" s="6" t="s">
        <v>1557</v>
      </c>
      <c r="F83" s="6"/>
      <c r="G83" s="6" t="s">
        <v>1610</v>
      </c>
      <c r="H83" s="5" t="s">
        <v>1555</v>
      </c>
      <c r="I83" s="6" t="s">
        <v>1650</v>
      </c>
    </row>
    <row r="84" customFormat="false" ht="79.85" hidden="false" customHeight="false" outlineLevel="0" collapsed="false">
      <c r="A84" s="5" t="s">
        <v>1649</v>
      </c>
      <c r="B84" s="5" t="s">
        <v>92</v>
      </c>
      <c r="C84" s="5" t="s">
        <v>305</v>
      </c>
      <c r="D84" s="5" t="s">
        <v>307</v>
      </c>
      <c r="E84" s="6" t="s">
        <v>1558</v>
      </c>
      <c r="F84" s="6"/>
      <c r="G84" s="6" t="s">
        <v>1651</v>
      </c>
      <c r="H84" s="5" t="s">
        <v>1652</v>
      </c>
      <c r="I84" s="6" t="s">
        <v>1650</v>
      </c>
    </row>
    <row r="85" customFormat="false" ht="135.8" hidden="false" customHeight="false" outlineLevel="0" collapsed="false">
      <c r="A85" s="5" t="s">
        <v>1653</v>
      </c>
      <c r="B85" s="5" t="s">
        <v>92</v>
      </c>
      <c r="C85" s="5" t="s">
        <v>312</v>
      </c>
      <c r="D85" s="6" t="s">
        <v>313</v>
      </c>
      <c r="E85" s="6" t="s">
        <v>1617</v>
      </c>
      <c r="F85" s="6"/>
      <c r="G85" s="6" t="s">
        <v>1618</v>
      </c>
      <c r="H85" s="5" t="s">
        <v>1555</v>
      </c>
      <c r="I85" s="6" t="s">
        <v>1619</v>
      </c>
    </row>
    <row r="86" customFormat="false" ht="135.8" hidden="false" customHeight="false" outlineLevel="0" collapsed="false">
      <c r="A86" s="5" t="s">
        <v>1653</v>
      </c>
      <c r="B86" s="5" t="s">
        <v>92</v>
      </c>
      <c r="C86" s="5" t="s">
        <v>312</v>
      </c>
      <c r="D86" s="6" t="s">
        <v>313</v>
      </c>
      <c r="E86" s="6" t="s">
        <v>1620</v>
      </c>
      <c r="F86" s="6"/>
      <c r="G86" s="6" t="s">
        <v>1618</v>
      </c>
      <c r="H86" s="5" t="s">
        <v>1555</v>
      </c>
      <c r="I86" s="6" t="s">
        <v>1619</v>
      </c>
    </row>
    <row r="87" customFormat="false" ht="135.8" hidden="false" customHeight="false" outlineLevel="0" collapsed="false">
      <c r="A87" s="5" t="s">
        <v>1653</v>
      </c>
      <c r="B87" s="5" t="s">
        <v>92</v>
      </c>
      <c r="C87" s="5" t="s">
        <v>312</v>
      </c>
      <c r="D87" s="6" t="s">
        <v>313</v>
      </c>
      <c r="E87" s="6" t="s">
        <v>1621</v>
      </c>
      <c r="F87" s="6"/>
      <c r="G87" s="6" t="s">
        <v>1618</v>
      </c>
      <c r="H87" s="5" t="s">
        <v>1555</v>
      </c>
      <c r="I87" s="6" t="s">
        <v>1619</v>
      </c>
    </row>
    <row r="88" customFormat="false" ht="135.8" hidden="false" customHeight="false" outlineLevel="0" collapsed="false">
      <c r="A88" s="5" t="s">
        <v>1653</v>
      </c>
      <c r="B88" s="5" t="s">
        <v>92</v>
      </c>
      <c r="C88" s="5" t="s">
        <v>312</v>
      </c>
      <c r="D88" s="6" t="s">
        <v>313</v>
      </c>
      <c r="E88" s="6" t="s">
        <v>1622</v>
      </c>
      <c r="F88" s="6"/>
      <c r="G88" s="6" t="s">
        <v>1618</v>
      </c>
      <c r="H88" s="5" t="s">
        <v>1555</v>
      </c>
      <c r="I88" s="6" t="s">
        <v>1619</v>
      </c>
    </row>
    <row r="89" customFormat="false" ht="135.8" hidden="false" customHeight="false" outlineLevel="0" collapsed="false">
      <c r="A89" s="5" t="s">
        <v>1653</v>
      </c>
      <c r="B89" s="5" t="s">
        <v>92</v>
      </c>
      <c r="C89" s="5" t="s">
        <v>312</v>
      </c>
      <c r="D89" s="6" t="s">
        <v>313</v>
      </c>
      <c r="E89" s="6" t="s">
        <v>1623</v>
      </c>
      <c r="F89" s="6"/>
      <c r="G89" s="6" t="s">
        <v>1654</v>
      </c>
      <c r="H89" s="5" t="s">
        <v>1655</v>
      </c>
      <c r="I89" s="6" t="s">
        <v>1619</v>
      </c>
    </row>
    <row r="90" customFormat="false" ht="79.85" hidden="false" customHeight="false" outlineLevel="0" collapsed="false">
      <c r="A90" s="5" t="s">
        <v>1656</v>
      </c>
      <c r="B90" s="5" t="s">
        <v>92</v>
      </c>
      <c r="C90" s="5" t="s">
        <v>317</v>
      </c>
      <c r="D90" s="5" t="s">
        <v>319</v>
      </c>
      <c r="E90" s="6" t="s">
        <v>1553</v>
      </c>
      <c r="F90" s="6"/>
      <c r="G90" s="6" t="s">
        <v>1610</v>
      </c>
      <c r="H90" s="5" t="s">
        <v>1555</v>
      </c>
      <c r="I90" s="6" t="s">
        <v>1556</v>
      </c>
    </row>
    <row r="91" customFormat="false" ht="79.85" hidden="false" customHeight="false" outlineLevel="0" collapsed="false">
      <c r="A91" s="5" t="s">
        <v>1656</v>
      </c>
      <c r="B91" s="5" t="s">
        <v>92</v>
      </c>
      <c r="C91" s="5" t="s">
        <v>317</v>
      </c>
      <c r="D91" s="5" t="s">
        <v>319</v>
      </c>
      <c r="E91" s="6" t="s">
        <v>1557</v>
      </c>
      <c r="F91" s="6"/>
      <c r="G91" s="6" t="s">
        <v>1610</v>
      </c>
      <c r="H91" s="5" t="s">
        <v>1555</v>
      </c>
      <c r="I91" s="6" t="s">
        <v>1556</v>
      </c>
    </row>
    <row r="92" customFormat="false" ht="79.85" hidden="false" customHeight="false" outlineLevel="0" collapsed="false">
      <c r="A92" s="5" t="s">
        <v>1656</v>
      </c>
      <c r="B92" s="5" t="s">
        <v>92</v>
      </c>
      <c r="C92" s="5" t="s">
        <v>317</v>
      </c>
      <c r="D92" s="5" t="s">
        <v>319</v>
      </c>
      <c r="E92" s="6" t="s">
        <v>1558</v>
      </c>
      <c r="F92" s="6"/>
      <c r="G92" s="6" t="s">
        <v>1657</v>
      </c>
      <c r="H92" s="5" t="s">
        <v>1658</v>
      </c>
      <c r="I92" s="6" t="s">
        <v>1556</v>
      </c>
    </row>
    <row r="93" customFormat="false" ht="135.8" hidden="false" customHeight="false" outlineLevel="0" collapsed="false">
      <c r="A93" s="5" t="s">
        <v>1659</v>
      </c>
      <c r="B93" s="5" t="s">
        <v>92</v>
      </c>
      <c r="C93" s="5" t="s">
        <v>324</v>
      </c>
      <c r="D93" s="6" t="s">
        <v>325</v>
      </c>
      <c r="E93" s="6" t="s">
        <v>1617</v>
      </c>
      <c r="F93" s="6"/>
      <c r="G93" s="6" t="s">
        <v>1618</v>
      </c>
      <c r="H93" s="5" t="s">
        <v>1555</v>
      </c>
      <c r="I93" s="6" t="s">
        <v>1619</v>
      </c>
    </row>
    <row r="94" customFormat="false" ht="135.8" hidden="false" customHeight="false" outlineLevel="0" collapsed="false">
      <c r="A94" s="5" t="s">
        <v>1659</v>
      </c>
      <c r="B94" s="5" t="s">
        <v>92</v>
      </c>
      <c r="C94" s="5" t="s">
        <v>324</v>
      </c>
      <c r="D94" s="6" t="s">
        <v>325</v>
      </c>
      <c r="E94" s="6" t="s">
        <v>1620</v>
      </c>
      <c r="F94" s="6"/>
      <c r="G94" s="6" t="s">
        <v>1618</v>
      </c>
      <c r="H94" s="5" t="s">
        <v>1555</v>
      </c>
      <c r="I94" s="6" t="s">
        <v>1619</v>
      </c>
    </row>
    <row r="95" customFormat="false" ht="135.8" hidden="false" customHeight="false" outlineLevel="0" collapsed="false">
      <c r="A95" s="5" t="s">
        <v>1659</v>
      </c>
      <c r="B95" s="5" t="s">
        <v>92</v>
      </c>
      <c r="C95" s="5" t="s">
        <v>324</v>
      </c>
      <c r="D95" s="6" t="s">
        <v>325</v>
      </c>
      <c r="E95" s="6" t="s">
        <v>1621</v>
      </c>
      <c r="F95" s="6"/>
      <c r="G95" s="6" t="s">
        <v>1618</v>
      </c>
      <c r="H95" s="5" t="s">
        <v>1555</v>
      </c>
      <c r="I95" s="6" t="s">
        <v>1619</v>
      </c>
    </row>
    <row r="96" customFormat="false" ht="135.8" hidden="false" customHeight="false" outlineLevel="0" collapsed="false">
      <c r="A96" s="5" t="s">
        <v>1659</v>
      </c>
      <c r="B96" s="5" t="s">
        <v>92</v>
      </c>
      <c r="C96" s="5" t="s">
        <v>324</v>
      </c>
      <c r="D96" s="6" t="s">
        <v>325</v>
      </c>
      <c r="E96" s="6" t="s">
        <v>1622</v>
      </c>
      <c r="F96" s="6"/>
      <c r="G96" s="6" t="s">
        <v>1618</v>
      </c>
      <c r="H96" s="5" t="s">
        <v>1555</v>
      </c>
      <c r="I96" s="6" t="s">
        <v>1619</v>
      </c>
    </row>
    <row r="97" customFormat="false" ht="135.8" hidden="false" customHeight="false" outlineLevel="0" collapsed="false">
      <c r="A97" s="5" t="s">
        <v>1659</v>
      </c>
      <c r="B97" s="5" t="s">
        <v>92</v>
      </c>
      <c r="C97" s="5" t="s">
        <v>324</v>
      </c>
      <c r="D97" s="6" t="s">
        <v>325</v>
      </c>
      <c r="E97" s="6" t="s">
        <v>1623</v>
      </c>
      <c r="F97" s="6"/>
      <c r="G97" s="6" t="s">
        <v>1618</v>
      </c>
      <c r="H97" s="5" t="s">
        <v>1555</v>
      </c>
      <c r="I97" s="6" t="s">
        <v>1619</v>
      </c>
    </row>
    <row r="98" customFormat="false" ht="79.85" hidden="false" customHeight="false" outlineLevel="0" collapsed="false">
      <c r="A98" s="5" t="s">
        <v>1660</v>
      </c>
      <c r="B98" s="5" t="s">
        <v>92</v>
      </c>
      <c r="C98" s="5" t="s">
        <v>328</v>
      </c>
      <c r="D98" s="5" t="s">
        <v>330</v>
      </c>
      <c r="E98" s="6" t="s">
        <v>1553</v>
      </c>
      <c r="F98" s="6"/>
      <c r="G98" s="6" t="s">
        <v>1610</v>
      </c>
      <c r="H98" s="5" t="s">
        <v>1555</v>
      </c>
      <c r="I98" s="6" t="s">
        <v>1556</v>
      </c>
    </row>
    <row r="99" customFormat="false" ht="79.85" hidden="false" customHeight="false" outlineLevel="0" collapsed="false">
      <c r="A99" s="5" t="s">
        <v>1660</v>
      </c>
      <c r="B99" s="5" t="s">
        <v>92</v>
      </c>
      <c r="C99" s="5" t="s">
        <v>328</v>
      </c>
      <c r="D99" s="5" t="s">
        <v>330</v>
      </c>
      <c r="E99" s="6" t="s">
        <v>1557</v>
      </c>
      <c r="F99" s="6"/>
      <c r="G99" s="6" t="s">
        <v>1610</v>
      </c>
      <c r="H99" s="5" t="s">
        <v>1555</v>
      </c>
      <c r="I99" s="6" t="s">
        <v>1556</v>
      </c>
    </row>
    <row r="100" customFormat="false" ht="79.85" hidden="false" customHeight="false" outlineLevel="0" collapsed="false">
      <c r="A100" s="5" t="s">
        <v>1660</v>
      </c>
      <c r="B100" s="5" t="s">
        <v>92</v>
      </c>
      <c r="C100" s="5" t="s">
        <v>328</v>
      </c>
      <c r="D100" s="5" t="s">
        <v>330</v>
      </c>
      <c r="E100" s="6" t="s">
        <v>1558</v>
      </c>
      <c r="F100" s="6"/>
      <c r="G100" s="6" t="s">
        <v>1661</v>
      </c>
      <c r="H100" s="5" t="s">
        <v>1647</v>
      </c>
      <c r="I100" s="6" t="s">
        <v>1556</v>
      </c>
    </row>
    <row r="101" customFormat="false" ht="135.8" hidden="false" customHeight="false" outlineLevel="0" collapsed="false">
      <c r="A101" s="5" t="s">
        <v>1662</v>
      </c>
      <c r="B101" s="5" t="s">
        <v>92</v>
      </c>
      <c r="C101" s="5" t="s">
        <v>334</v>
      </c>
      <c r="D101" s="5" t="s">
        <v>336</v>
      </c>
      <c r="E101" s="6" t="s">
        <v>1628</v>
      </c>
      <c r="F101" s="6"/>
      <c r="G101" s="6" t="s">
        <v>1618</v>
      </c>
      <c r="H101" s="5" t="s">
        <v>1555</v>
      </c>
      <c r="I101" s="6" t="s">
        <v>1629</v>
      </c>
    </row>
    <row r="102" customFormat="false" ht="135.8" hidden="false" customHeight="false" outlineLevel="0" collapsed="false">
      <c r="A102" s="5" t="s">
        <v>1662</v>
      </c>
      <c r="B102" s="5" t="s">
        <v>92</v>
      </c>
      <c r="C102" s="5" t="s">
        <v>334</v>
      </c>
      <c r="D102" s="5" t="s">
        <v>336</v>
      </c>
      <c r="E102" s="6" t="s">
        <v>1630</v>
      </c>
      <c r="F102" s="6"/>
      <c r="G102" s="6" t="s">
        <v>1618</v>
      </c>
      <c r="H102" s="5" t="s">
        <v>1555</v>
      </c>
      <c r="I102" s="6" t="s">
        <v>1629</v>
      </c>
    </row>
    <row r="103" customFormat="false" ht="135.8" hidden="false" customHeight="false" outlineLevel="0" collapsed="false">
      <c r="A103" s="5" t="s">
        <v>1662</v>
      </c>
      <c r="B103" s="5" t="s">
        <v>92</v>
      </c>
      <c r="C103" s="5" t="s">
        <v>334</v>
      </c>
      <c r="D103" s="5" t="s">
        <v>336</v>
      </c>
      <c r="E103" s="6" t="s">
        <v>1631</v>
      </c>
      <c r="F103" s="6"/>
      <c r="G103" s="6" t="s">
        <v>1618</v>
      </c>
      <c r="H103" s="5" t="s">
        <v>1555</v>
      </c>
      <c r="I103" s="6" t="s">
        <v>1629</v>
      </c>
    </row>
    <row r="104" customFormat="false" ht="135.8" hidden="false" customHeight="false" outlineLevel="0" collapsed="false">
      <c r="A104" s="5" t="s">
        <v>1662</v>
      </c>
      <c r="B104" s="5" t="s">
        <v>92</v>
      </c>
      <c r="C104" s="5" t="s">
        <v>334</v>
      </c>
      <c r="D104" s="5" t="s">
        <v>336</v>
      </c>
      <c r="E104" s="6" t="s">
        <v>1632</v>
      </c>
      <c r="F104" s="6"/>
      <c r="G104" s="6" t="s">
        <v>1618</v>
      </c>
      <c r="H104" s="5" t="s">
        <v>1555</v>
      </c>
      <c r="I104" s="6" t="s">
        <v>1629</v>
      </c>
    </row>
    <row r="105" customFormat="false" ht="135.8" hidden="false" customHeight="false" outlineLevel="0" collapsed="false">
      <c r="A105" s="5" t="s">
        <v>1662</v>
      </c>
      <c r="B105" s="5" t="s">
        <v>92</v>
      </c>
      <c r="C105" s="5" t="s">
        <v>334</v>
      </c>
      <c r="D105" s="5" t="s">
        <v>336</v>
      </c>
      <c r="E105" s="6" t="s">
        <v>1623</v>
      </c>
      <c r="F105" s="6"/>
      <c r="G105" s="6" t="s">
        <v>1618</v>
      </c>
      <c r="H105" s="5" t="s">
        <v>1555</v>
      </c>
      <c r="I105" s="6" t="s">
        <v>1629</v>
      </c>
    </row>
    <row r="106" customFormat="false" ht="79.85" hidden="false" customHeight="false" outlineLevel="0" collapsed="false">
      <c r="A106" s="5" t="s">
        <v>1663</v>
      </c>
      <c r="B106" s="5" t="s">
        <v>92</v>
      </c>
      <c r="C106" s="5" t="s">
        <v>339</v>
      </c>
      <c r="D106" s="5" t="s">
        <v>341</v>
      </c>
      <c r="E106" s="6" t="s">
        <v>1553</v>
      </c>
      <c r="F106" s="6"/>
      <c r="G106" s="6" t="s">
        <v>1610</v>
      </c>
      <c r="H106" s="5" t="s">
        <v>1555</v>
      </c>
      <c r="I106" s="6" t="s">
        <v>1556</v>
      </c>
    </row>
    <row r="107" customFormat="false" ht="79.85" hidden="false" customHeight="false" outlineLevel="0" collapsed="false">
      <c r="A107" s="5" t="s">
        <v>1663</v>
      </c>
      <c r="B107" s="5" t="s">
        <v>92</v>
      </c>
      <c r="C107" s="5" t="s">
        <v>339</v>
      </c>
      <c r="D107" s="5" t="s">
        <v>341</v>
      </c>
      <c r="E107" s="6" t="s">
        <v>1557</v>
      </c>
      <c r="F107" s="6"/>
      <c r="G107" s="6" t="s">
        <v>1610</v>
      </c>
      <c r="H107" s="5" t="s">
        <v>1555</v>
      </c>
      <c r="I107" s="6" t="s">
        <v>1556</v>
      </c>
    </row>
    <row r="108" customFormat="false" ht="79.85" hidden="false" customHeight="false" outlineLevel="0" collapsed="false">
      <c r="A108" s="5" t="s">
        <v>1663</v>
      </c>
      <c r="B108" s="5" t="s">
        <v>92</v>
      </c>
      <c r="C108" s="5" t="s">
        <v>339</v>
      </c>
      <c r="D108" s="5" t="s">
        <v>341</v>
      </c>
      <c r="E108" s="6" t="s">
        <v>1558</v>
      </c>
      <c r="F108" s="6"/>
      <c r="G108" s="6" t="s">
        <v>1664</v>
      </c>
      <c r="H108" s="5" t="s">
        <v>1665</v>
      </c>
      <c r="I108" s="6" t="s">
        <v>1556</v>
      </c>
    </row>
    <row r="109" customFormat="false" ht="135.8" hidden="false" customHeight="false" outlineLevel="0" collapsed="false">
      <c r="A109" s="5" t="s">
        <v>1666</v>
      </c>
      <c r="B109" s="5" t="s">
        <v>92</v>
      </c>
      <c r="C109" s="5" t="s">
        <v>346</v>
      </c>
      <c r="D109" s="5" t="s">
        <v>348</v>
      </c>
      <c r="E109" s="6" t="s">
        <v>1628</v>
      </c>
      <c r="F109" s="6"/>
      <c r="G109" s="6" t="s">
        <v>1618</v>
      </c>
      <c r="H109" s="5" t="s">
        <v>1555</v>
      </c>
      <c r="I109" s="6" t="s">
        <v>1629</v>
      </c>
    </row>
    <row r="110" customFormat="false" ht="135.8" hidden="false" customHeight="false" outlineLevel="0" collapsed="false">
      <c r="A110" s="5" t="s">
        <v>1666</v>
      </c>
      <c r="B110" s="5" t="s">
        <v>92</v>
      </c>
      <c r="C110" s="5" t="s">
        <v>346</v>
      </c>
      <c r="D110" s="5" t="s">
        <v>348</v>
      </c>
      <c r="E110" s="6" t="s">
        <v>1630</v>
      </c>
      <c r="F110" s="6"/>
      <c r="G110" s="6" t="s">
        <v>1618</v>
      </c>
      <c r="H110" s="5" t="s">
        <v>1555</v>
      </c>
      <c r="I110" s="6" t="s">
        <v>1629</v>
      </c>
    </row>
    <row r="111" customFormat="false" ht="135.8" hidden="false" customHeight="false" outlineLevel="0" collapsed="false">
      <c r="A111" s="5" t="s">
        <v>1666</v>
      </c>
      <c r="B111" s="5" t="s">
        <v>92</v>
      </c>
      <c r="C111" s="5" t="s">
        <v>346</v>
      </c>
      <c r="D111" s="5" t="s">
        <v>348</v>
      </c>
      <c r="E111" s="6" t="s">
        <v>1631</v>
      </c>
      <c r="F111" s="6"/>
      <c r="G111" s="6" t="s">
        <v>1618</v>
      </c>
      <c r="H111" s="5" t="s">
        <v>1555</v>
      </c>
      <c r="I111" s="6" t="s">
        <v>1629</v>
      </c>
    </row>
    <row r="112" customFormat="false" ht="135.8" hidden="false" customHeight="false" outlineLevel="0" collapsed="false">
      <c r="A112" s="5" t="s">
        <v>1666</v>
      </c>
      <c r="B112" s="5" t="s">
        <v>92</v>
      </c>
      <c r="C112" s="5" t="s">
        <v>346</v>
      </c>
      <c r="D112" s="5" t="s">
        <v>348</v>
      </c>
      <c r="E112" s="6" t="s">
        <v>1632</v>
      </c>
      <c r="F112" s="6"/>
      <c r="G112" s="6" t="s">
        <v>1618</v>
      </c>
      <c r="H112" s="5" t="s">
        <v>1555</v>
      </c>
      <c r="I112" s="6" t="s">
        <v>1629</v>
      </c>
    </row>
    <row r="113" customFormat="false" ht="135.8" hidden="false" customHeight="false" outlineLevel="0" collapsed="false">
      <c r="A113" s="5" t="s">
        <v>1666</v>
      </c>
      <c r="B113" s="5" t="s">
        <v>92</v>
      </c>
      <c r="C113" s="5" t="s">
        <v>346</v>
      </c>
      <c r="D113" s="5" t="s">
        <v>348</v>
      </c>
      <c r="E113" s="6" t="s">
        <v>1623</v>
      </c>
      <c r="F113" s="6"/>
      <c r="G113" s="6" t="s">
        <v>1618</v>
      </c>
      <c r="H113" s="5" t="s">
        <v>1555</v>
      </c>
      <c r="I113" s="6" t="s">
        <v>1629</v>
      </c>
    </row>
    <row r="114" customFormat="false" ht="79.85" hidden="false" customHeight="false" outlineLevel="0" collapsed="false">
      <c r="A114" s="5" t="s">
        <v>1667</v>
      </c>
      <c r="B114" s="5" t="s">
        <v>92</v>
      </c>
      <c r="C114" s="5" t="s">
        <v>351</v>
      </c>
      <c r="D114" s="5" t="s">
        <v>353</v>
      </c>
      <c r="E114" s="6" t="s">
        <v>1553</v>
      </c>
      <c r="F114" s="6"/>
      <c r="G114" s="6" t="s">
        <v>1610</v>
      </c>
      <c r="H114" s="5" t="s">
        <v>1555</v>
      </c>
      <c r="I114" s="6" t="s">
        <v>1611</v>
      </c>
    </row>
    <row r="115" customFormat="false" ht="79.85" hidden="false" customHeight="false" outlineLevel="0" collapsed="false">
      <c r="A115" s="5" t="s">
        <v>1667</v>
      </c>
      <c r="B115" s="5" t="s">
        <v>92</v>
      </c>
      <c r="C115" s="5" t="s">
        <v>351</v>
      </c>
      <c r="D115" s="5" t="s">
        <v>353</v>
      </c>
      <c r="E115" s="6" t="s">
        <v>1557</v>
      </c>
      <c r="F115" s="6"/>
      <c r="G115" s="6" t="s">
        <v>1610</v>
      </c>
      <c r="H115" s="5" t="s">
        <v>1555</v>
      </c>
      <c r="I115" s="6" t="s">
        <v>1611</v>
      </c>
    </row>
    <row r="116" customFormat="false" ht="79.85" hidden="false" customHeight="false" outlineLevel="0" collapsed="false">
      <c r="A116" s="5" t="s">
        <v>1667</v>
      </c>
      <c r="B116" s="5" t="s">
        <v>92</v>
      </c>
      <c r="C116" s="5" t="s">
        <v>351</v>
      </c>
      <c r="D116" s="5" t="s">
        <v>353</v>
      </c>
      <c r="E116" s="6" t="s">
        <v>1592</v>
      </c>
      <c r="F116" s="6"/>
      <c r="G116" s="6" t="s">
        <v>1668</v>
      </c>
      <c r="H116" s="5" t="s">
        <v>1669</v>
      </c>
      <c r="I116" s="6" t="s">
        <v>1611</v>
      </c>
    </row>
    <row r="117" customFormat="false" ht="135.8" hidden="false" customHeight="false" outlineLevel="0" collapsed="false">
      <c r="A117" s="5" t="s">
        <v>1670</v>
      </c>
      <c r="B117" s="5" t="s">
        <v>92</v>
      </c>
      <c r="C117" s="5" t="s">
        <v>357</v>
      </c>
      <c r="D117" s="5" t="s">
        <v>359</v>
      </c>
      <c r="E117" s="6" t="s">
        <v>1617</v>
      </c>
      <c r="F117" s="6"/>
      <c r="G117" s="6" t="s">
        <v>1618</v>
      </c>
      <c r="H117" s="5" t="s">
        <v>1555</v>
      </c>
      <c r="I117" s="6" t="s">
        <v>1643</v>
      </c>
    </row>
    <row r="118" customFormat="false" ht="135.8" hidden="false" customHeight="false" outlineLevel="0" collapsed="false">
      <c r="A118" s="5" t="s">
        <v>1670</v>
      </c>
      <c r="B118" s="5" t="s">
        <v>92</v>
      </c>
      <c r="C118" s="5" t="s">
        <v>357</v>
      </c>
      <c r="D118" s="5" t="s">
        <v>359</v>
      </c>
      <c r="E118" s="6" t="s">
        <v>1620</v>
      </c>
      <c r="F118" s="6"/>
      <c r="G118" s="6" t="s">
        <v>1618</v>
      </c>
      <c r="H118" s="5" t="s">
        <v>1555</v>
      </c>
      <c r="I118" s="6" t="s">
        <v>1643</v>
      </c>
    </row>
    <row r="119" customFormat="false" ht="135.8" hidden="false" customHeight="false" outlineLevel="0" collapsed="false">
      <c r="A119" s="5" t="s">
        <v>1670</v>
      </c>
      <c r="B119" s="5" t="s">
        <v>92</v>
      </c>
      <c r="C119" s="5" t="s">
        <v>357</v>
      </c>
      <c r="D119" s="5" t="s">
        <v>359</v>
      </c>
      <c r="E119" s="6" t="s">
        <v>1621</v>
      </c>
      <c r="F119" s="6"/>
      <c r="G119" s="6" t="s">
        <v>1618</v>
      </c>
      <c r="H119" s="5" t="s">
        <v>1555</v>
      </c>
      <c r="I119" s="6" t="s">
        <v>1643</v>
      </c>
    </row>
    <row r="120" customFormat="false" ht="135.8" hidden="false" customHeight="false" outlineLevel="0" collapsed="false">
      <c r="A120" s="5" t="s">
        <v>1670</v>
      </c>
      <c r="B120" s="5" t="s">
        <v>92</v>
      </c>
      <c r="C120" s="5" t="s">
        <v>357</v>
      </c>
      <c r="D120" s="5" t="s">
        <v>359</v>
      </c>
      <c r="E120" s="6" t="s">
        <v>1622</v>
      </c>
      <c r="F120" s="6"/>
      <c r="G120" s="6" t="s">
        <v>1618</v>
      </c>
      <c r="H120" s="5" t="s">
        <v>1555</v>
      </c>
      <c r="I120" s="6" t="s">
        <v>1643</v>
      </c>
    </row>
    <row r="121" customFormat="false" ht="135.8" hidden="false" customHeight="false" outlineLevel="0" collapsed="false">
      <c r="A121" s="5" t="s">
        <v>1670</v>
      </c>
      <c r="B121" s="5" t="s">
        <v>92</v>
      </c>
      <c r="C121" s="5" t="s">
        <v>357</v>
      </c>
      <c r="D121" s="5" t="s">
        <v>359</v>
      </c>
      <c r="E121" s="6" t="s">
        <v>1623</v>
      </c>
      <c r="F121" s="6"/>
      <c r="G121" s="6" t="s">
        <v>1618</v>
      </c>
      <c r="H121" s="5" t="s">
        <v>1555</v>
      </c>
      <c r="I121" s="6" t="s">
        <v>1643</v>
      </c>
    </row>
    <row r="122" customFormat="false" ht="79.85" hidden="false" customHeight="false" outlineLevel="0" collapsed="false">
      <c r="A122" s="5" t="s">
        <v>1671</v>
      </c>
      <c r="B122" s="5" t="s">
        <v>92</v>
      </c>
      <c r="C122" s="5" t="s">
        <v>363</v>
      </c>
      <c r="D122" s="5" t="s">
        <v>365</v>
      </c>
      <c r="E122" s="6" t="s">
        <v>1553</v>
      </c>
      <c r="F122" s="6"/>
      <c r="G122" s="6" t="s">
        <v>1610</v>
      </c>
      <c r="H122" s="5" t="s">
        <v>1555</v>
      </c>
      <c r="I122" s="6" t="s">
        <v>1611</v>
      </c>
    </row>
    <row r="123" customFormat="false" ht="79.85" hidden="false" customHeight="false" outlineLevel="0" collapsed="false">
      <c r="A123" s="5" t="s">
        <v>1671</v>
      </c>
      <c r="B123" s="5" t="s">
        <v>92</v>
      </c>
      <c r="C123" s="5" t="s">
        <v>363</v>
      </c>
      <c r="D123" s="5" t="s">
        <v>365</v>
      </c>
      <c r="E123" s="6" t="s">
        <v>1557</v>
      </c>
      <c r="F123" s="6"/>
      <c r="G123" s="6" t="s">
        <v>1610</v>
      </c>
      <c r="H123" s="5" t="s">
        <v>1555</v>
      </c>
      <c r="I123" s="6" t="s">
        <v>1611</v>
      </c>
    </row>
    <row r="124" customFormat="false" ht="79.85" hidden="false" customHeight="false" outlineLevel="0" collapsed="false">
      <c r="A124" s="5" t="s">
        <v>1671</v>
      </c>
      <c r="B124" s="5" t="s">
        <v>92</v>
      </c>
      <c r="C124" s="5" t="s">
        <v>363</v>
      </c>
      <c r="D124" s="5" t="s">
        <v>365</v>
      </c>
      <c r="E124" s="6" t="s">
        <v>1592</v>
      </c>
      <c r="F124" s="6"/>
      <c r="G124" s="6" t="s">
        <v>1672</v>
      </c>
      <c r="H124" s="5" t="s">
        <v>1673</v>
      </c>
      <c r="I124" s="6" t="s">
        <v>1611</v>
      </c>
    </row>
    <row r="125" customFormat="false" ht="135.8" hidden="false" customHeight="false" outlineLevel="0" collapsed="false">
      <c r="A125" s="5" t="s">
        <v>1674</v>
      </c>
      <c r="B125" s="5" t="s">
        <v>92</v>
      </c>
      <c r="C125" s="5" t="s">
        <v>370</v>
      </c>
      <c r="D125" s="5" t="s">
        <v>365</v>
      </c>
      <c r="E125" s="6" t="s">
        <v>1628</v>
      </c>
      <c r="F125" s="6"/>
      <c r="G125" s="6" t="s">
        <v>1618</v>
      </c>
      <c r="H125" s="5" t="s">
        <v>1555</v>
      </c>
      <c r="I125" s="6" t="s">
        <v>1629</v>
      </c>
    </row>
    <row r="126" customFormat="false" ht="135.8" hidden="false" customHeight="false" outlineLevel="0" collapsed="false">
      <c r="A126" s="5" t="s">
        <v>1674</v>
      </c>
      <c r="B126" s="5" t="s">
        <v>92</v>
      </c>
      <c r="C126" s="5" t="s">
        <v>370</v>
      </c>
      <c r="D126" s="5" t="s">
        <v>365</v>
      </c>
      <c r="E126" s="6" t="s">
        <v>1630</v>
      </c>
      <c r="F126" s="6"/>
      <c r="G126" s="6" t="s">
        <v>1618</v>
      </c>
      <c r="H126" s="5" t="s">
        <v>1555</v>
      </c>
      <c r="I126" s="6" t="s">
        <v>1629</v>
      </c>
    </row>
    <row r="127" customFormat="false" ht="135.8" hidden="false" customHeight="false" outlineLevel="0" collapsed="false">
      <c r="A127" s="5" t="s">
        <v>1674</v>
      </c>
      <c r="B127" s="5" t="s">
        <v>92</v>
      </c>
      <c r="C127" s="5" t="s">
        <v>370</v>
      </c>
      <c r="D127" s="5" t="s">
        <v>365</v>
      </c>
      <c r="E127" s="6" t="s">
        <v>1631</v>
      </c>
      <c r="F127" s="6"/>
      <c r="G127" s="6" t="s">
        <v>1618</v>
      </c>
      <c r="H127" s="5" t="s">
        <v>1555</v>
      </c>
      <c r="I127" s="6" t="s">
        <v>1629</v>
      </c>
    </row>
    <row r="128" customFormat="false" ht="135.8" hidden="false" customHeight="false" outlineLevel="0" collapsed="false">
      <c r="A128" s="5" t="s">
        <v>1674</v>
      </c>
      <c r="B128" s="5" t="s">
        <v>92</v>
      </c>
      <c r="C128" s="5" t="s">
        <v>370</v>
      </c>
      <c r="D128" s="5" t="s">
        <v>365</v>
      </c>
      <c r="E128" s="6" t="s">
        <v>1632</v>
      </c>
      <c r="F128" s="6"/>
      <c r="G128" s="6" t="s">
        <v>1618</v>
      </c>
      <c r="H128" s="5" t="s">
        <v>1555</v>
      </c>
      <c r="I128" s="6" t="s">
        <v>1629</v>
      </c>
    </row>
    <row r="129" customFormat="false" ht="135.8" hidden="false" customHeight="false" outlineLevel="0" collapsed="false">
      <c r="A129" s="5" t="s">
        <v>1674</v>
      </c>
      <c r="B129" s="5" t="s">
        <v>92</v>
      </c>
      <c r="C129" s="5" t="s">
        <v>370</v>
      </c>
      <c r="D129" s="5" t="s">
        <v>365</v>
      </c>
      <c r="E129" s="6" t="s">
        <v>1623</v>
      </c>
      <c r="F129" s="6"/>
      <c r="G129" s="6" t="s">
        <v>1618</v>
      </c>
      <c r="H129" s="5" t="s">
        <v>1555</v>
      </c>
      <c r="I129" s="6" t="s">
        <v>1629</v>
      </c>
    </row>
    <row r="130" customFormat="false" ht="79.85" hidden="false" customHeight="false" outlineLevel="0" collapsed="false">
      <c r="A130" s="5" t="s">
        <v>1675</v>
      </c>
      <c r="B130" s="5" t="s">
        <v>92</v>
      </c>
      <c r="C130" s="5" t="s">
        <v>375</v>
      </c>
      <c r="D130" s="5" t="s">
        <v>377</v>
      </c>
      <c r="E130" s="6" t="s">
        <v>1553</v>
      </c>
      <c r="F130" s="6"/>
      <c r="G130" s="6" t="s">
        <v>1610</v>
      </c>
      <c r="H130" s="5" t="s">
        <v>1555</v>
      </c>
      <c r="I130" s="6" t="s">
        <v>1611</v>
      </c>
    </row>
    <row r="131" customFormat="false" ht="79.85" hidden="false" customHeight="false" outlineLevel="0" collapsed="false">
      <c r="A131" s="5" t="s">
        <v>1675</v>
      </c>
      <c r="B131" s="5" t="s">
        <v>92</v>
      </c>
      <c r="C131" s="5" t="s">
        <v>375</v>
      </c>
      <c r="D131" s="5" t="s">
        <v>377</v>
      </c>
      <c r="E131" s="6" t="s">
        <v>1557</v>
      </c>
      <c r="F131" s="6"/>
      <c r="G131" s="6" t="s">
        <v>1610</v>
      </c>
      <c r="H131" s="5" t="s">
        <v>1555</v>
      </c>
      <c r="I131" s="6" t="s">
        <v>1611</v>
      </c>
    </row>
    <row r="132" customFormat="false" ht="79.85" hidden="false" customHeight="false" outlineLevel="0" collapsed="false">
      <c r="A132" s="5" t="s">
        <v>1675</v>
      </c>
      <c r="B132" s="5" t="s">
        <v>92</v>
      </c>
      <c r="C132" s="5" t="s">
        <v>375</v>
      </c>
      <c r="D132" s="5" t="s">
        <v>377</v>
      </c>
      <c r="E132" s="6" t="s">
        <v>1592</v>
      </c>
      <c r="F132" s="6"/>
      <c r="G132" s="6" t="s">
        <v>1676</v>
      </c>
      <c r="H132" s="5" t="s">
        <v>1677</v>
      </c>
      <c r="I132" s="6" t="s">
        <v>1611</v>
      </c>
    </row>
    <row r="133" customFormat="false" ht="135.8" hidden="false" customHeight="false" outlineLevel="0" collapsed="false">
      <c r="A133" s="5" t="s">
        <v>1678</v>
      </c>
      <c r="B133" s="5" t="s">
        <v>92</v>
      </c>
      <c r="C133" s="5" t="s">
        <v>381</v>
      </c>
      <c r="D133" s="5" t="s">
        <v>383</v>
      </c>
      <c r="E133" s="6" t="s">
        <v>1617</v>
      </c>
      <c r="F133" s="6"/>
      <c r="G133" s="6" t="s">
        <v>1618</v>
      </c>
      <c r="H133" s="5" t="s">
        <v>1555</v>
      </c>
      <c r="I133" s="6" t="s">
        <v>1643</v>
      </c>
    </row>
    <row r="134" customFormat="false" ht="135.8" hidden="false" customHeight="false" outlineLevel="0" collapsed="false">
      <c r="A134" s="5" t="s">
        <v>1678</v>
      </c>
      <c r="B134" s="5" t="s">
        <v>92</v>
      </c>
      <c r="C134" s="5" t="s">
        <v>381</v>
      </c>
      <c r="D134" s="5" t="s">
        <v>383</v>
      </c>
      <c r="E134" s="6" t="s">
        <v>1620</v>
      </c>
      <c r="F134" s="6"/>
      <c r="G134" s="6" t="s">
        <v>1618</v>
      </c>
      <c r="H134" s="5" t="s">
        <v>1555</v>
      </c>
      <c r="I134" s="6" t="s">
        <v>1643</v>
      </c>
    </row>
    <row r="135" customFormat="false" ht="135.8" hidden="false" customHeight="false" outlineLevel="0" collapsed="false">
      <c r="A135" s="5" t="s">
        <v>1678</v>
      </c>
      <c r="B135" s="5" t="s">
        <v>92</v>
      </c>
      <c r="C135" s="5" t="s">
        <v>381</v>
      </c>
      <c r="D135" s="5" t="s">
        <v>383</v>
      </c>
      <c r="E135" s="6" t="s">
        <v>1621</v>
      </c>
      <c r="F135" s="6"/>
      <c r="G135" s="6" t="s">
        <v>1618</v>
      </c>
      <c r="H135" s="5" t="s">
        <v>1555</v>
      </c>
      <c r="I135" s="6" t="s">
        <v>1643</v>
      </c>
    </row>
    <row r="136" customFormat="false" ht="135.8" hidden="false" customHeight="false" outlineLevel="0" collapsed="false">
      <c r="A136" s="5" t="s">
        <v>1678</v>
      </c>
      <c r="B136" s="5" t="s">
        <v>92</v>
      </c>
      <c r="C136" s="5" t="s">
        <v>381</v>
      </c>
      <c r="D136" s="5" t="s">
        <v>383</v>
      </c>
      <c r="E136" s="6" t="s">
        <v>1622</v>
      </c>
      <c r="F136" s="6"/>
      <c r="G136" s="6" t="s">
        <v>1618</v>
      </c>
      <c r="H136" s="5" t="s">
        <v>1555</v>
      </c>
      <c r="I136" s="6" t="s">
        <v>1643</v>
      </c>
    </row>
    <row r="137" customFormat="false" ht="135.8" hidden="false" customHeight="false" outlineLevel="0" collapsed="false">
      <c r="A137" s="5" t="s">
        <v>1678</v>
      </c>
      <c r="B137" s="5" t="s">
        <v>92</v>
      </c>
      <c r="C137" s="5" t="s">
        <v>381</v>
      </c>
      <c r="D137" s="5" t="s">
        <v>383</v>
      </c>
      <c r="E137" s="6" t="s">
        <v>1623</v>
      </c>
      <c r="F137" s="6"/>
      <c r="G137" s="6" t="s">
        <v>1618</v>
      </c>
      <c r="H137" s="5" t="s">
        <v>1555</v>
      </c>
      <c r="I137" s="6" t="s">
        <v>1643</v>
      </c>
    </row>
    <row r="138" customFormat="false" ht="79.85" hidden="false" customHeight="false" outlineLevel="0" collapsed="false">
      <c r="A138" s="5" t="s">
        <v>1679</v>
      </c>
      <c r="B138" s="5" t="s">
        <v>92</v>
      </c>
      <c r="C138" s="5" t="s">
        <v>387</v>
      </c>
      <c r="D138" s="6" t="s">
        <v>388</v>
      </c>
      <c r="E138" s="6" t="s">
        <v>1553</v>
      </c>
      <c r="F138" s="6"/>
      <c r="G138" s="6" t="s">
        <v>1610</v>
      </c>
      <c r="H138" s="5" t="s">
        <v>1555</v>
      </c>
      <c r="I138" s="6" t="s">
        <v>1565</v>
      </c>
    </row>
    <row r="139" customFormat="false" ht="79.85" hidden="false" customHeight="false" outlineLevel="0" collapsed="false">
      <c r="A139" s="5" t="s">
        <v>1679</v>
      </c>
      <c r="B139" s="5" t="s">
        <v>92</v>
      </c>
      <c r="C139" s="5" t="s">
        <v>387</v>
      </c>
      <c r="D139" s="6" t="s">
        <v>388</v>
      </c>
      <c r="E139" s="6" t="s">
        <v>1557</v>
      </c>
      <c r="F139" s="6"/>
      <c r="G139" s="6" t="s">
        <v>1610</v>
      </c>
      <c r="H139" s="5" t="s">
        <v>1555</v>
      </c>
      <c r="I139" s="6" t="s">
        <v>1565</v>
      </c>
    </row>
    <row r="140" customFormat="false" ht="79.85" hidden="false" customHeight="false" outlineLevel="0" collapsed="false">
      <c r="A140" s="5" t="s">
        <v>1679</v>
      </c>
      <c r="B140" s="5" t="s">
        <v>92</v>
      </c>
      <c r="C140" s="5" t="s">
        <v>387</v>
      </c>
      <c r="D140" s="6" t="s">
        <v>388</v>
      </c>
      <c r="E140" s="6" t="s">
        <v>1592</v>
      </c>
      <c r="F140" s="6"/>
      <c r="G140" s="6" t="s">
        <v>1680</v>
      </c>
      <c r="H140" s="5" t="s">
        <v>1681</v>
      </c>
      <c r="I140" s="6" t="s">
        <v>1565</v>
      </c>
    </row>
    <row r="141" customFormat="false" ht="135.8" hidden="false" customHeight="false" outlineLevel="0" collapsed="false">
      <c r="A141" s="5" t="s">
        <v>1682</v>
      </c>
      <c r="B141" s="5" t="s">
        <v>92</v>
      </c>
      <c r="C141" s="5" t="s">
        <v>393</v>
      </c>
      <c r="D141" s="5" t="s">
        <v>395</v>
      </c>
      <c r="E141" s="6" t="s">
        <v>1617</v>
      </c>
      <c r="F141" s="6"/>
      <c r="G141" s="6" t="s">
        <v>1618</v>
      </c>
      <c r="H141" s="5" t="s">
        <v>1555</v>
      </c>
      <c r="I141" s="6" t="s">
        <v>1643</v>
      </c>
    </row>
    <row r="142" customFormat="false" ht="135.8" hidden="false" customHeight="false" outlineLevel="0" collapsed="false">
      <c r="A142" s="5" t="s">
        <v>1682</v>
      </c>
      <c r="B142" s="5" t="s">
        <v>92</v>
      </c>
      <c r="C142" s="5" t="s">
        <v>393</v>
      </c>
      <c r="D142" s="5" t="s">
        <v>395</v>
      </c>
      <c r="E142" s="6" t="s">
        <v>1620</v>
      </c>
      <c r="F142" s="6"/>
      <c r="G142" s="6" t="s">
        <v>1618</v>
      </c>
      <c r="H142" s="5" t="s">
        <v>1555</v>
      </c>
      <c r="I142" s="6" t="s">
        <v>1643</v>
      </c>
    </row>
    <row r="143" customFormat="false" ht="135.8" hidden="false" customHeight="false" outlineLevel="0" collapsed="false">
      <c r="A143" s="5" t="s">
        <v>1682</v>
      </c>
      <c r="B143" s="5" t="s">
        <v>92</v>
      </c>
      <c r="C143" s="5" t="s">
        <v>393</v>
      </c>
      <c r="D143" s="5" t="s">
        <v>395</v>
      </c>
      <c r="E143" s="6" t="s">
        <v>1621</v>
      </c>
      <c r="F143" s="6"/>
      <c r="G143" s="6" t="s">
        <v>1618</v>
      </c>
      <c r="H143" s="5" t="s">
        <v>1555</v>
      </c>
      <c r="I143" s="6" t="s">
        <v>1643</v>
      </c>
    </row>
    <row r="144" customFormat="false" ht="135.8" hidden="false" customHeight="false" outlineLevel="0" collapsed="false">
      <c r="A144" s="5" t="s">
        <v>1682</v>
      </c>
      <c r="B144" s="5" t="s">
        <v>92</v>
      </c>
      <c r="C144" s="5" t="s">
        <v>393</v>
      </c>
      <c r="D144" s="5" t="s">
        <v>395</v>
      </c>
      <c r="E144" s="6" t="s">
        <v>1622</v>
      </c>
      <c r="F144" s="6"/>
      <c r="G144" s="6" t="s">
        <v>1618</v>
      </c>
      <c r="H144" s="5" t="s">
        <v>1555</v>
      </c>
      <c r="I144" s="6" t="s">
        <v>1643</v>
      </c>
    </row>
    <row r="145" customFormat="false" ht="135.8" hidden="false" customHeight="false" outlineLevel="0" collapsed="false">
      <c r="A145" s="5" t="s">
        <v>1682</v>
      </c>
      <c r="B145" s="5" t="s">
        <v>92</v>
      </c>
      <c r="C145" s="5" t="s">
        <v>393</v>
      </c>
      <c r="D145" s="5" t="s">
        <v>395</v>
      </c>
      <c r="E145" s="6" t="s">
        <v>1623</v>
      </c>
      <c r="F145" s="6"/>
      <c r="G145" s="6" t="s">
        <v>1618</v>
      </c>
      <c r="H145" s="5" t="s">
        <v>1555</v>
      </c>
      <c r="I145" s="6" t="s">
        <v>1643</v>
      </c>
    </row>
    <row r="146" customFormat="false" ht="79.85" hidden="false" customHeight="false" outlineLevel="0" collapsed="false">
      <c r="A146" s="5" t="s">
        <v>1683</v>
      </c>
      <c r="B146" s="5" t="s">
        <v>92</v>
      </c>
      <c r="C146" s="5" t="s">
        <v>398</v>
      </c>
      <c r="D146" s="5" t="s">
        <v>400</v>
      </c>
      <c r="E146" s="6" t="s">
        <v>1553</v>
      </c>
      <c r="F146" s="6"/>
      <c r="G146" s="6" t="s">
        <v>1610</v>
      </c>
      <c r="H146" s="5" t="s">
        <v>1555</v>
      </c>
      <c r="I146" s="6" t="s">
        <v>1650</v>
      </c>
    </row>
    <row r="147" customFormat="false" ht="79.85" hidden="false" customHeight="false" outlineLevel="0" collapsed="false">
      <c r="A147" s="5" t="s">
        <v>1683</v>
      </c>
      <c r="B147" s="5" t="s">
        <v>92</v>
      </c>
      <c r="C147" s="5" t="s">
        <v>398</v>
      </c>
      <c r="D147" s="5" t="s">
        <v>400</v>
      </c>
      <c r="E147" s="6" t="s">
        <v>1557</v>
      </c>
      <c r="F147" s="6"/>
      <c r="G147" s="6" t="s">
        <v>1610</v>
      </c>
      <c r="H147" s="5" t="s">
        <v>1555</v>
      </c>
      <c r="I147" s="6" t="s">
        <v>1650</v>
      </c>
    </row>
    <row r="148" customFormat="false" ht="79.85" hidden="false" customHeight="false" outlineLevel="0" collapsed="false">
      <c r="A148" s="5" t="s">
        <v>1683</v>
      </c>
      <c r="B148" s="5" t="s">
        <v>92</v>
      </c>
      <c r="C148" s="5" t="s">
        <v>398</v>
      </c>
      <c r="D148" s="5" t="s">
        <v>400</v>
      </c>
      <c r="E148" s="6" t="s">
        <v>1558</v>
      </c>
      <c r="F148" s="6"/>
      <c r="G148" s="6" t="s">
        <v>1684</v>
      </c>
      <c r="H148" s="5" t="s">
        <v>1685</v>
      </c>
      <c r="I148" s="6" t="s">
        <v>1650</v>
      </c>
    </row>
    <row r="149" customFormat="false" ht="135.8" hidden="false" customHeight="false" outlineLevel="0" collapsed="false">
      <c r="A149" s="5" t="s">
        <v>1686</v>
      </c>
      <c r="B149" s="5" t="s">
        <v>92</v>
      </c>
      <c r="C149" s="5" t="s">
        <v>405</v>
      </c>
      <c r="D149" s="5" t="s">
        <v>407</v>
      </c>
      <c r="E149" s="6" t="s">
        <v>1628</v>
      </c>
      <c r="F149" s="6"/>
      <c r="G149" s="6" t="s">
        <v>1618</v>
      </c>
      <c r="H149" s="5" t="s">
        <v>1555</v>
      </c>
      <c r="I149" s="6" t="s">
        <v>1629</v>
      </c>
    </row>
    <row r="150" customFormat="false" ht="135.8" hidden="false" customHeight="false" outlineLevel="0" collapsed="false">
      <c r="A150" s="5" t="s">
        <v>1686</v>
      </c>
      <c r="B150" s="5" t="s">
        <v>92</v>
      </c>
      <c r="C150" s="5" t="s">
        <v>405</v>
      </c>
      <c r="D150" s="5" t="s">
        <v>407</v>
      </c>
      <c r="E150" s="6" t="s">
        <v>1630</v>
      </c>
      <c r="F150" s="6"/>
      <c r="G150" s="6" t="s">
        <v>1618</v>
      </c>
      <c r="H150" s="5" t="s">
        <v>1555</v>
      </c>
      <c r="I150" s="6" t="s">
        <v>1629</v>
      </c>
    </row>
    <row r="151" customFormat="false" ht="135.8" hidden="false" customHeight="false" outlineLevel="0" collapsed="false">
      <c r="A151" s="5" t="s">
        <v>1686</v>
      </c>
      <c r="B151" s="5" t="s">
        <v>92</v>
      </c>
      <c r="C151" s="5" t="s">
        <v>405</v>
      </c>
      <c r="D151" s="5" t="s">
        <v>407</v>
      </c>
      <c r="E151" s="6" t="s">
        <v>1631</v>
      </c>
      <c r="F151" s="6"/>
      <c r="G151" s="6" t="s">
        <v>1618</v>
      </c>
      <c r="H151" s="5" t="s">
        <v>1555</v>
      </c>
      <c r="I151" s="6" t="s">
        <v>1629</v>
      </c>
    </row>
    <row r="152" customFormat="false" ht="135.8" hidden="false" customHeight="false" outlineLevel="0" collapsed="false">
      <c r="A152" s="5" t="s">
        <v>1686</v>
      </c>
      <c r="B152" s="5" t="s">
        <v>92</v>
      </c>
      <c r="C152" s="5" t="s">
        <v>405</v>
      </c>
      <c r="D152" s="5" t="s">
        <v>407</v>
      </c>
      <c r="E152" s="6" t="s">
        <v>1632</v>
      </c>
      <c r="F152" s="6"/>
      <c r="G152" s="6" t="s">
        <v>1618</v>
      </c>
      <c r="H152" s="5" t="s">
        <v>1555</v>
      </c>
      <c r="I152" s="6" t="s">
        <v>1629</v>
      </c>
    </row>
    <row r="153" customFormat="false" ht="135.8" hidden="false" customHeight="false" outlineLevel="0" collapsed="false">
      <c r="A153" s="5" t="s">
        <v>1686</v>
      </c>
      <c r="B153" s="5" t="s">
        <v>92</v>
      </c>
      <c r="C153" s="5" t="s">
        <v>405</v>
      </c>
      <c r="D153" s="5" t="s">
        <v>407</v>
      </c>
      <c r="E153" s="6" t="s">
        <v>1623</v>
      </c>
      <c r="F153" s="6"/>
      <c r="G153" s="6" t="s">
        <v>1618</v>
      </c>
      <c r="H153" s="5" t="s">
        <v>1555</v>
      </c>
      <c r="I153" s="6" t="s">
        <v>1629</v>
      </c>
    </row>
    <row r="154" customFormat="false" ht="79.85" hidden="false" customHeight="false" outlineLevel="0" collapsed="false">
      <c r="A154" s="5" t="s">
        <v>1687</v>
      </c>
      <c r="B154" s="5" t="s">
        <v>92</v>
      </c>
      <c r="C154" s="5" t="s">
        <v>410</v>
      </c>
      <c r="D154" s="6" t="s">
        <v>411</v>
      </c>
      <c r="E154" s="6" t="s">
        <v>1553</v>
      </c>
      <c r="F154" s="6"/>
      <c r="G154" s="6" t="s">
        <v>1610</v>
      </c>
      <c r="H154" s="5" t="s">
        <v>1555</v>
      </c>
      <c r="I154" s="6" t="s">
        <v>1565</v>
      </c>
    </row>
    <row r="155" customFormat="false" ht="79.85" hidden="false" customHeight="false" outlineLevel="0" collapsed="false">
      <c r="A155" s="5" t="s">
        <v>1687</v>
      </c>
      <c r="B155" s="5" t="s">
        <v>92</v>
      </c>
      <c r="C155" s="5" t="s">
        <v>410</v>
      </c>
      <c r="D155" s="6" t="s">
        <v>411</v>
      </c>
      <c r="E155" s="6" t="s">
        <v>1557</v>
      </c>
      <c r="F155" s="6"/>
      <c r="G155" s="6" t="s">
        <v>1610</v>
      </c>
      <c r="H155" s="5" t="s">
        <v>1555</v>
      </c>
      <c r="I155" s="6" t="s">
        <v>1565</v>
      </c>
    </row>
    <row r="156" customFormat="false" ht="79.85" hidden="false" customHeight="false" outlineLevel="0" collapsed="false">
      <c r="A156" s="5" t="s">
        <v>1687</v>
      </c>
      <c r="B156" s="5" t="s">
        <v>92</v>
      </c>
      <c r="C156" s="5" t="s">
        <v>410</v>
      </c>
      <c r="D156" s="6" t="s">
        <v>411</v>
      </c>
      <c r="E156" s="6" t="s">
        <v>1592</v>
      </c>
      <c r="F156" s="6"/>
      <c r="G156" s="6" t="s">
        <v>1688</v>
      </c>
      <c r="H156" s="5" t="s">
        <v>1689</v>
      </c>
      <c r="I156" s="6" t="s">
        <v>1565</v>
      </c>
    </row>
    <row r="157" customFormat="false" ht="135.8" hidden="false" customHeight="false" outlineLevel="0" collapsed="false">
      <c r="A157" s="5" t="s">
        <v>1690</v>
      </c>
      <c r="B157" s="5" t="s">
        <v>92</v>
      </c>
      <c r="C157" s="5" t="s">
        <v>416</v>
      </c>
      <c r="D157" s="6" t="s">
        <v>411</v>
      </c>
      <c r="E157" s="6" t="s">
        <v>1617</v>
      </c>
      <c r="F157" s="6"/>
      <c r="G157" s="6" t="s">
        <v>1618</v>
      </c>
      <c r="H157" s="5" t="s">
        <v>1555</v>
      </c>
      <c r="I157" s="6" t="s">
        <v>1619</v>
      </c>
    </row>
    <row r="158" customFormat="false" ht="135.8" hidden="false" customHeight="false" outlineLevel="0" collapsed="false">
      <c r="A158" s="5" t="s">
        <v>1690</v>
      </c>
      <c r="B158" s="5" t="s">
        <v>92</v>
      </c>
      <c r="C158" s="5" t="s">
        <v>416</v>
      </c>
      <c r="D158" s="6" t="s">
        <v>411</v>
      </c>
      <c r="E158" s="6" t="s">
        <v>1620</v>
      </c>
      <c r="F158" s="6"/>
      <c r="G158" s="6" t="s">
        <v>1618</v>
      </c>
      <c r="H158" s="5" t="s">
        <v>1555</v>
      </c>
      <c r="I158" s="6" t="s">
        <v>1619</v>
      </c>
    </row>
    <row r="159" customFormat="false" ht="135.8" hidden="false" customHeight="false" outlineLevel="0" collapsed="false">
      <c r="A159" s="5" t="s">
        <v>1690</v>
      </c>
      <c r="B159" s="5" t="s">
        <v>92</v>
      </c>
      <c r="C159" s="5" t="s">
        <v>416</v>
      </c>
      <c r="D159" s="6" t="s">
        <v>411</v>
      </c>
      <c r="E159" s="6" t="s">
        <v>1621</v>
      </c>
      <c r="F159" s="6"/>
      <c r="G159" s="6" t="s">
        <v>1618</v>
      </c>
      <c r="H159" s="5" t="s">
        <v>1555</v>
      </c>
      <c r="I159" s="6" t="s">
        <v>1619</v>
      </c>
    </row>
    <row r="160" customFormat="false" ht="135.8" hidden="false" customHeight="false" outlineLevel="0" collapsed="false">
      <c r="A160" s="5" t="s">
        <v>1690</v>
      </c>
      <c r="B160" s="5" t="s">
        <v>92</v>
      </c>
      <c r="C160" s="5" t="s">
        <v>416</v>
      </c>
      <c r="D160" s="6" t="s">
        <v>411</v>
      </c>
      <c r="E160" s="6" t="s">
        <v>1622</v>
      </c>
      <c r="F160" s="6"/>
      <c r="G160" s="6" t="s">
        <v>1618</v>
      </c>
      <c r="H160" s="5" t="s">
        <v>1555</v>
      </c>
      <c r="I160" s="6" t="s">
        <v>1619</v>
      </c>
    </row>
    <row r="161" customFormat="false" ht="135.8" hidden="false" customHeight="false" outlineLevel="0" collapsed="false">
      <c r="A161" s="5" t="s">
        <v>1690</v>
      </c>
      <c r="B161" s="5" t="s">
        <v>92</v>
      </c>
      <c r="C161" s="5" t="s">
        <v>416</v>
      </c>
      <c r="D161" s="6" t="s">
        <v>411</v>
      </c>
      <c r="E161" s="6" t="s">
        <v>1623</v>
      </c>
      <c r="F161" s="6"/>
      <c r="G161" s="6" t="s">
        <v>1618</v>
      </c>
      <c r="H161" s="5" t="s">
        <v>1555</v>
      </c>
      <c r="I161" s="6" t="s">
        <v>1619</v>
      </c>
    </row>
    <row r="162" customFormat="false" ht="79.85" hidden="false" customHeight="false" outlineLevel="0" collapsed="false">
      <c r="A162" s="5" t="s">
        <v>1691</v>
      </c>
      <c r="B162" s="5" t="s">
        <v>92</v>
      </c>
      <c r="C162" s="5" t="s">
        <v>420</v>
      </c>
      <c r="D162" s="5" t="s">
        <v>422</v>
      </c>
      <c r="E162" s="6" t="s">
        <v>1553</v>
      </c>
      <c r="F162" s="6"/>
      <c r="G162" s="6" t="s">
        <v>1610</v>
      </c>
      <c r="H162" s="5" t="s">
        <v>1555</v>
      </c>
      <c r="I162" s="6" t="s">
        <v>1611</v>
      </c>
    </row>
    <row r="163" customFormat="false" ht="79.85" hidden="false" customHeight="false" outlineLevel="0" collapsed="false">
      <c r="A163" s="5" t="s">
        <v>1691</v>
      </c>
      <c r="B163" s="5" t="s">
        <v>92</v>
      </c>
      <c r="C163" s="5" t="s">
        <v>420</v>
      </c>
      <c r="D163" s="5" t="s">
        <v>422</v>
      </c>
      <c r="E163" s="6" t="s">
        <v>1557</v>
      </c>
      <c r="F163" s="6"/>
      <c r="G163" s="6" t="s">
        <v>1610</v>
      </c>
      <c r="H163" s="5" t="s">
        <v>1555</v>
      </c>
      <c r="I163" s="6" t="s">
        <v>1611</v>
      </c>
    </row>
    <row r="164" customFormat="false" ht="79.85" hidden="false" customHeight="false" outlineLevel="0" collapsed="false">
      <c r="A164" s="5" t="s">
        <v>1691</v>
      </c>
      <c r="B164" s="5" t="s">
        <v>92</v>
      </c>
      <c r="C164" s="5" t="s">
        <v>420</v>
      </c>
      <c r="D164" s="5" t="s">
        <v>422</v>
      </c>
      <c r="E164" s="6" t="s">
        <v>1592</v>
      </c>
      <c r="F164" s="6"/>
      <c r="G164" s="6" t="s">
        <v>1692</v>
      </c>
      <c r="H164" s="5" t="s">
        <v>1693</v>
      </c>
      <c r="I164" s="6" t="s">
        <v>1611</v>
      </c>
    </row>
    <row r="165" customFormat="false" ht="135.8" hidden="false" customHeight="false" outlineLevel="0" collapsed="false">
      <c r="A165" s="5" t="s">
        <v>1694</v>
      </c>
      <c r="B165" s="5" t="s">
        <v>92</v>
      </c>
      <c r="C165" s="5" t="s">
        <v>426</v>
      </c>
      <c r="D165" s="5" t="s">
        <v>428</v>
      </c>
      <c r="E165" s="6" t="s">
        <v>1617</v>
      </c>
      <c r="F165" s="6"/>
      <c r="G165" s="6" t="s">
        <v>1618</v>
      </c>
      <c r="H165" s="5" t="s">
        <v>1555</v>
      </c>
      <c r="I165" s="6" t="s">
        <v>1643</v>
      </c>
    </row>
    <row r="166" customFormat="false" ht="135.8" hidden="false" customHeight="false" outlineLevel="0" collapsed="false">
      <c r="A166" s="5" t="s">
        <v>1694</v>
      </c>
      <c r="B166" s="5" t="s">
        <v>92</v>
      </c>
      <c r="C166" s="5" t="s">
        <v>426</v>
      </c>
      <c r="D166" s="5" t="s">
        <v>428</v>
      </c>
      <c r="E166" s="6" t="s">
        <v>1620</v>
      </c>
      <c r="F166" s="6"/>
      <c r="G166" s="6" t="s">
        <v>1618</v>
      </c>
      <c r="H166" s="5" t="s">
        <v>1555</v>
      </c>
      <c r="I166" s="6" t="s">
        <v>1643</v>
      </c>
    </row>
    <row r="167" customFormat="false" ht="135.8" hidden="false" customHeight="false" outlineLevel="0" collapsed="false">
      <c r="A167" s="5" t="s">
        <v>1694</v>
      </c>
      <c r="B167" s="5" t="s">
        <v>92</v>
      </c>
      <c r="C167" s="5" t="s">
        <v>426</v>
      </c>
      <c r="D167" s="5" t="s">
        <v>428</v>
      </c>
      <c r="E167" s="6" t="s">
        <v>1621</v>
      </c>
      <c r="F167" s="6"/>
      <c r="G167" s="6" t="s">
        <v>1618</v>
      </c>
      <c r="H167" s="5" t="s">
        <v>1555</v>
      </c>
      <c r="I167" s="6" t="s">
        <v>1643</v>
      </c>
    </row>
    <row r="168" customFormat="false" ht="135.8" hidden="false" customHeight="false" outlineLevel="0" collapsed="false">
      <c r="A168" s="5" t="s">
        <v>1694</v>
      </c>
      <c r="B168" s="5" t="s">
        <v>92</v>
      </c>
      <c r="C168" s="5" t="s">
        <v>426</v>
      </c>
      <c r="D168" s="5" t="s">
        <v>428</v>
      </c>
      <c r="E168" s="6" t="s">
        <v>1622</v>
      </c>
      <c r="F168" s="6"/>
      <c r="G168" s="6" t="s">
        <v>1618</v>
      </c>
      <c r="H168" s="5" t="s">
        <v>1555</v>
      </c>
      <c r="I168" s="6" t="s">
        <v>1643</v>
      </c>
    </row>
    <row r="169" customFormat="false" ht="135.8" hidden="false" customHeight="false" outlineLevel="0" collapsed="false">
      <c r="A169" s="5" t="s">
        <v>1694</v>
      </c>
      <c r="B169" s="5" t="s">
        <v>92</v>
      </c>
      <c r="C169" s="5" t="s">
        <v>426</v>
      </c>
      <c r="D169" s="5" t="s">
        <v>428</v>
      </c>
      <c r="E169" s="6" t="s">
        <v>1623</v>
      </c>
      <c r="F169" s="6"/>
      <c r="G169" s="6" t="s">
        <v>1618</v>
      </c>
      <c r="H169" s="5" t="s">
        <v>1555</v>
      </c>
      <c r="I169" s="6" t="s">
        <v>1643</v>
      </c>
    </row>
    <row r="170" customFormat="false" ht="79.85" hidden="false" customHeight="false" outlineLevel="0" collapsed="false">
      <c r="A170" s="5" t="s">
        <v>1695</v>
      </c>
      <c r="B170" s="5" t="s">
        <v>92</v>
      </c>
      <c r="C170" s="5" t="s">
        <v>432</v>
      </c>
      <c r="D170" s="5" t="s">
        <v>434</v>
      </c>
      <c r="E170" s="6" t="s">
        <v>1553</v>
      </c>
      <c r="F170" s="6"/>
      <c r="G170" s="6" t="s">
        <v>1610</v>
      </c>
      <c r="H170" s="5" t="s">
        <v>1555</v>
      </c>
      <c r="I170" s="6" t="s">
        <v>1556</v>
      </c>
    </row>
    <row r="171" customFormat="false" ht="79.85" hidden="false" customHeight="false" outlineLevel="0" collapsed="false">
      <c r="A171" s="5" t="s">
        <v>1695</v>
      </c>
      <c r="B171" s="5" t="s">
        <v>92</v>
      </c>
      <c r="C171" s="5" t="s">
        <v>432</v>
      </c>
      <c r="D171" s="5" t="s">
        <v>434</v>
      </c>
      <c r="E171" s="6" t="s">
        <v>1557</v>
      </c>
      <c r="F171" s="6"/>
      <c r="G171" s="6" t="s">
        <v>1610</v>
      </c>
      <c r="H171" s="5" t="s">
        <v>1555</v>
      </c>
      <c r="I171" s="6" t="s">
        <v>1556</v>
      </c>
    </row>
    <row r="172" customFormat="false" ht="79.85" hidden="false" customHeight="false" outlineLevel="0" collapsed="false">
      <c r="A172" s="5" t="s">
        <v>1695</v>
      </c>
      <c r="B172" s="5" t="s">
        <v>92</v>
      </c>
      <c r="C172" s="5" t="s">
        <v>432</v>
      </c>
      <c r="D172" s="5" t="s">
        <v>434</v>
      </c>
      <c r="E172" s="6" t="s">
        <v>1558</v>
      </c>
      <c r="F172" s="6"/>
      <c r="G172" s="6" t="s">
        <v>1696</v>
      </c>
      <c r="H172" s="5" t="s">
        <v>1697</v>
      </c>
      <c r="I172" s="6" t="s">
        <v>1556</v>
      </c>
    </row>
    <row r="173" customFormat="false" ht="135.8" hidden="false" customHeight="false" outlineLevel="0" collapsed="false">
      <c r="A173" s="5" t="s">
        <v>1698</v>
      </c>
      <c r="B173" s="5" t="s">
        <v>92</v>
      </c>
      <c r="C173" s="5" t="s">
        <v>439</v>
      </c>
      <c r="D173" s="5" t="s">
        <v>434</v>
      </c>
      <c r="E173" s="6" t="s">
        <v>1617</v>
      </c>
      <c r="F173" s="6"/>
      <c r="G173" s="6" t="s">
        <v>1618</v>
      </c>
      <c r="H173" s="5" t="s">
        <v>1555</v>
      </c>
      <c r="I173" s="6" t="s">
        <v>1643</v>
      </c>
    </row>
    <row r="174" customFormat="false" ht="135.8" hidden="false" customHeight="false" outlineLevel="0" collapsed="false">
      <c r="A174" s="5" t="s">
        <v>1698</v>
      </c>
      <c r="B174" s="5" t="s">
        <v>92</v>
      </c>
      <c r="C174" s="5" t="s">
        <v>439</v>
      </c>
      <c r="D174" s="5" t="s">
        <v>434</v>
      </c>
      <c r="E174" s="6" t="s">
        <v>1620</v>
      </c>
      <c r="F174" s="6"/>
      <c r="G174" s="6" t="s">
        <v>1618</v>
      </c>
      <c r="H174" s="5" t="s">
        <v>1555</v>
      </c>
      <c r="I174" s="6" t="s">
        <v>1643</v>
      </c>
    </row>
    <row r="175" customFormat="false" ht="135.8" hidden="false" customHeight="false" outlineLevel="0" collapsed="false">
      <c r="A175" s="5" t="s">
        <v>1698</v>
      </c>
      <c r="B175" s="5" t="s">
        <v>92</v>
      </c>
      <c r="C175" s="5" t="s">
        <v>439</v>
      </c>
      <c r="D175" s="5" t="s">
        <v>434</v>
      </c>
      <c r="E175" s="6" t="s">
        <v>1621</v>
      </c>
      <c r="F175" s="6"/>
      <c r="G175" s="6" t="s">
        <v>1618</v>
      </c>
      <c r="H175" s="5" t="s">
        <v>1555</v>
      </c>
      <c r="I175" s="6" t="s">
        <v>1643</v>
      </c>
    </row>
    <row r="176" customFormat="false" ht="135.8" hidden="false" customHeight="false" outlineLevel="0" collapsed="false">
      <c r="A176" s="5" t="s">
        <v>1698</v>
      </c>
      <c r="B176" s="5" t="s">
        <v>92</v>
      </c>
      <c r="C176" s="5" t="s">
        <v>439</v>
      </c>
      <c r="D176" s="5" t="s">
        <v>434</v>
      </c>
      <c r="E176" s="6" t="s">
        <v>1622</v>
      </c>
      <c r="F176" s="6"/>
      <c r="G176" s="6" t="s">
        <v>1618</v>
      </c>
      <c r="H176" s="5" t="s">
        <v>1555</v>
      </c>
      <c r="I176" s="6" t="s">
        <v>1643</v>
      </c>
    </row>
    <row r="177" customFormat="false" ht="135.8" hidden="false" customHeight="false" outlineLevel="0" collapsed="false">
      <c r="A177" s="5" t="s">
        <v>1698</v>
      </c>
      <c r="B177" s="5" t="s">
        <v>92</v>
      </c>
      <c r="C177" s="5" t="s">
        <v>439</v>
      </c>
      <c r="D177" s="5" t="s">
        <v>434</v>
      </c>
      <c r="E177" s="6" t="s">
        <v>1623</v>
      </c>
      <c r="F177" s="6"/>
      <c r="G177" s="6" t="s">
        <v>1618</v>
      </c>
      <c r="H177" s="5" t="s">
        <v>1555</v>
      </c>
      <c r="I177" s="6" t="s">
        <v>1643</v>
      </c>
    </row>
    <row r="178" customFormat="false" ht="79.85" hidden="false" customHeight="false" outlineLevel="0" collapsed="false">
      <c r="A178" s="5" t="s">
        <v>1699</v>
      </c>
      <c r="B178" s="5" t="s">
        <v>92</v>
      </c>
      <c r="C178" s="5" t="s">
        <v>444</v>
      </c>
      <c r="D178" s="6" t="s">
        <v>445</v>
      </c>
      <c r="E178" s="6" t="s">
        <v>1553</v>
      </c>
      <c r="F178" s="6"/>
      <c r="G178" s="6" t="s">
        <v>1610</v>
      </c>
      <c r="H178" s="5" t="s">
        <v>1555</v>
      </c>
      <c r="I178" s="6" t="s">
        <v>1565</v>
      </c>
    </row>
    <row r="179" customFormat="false" ht="79.85" hidden="false" customHeight="false" outlineLevel="0" collapsed="false">
      <c r="A179" s="5" t="s">
        <v>1699</v>
      </c>
      <c r="B179" s="5" t="s">
        <v>92</v>
      </c>
      <c r="C179" s="5" t="s">
        <v>444</v>
      </c>
      <c r="D179" s="6" t="s">
        <v>445</v>
      </c>
      <c r="E179" s="6" t="s">
        <v>1557</v>
      </c>
      <c r="F179" s="6"/>
      <c r="G179" s="6" t="s">
        <v>1610</v>
      </c>
      <c r="H179" s="5" t="s">
        <v>1555</v>
      </c>
      <c r="I179" s="6" t="s">
        <v>1565</v>
      </c>
    </row>
    <row r="180" customFormat="false" ht="79.85" hidden="false" customHeight="false" outlineLevel="0" collapsed="false">
      <c r="A180" s="5" t="s">
        <v>1699</v>
      </c>
      <c r="B180" s="5" t="s">
        <v>92</v>
      </c>
      <c r="C180" s="5" t="s">
        <v>444</v>
      </c>
      <c r="D180" s="6" t="s">
        <v>445</v>
      </c>
      <c r="E180" s="6" t="s">
        <v>1592</v>
      </c>
      <c r="F180" s="6"/>
      <c r="G180" s="6" t="s">
        <v>1700</v>
      </c>
      <c r="H180" s="5" t="s">
        <v>1701</v>
      </c>
      <c r="I180" s="6" t="s">
        <v>1565</v>
      </c>
    </row>
    <row r="181" customFormat="false" ht="135.8" hidden="false" customHeight="false" outlineLevel="0" collapsed="false">
      <c r="A181" s="5" t="s">
        <v>1702</v>
      </c>
      <c r="B181" s="5" t="s">
        <v>92</v>
      </c>
      <c r="C181" s="5" t="s">
        <v>450</v>
      </c>
      <c r="D181" s="6" t="s">
        <v>445</v>
      </c>
      <c r="E181" s="6" t="s">
        <v>1617</v>
      </c>
      <c r="F181" s="6"/>
      <c r="G181" s="6" t="s">
        <v>1618</v>
      </c>
      <c r="H181" s="5" t="s">
        <v>1555</v>
      </c>
      <c r="I181" s="6" t="s">
        <v>1619</v>
      </c>
    </row>
    <row r="182" customFormat="false" ht="135.8" hidden="false" customHeight="false" outlineLevel="0" collapsed="false">
      <c r="A182" s="5" t="s">
        <v>1702</v>
      </c>
      <c r="B182" s="5" t="s">
        <v>92</v>
      </c>
      <c r="C182" s="5" t="s">
        <v>450</v>
      </c>
      <c r="D182" s="6" t="s">
        <v>445</v>
      </c>
      <c r="E182" s="6" t="s">
        <v>1620</v>
      </c>
      <c r="F182" s="6"/>
      <c r="G182" s="6" t="s">
        <v>1618</v>
      </c>
      <c r="H182" s="5" t="s">
        <v>1555</v>
      </c>
      <c r="I182" s="6" t="s">
        <v>1619</v>
      </c>
    </row>
    <row r="183" customFormat="false" ht="135.8" hidden="false" customHeight="false" outlineLevel="0" collapsed="false">
      <c r="A183" s="5" t="s">
        <v>1702</v>
      </c>
      <c r="B183" s="5" t="s">
        <v>92</v>
      </c>
      <c r="C183" s="5" t="s">
        <v>450</v>
      </c>
      <c r="D183" s="6" t="s">
        <v>445</v>
      </c>
      <c r="E183" s="6" t="s">
        <v>1621</v>
      </c>
      <c r="F183" s="6"/>
      <c r="G183" s="6" t="s">
        <v>1618</v>
      </c>
      <c r="H183" s="5" t="s">
        <v>1555</v>
      </c>
      <c r="I183" s="6" t="s">
        <v>1619</v>
      </c>
    </row>
    <row r="184" customFormat="false" ht="135.8" hidden="false" customHeight="false" outlineLevel="0" collapsed="false">
      <c r="A184" s="5" t="s">
        <v>1702</v>
      </c>
      <c r="B184" s="5" t="s">
        <v>92</v>
      </c>
      <c r="C184" s="5" t="s">
        <v>450</v>
      </c>
      <c r="D184" s="6" t="s">
        <v>445</v>
      </c>
      <c r="E184" s="6" t="s">
        <v>1622</v>
      </c>
      <c r="F184" s="6"/>
      <c r="G184" s="6" t="s">
        <v>1618</v>
      </c>
      <c r="H184" s="5" t="s">
        <v>1555</v>
      </c>
      <c r="I184" s="6" t="s">
        <v>1619</v>
      </c>
    </row>
    <row r="185" customFormat="false" ht="135.8" hidden="false" customHeight="false" outlineLevel="0" collapsed="false">
      <c r="A185" s="5" t="s">
        <v>1702</v>
      </c>
      <c r="B185" s="5" t="s">
        <v>92</v>
      </c>
      <c r="C185" s="5" t="s">
        <v>450</v>
      </c>
      <c r="D185" s="6" t="s">
        <v>445</v>
      </c>
      <c r="E185" s="6" t="s">
        <v>1623</v>
      </c>
      <c r="F185" s="6"/>
      <c r="G185" s="6" t="s">
        <v>1618</v>
      </c>
      <c r="H185" s="5" t="s">
        <v>1555</v>
      </c>
      <c r="I185" s="6" t="s">
        <v>1619</v>
      </c>
    </row>
    <row r="186" customFormat="false" ht="79.85" hidden="false" customHeight="false" outlineLevel="0" collapsed="false">
      <c r="A186" s="5" t="s">
        <v>1703</v>
      </c>
      <c r="B186" s="5" t="s">
        <v>92</v>
      </c>
      <c r="C186" s="5" t="s">
        <v>454</v>
      </c>
      <c r="D186" s="5" t="s">
        <v>456</v>
      </c>
      <c r="E186" s="6" t="s">
        <v>1553</v>
      </c>
      <c r="F186" s="6"/>
      <c r="G186" s="6" t="s">
        <v>1704</v>
      </c>
      <c r="H186" s="5" t="s">
        <v>1635</v>
      </c>
      <c r="I186" s="6" t="s">
        <v>1611</v>
      </c>
    </row>
    <row r="187" customFormat="false" ht="79.85" hidden="false" customHeight="false" outlineLevel="0" collapsed="false">
      <c r="A187" s="5" t="s">
        <v>1703</v>
      </c>
      <c r="B187" s="5" t="s">
        <v>92</v>
      </c>
      <c r="C187" s="5" t="s">
        <v>454</v>
      </c>
      <c r="D187" s="5" t="s">
        <v>456</v>
      </c>
      <c r="E187" s="6" t="s">
        <v>1557</v>
      </c>
      <c r="F187" s="6"/>
      <c r="G187" s="6" t="s">
        <v>1610</v>
      </c>
      <c r="H187" s="5" t="s">
        <v>1555</v>
      </c>
      <c r="I187" s="6" t="s">
        <v>1611</v>
      </c>
    </row>
    <row r="188" customFormat="false" ht="79.85" hidden="false" customHeight="false" outlineLevel="0" collapsed="false">
      <c r="A188" s="5" t="s">
        <v>1703</v>
      </c>
      <c r="B188" s="5" t="s">
        <v>92</v>
      </c>
      <c r="C188" s="5" t="s">
        <v>454</v>
      </c>
      <c r="D188" s="5" t="s">
        <v>456</v>
      </c>
      <c r="E188" s="6" t="s">
        <v>1592</v>
      </c>
      <c r="F188" s="6"/>
      <c r="G188" s="6" t="s">
        <v>1705</v>
      </c>
      <c r="H188" s="5" t="s">
        <v>1693</v>
      </c>
      <c r="I188" s="6" t="s">
        <v>1611</v>
      </c>
    </row>
    <row r="189" customFormat="false" ht="135.8" hidden="false" customHeight="false" outlineLevel="0" collapsed="false">
      <c r="A189" s="5" t="s">
        <v>1706</v>
      </c>
      <c r="B189" s="5" t="s">
        <v>92</v>
      </c>
      <c r="C189" s="5" t="s">
        <v>460</v>
      </c>
      <c r="D189" s="6" t="s">
        <v>461</v>
      </c>
      <c r="E189" s="6" t="s">
        <v>1617</v>
      </c>
      <c r="F189" s="6"/>
      <c r="G189" s="6" t="s">
        <v>1618</v>
      </c>
      <c r="H189" s="5" t="s">
        <v>1555</v>
      </c>
      <c r="I189" s="6" t="s">
        <v>1619</v>
      </c>
    </row>
    <row r="190" customFormat="false" ht="135.8" hidden="false" customHeight="false" outlineLevel="0" collapsed="false">
      <c r="A190" s="5" t="s">
        <v>1706</v>
      </c>
      <c r="B190" s="5" t="s">
        <v>92</v>
      </c>
      <c r="C190" s="5" t="s">
        <v>460</v>
      </c>
      <c r="D190" s="6" t="s">
        <v>461</v>
      </c>
      <c r="E190" s="6" t="s">
        <v>1620</v>
      </c>
      <c r="F190" s="6"/>
      <c r="G190" s="6" t="s">
        <v>1618</v>
      </c>
      <c r="H190" s="5" t="s">
        <v>1555</v>
      </c>
      <c r="I190" s="6" t="s">
        <v>1619</v>
      </c>
    </row>
    <row r="191" customFormat="false" ht="135.8" hidden="false" customHeight="false" outlineLevel="0" collapsed="false">
      <c r="A191" s="5" t="s">
        <v>1706</v>
      </c>
      <c r="B191" s="5" t="s">
        <v>92</v>
      </c>
      <c r="C191" s="5" t="s">
        <v>460</v>
      </c>
      <c r="D191" s="6" t="s">
        <v>461</v>
      </c>
      <c r="E191" s="6" t="s">
        <v>1621</v>
      </c>
      <c r="F191" s="6"/>
      <c r="G191" s="6" t="s">
        <v>1618</v>
      </c>
      <c r="H191" s="5" t="s">
        <v>1555</v>
      </c>
      <c r="I191" s="6" t="s">
        <v>1619</v>
      </c>
    </row>
    <row r="192" customFormat="false" ht="135.8" hidden="false" customHeight="false" outlineLevel="0" collapsed="false">
      <c r="A192" s="5" t="s">
        <v>1706</v>
      </c>
      <c r="B192" s="5" t="s">
        <v>92</v>
      </c>
      <c r="C192" s="5" t="s">
        <v>460</v>
      </c>
      <c r="D192" s="6" t="s">
        <v>461</v>
      </c>
      <c r="E192" s="6" t="s">
        <v>1622</v>
      </c>
      <c r="F192" s="6"/>
      <c r="G192" s="6" t="s">
        <v>1618</v>
      </c>
      <c r="H192" s="5" t="s">
        <v>1555</v>
      </c>
      <c r="I192" s="6" t="s">
        <v>1619</v>
      </c>
    </row>
    <row r="193" customFormat="false" ht="135.8" hidden="false" customHeight="false" outlineLevel="0" collapsed="false">
      <c r="A193" s="5" t="s">
        <v>1706</v>
      </c>
      <c r="B193" s="5" t="s">
        <v>92</v>
      </c>
      <c r="C193" s="5" t="s">
        <v>460</v>
      </c>
      <c r="D193" s="6" t="s">
        <v>461</v>
      </c>
      <c r="E193" s="6" t="s">
        <v>1623</v>
      </c>
      <c r="F193" s="6"/>
      <c r="G193" s="6" t="s">
        <v>1618</v>
      </c>
      <c r="H193" s="5" t="s">
        <v>1555</v>
      </c>
      <c r="I193" s="6" t="s">
        <v>1619</v>
      </c>
    </row>
    <row r="194" customFormat="false" ht="79.85" hidden="false" customHeight="false" outlineLevel="0" collapsed="false">
      <c r="A194" s="5" t="s">
        <v>1707</v>
      </c>
      <c r="B194" s="5" t="s">
        <v>92</v>
      </c>
      <c r="C194" s="5" t="s">
        <v>464</v>
      </c>
      <c r="D194" s="6" t="s">
        <v>465</v>
      </c>
      <c r="E194" s="6" t="s">
        <v>1553</v>
      </c>
      <c r="F194" s="6"/>
      <c r="G194" s="6" t="s">
        <v>1610</v>
      </c>
      <c r="H194" s="5" t="s">
        <v>1555</v>
      </c>
      <c r="I194" s="6" t="s">
        <v>1565</v>
      </c>
    </row>
    <row r="195" customFormat="false" ht="79.85" hidden="false" customHeight="false" outlineLevel="0" collapsed="false">
      <c r="A195" s="5" t="s">
        <v>1707</v>
      </c>
      <c r="B195" s="5" t="s">
        <v>92</v>
      </c>
      <c r="C195" s="5" t="s">
        <v>464</v>
      </c>
      <c r="D195" s="6" t="s">
        <v>465</v>
      </c>
      <c r="E195" s="6" t="s">
        <v>1557</v>
      </c>
      <c r="F195" s="6"/>
      <c r="G195" s="6" t="s">
        <v>1610</v>
      </c>
      <c r="H195" s="5" t="s">
        <v>1555</v>
      </c>
      <c r="I195" s="6" t="s">
        <v>1565</v>
      </c>
    </row>
    <row r="196" customFormat="false" ht="79.85" hidden="false" customHeight="false" outlineLevel="0" collapsed="false">
      <c r="A196" s="5" t="s">
        <v>1707</v>
      </c>
      <c r="B196" s="5" t="s">
        <v>92</v>
      </c>
      <c r="C196" s="5" t="s">
        <v>464</v>
      </c>
      <c r="D196" s="6" t="s">
        <v>465</v>
      </c>
      <c r="E196" s="6" t="s">
        <v>1592</v>
      </c>
      <c r="F196" s="6"/>
      <c r="G196" s="6" t="s">
        <v>1708</v>
      </c>
      <c r="H196" s="5" t="s">
        <v>1709</v>
      </c>
      <c r="I196" s="6" t="s">
        <v>1565</v>
      </c>
    </row>
    <row r="197" customFormat="false" ht="135.8" hidden="false" customHeight="false" outlineLevel="0" collapsed="false">
      <c r="A197" s="5" t="s">
        <v>1710</v>
      </c>
      <c r="B197" s="5" t="s">
        <v>92</v>
      </c>
      <c r="C197" s="5" t="s">
        <v>469</v>
      </c>
      <c r="D197" s="5" t="s">
        <v>471</v>
      </c>
      <c r="E197" s="6" t="s">
        <v>1628</v>
      </c>
      <c r="F197" s="6"/>
      <c r="G197" s="6" t="s">
        <v>1618</v>
      </c>
      <c r="H197" s="5" t="s">
        <v>1555</v>
      </c>
      <c r="I197" s="6" t="s">
        <v>1629</v>
      </c>
    </row>
    <row r="198" customFormat="false" ht="135.8" hidden="false" customHeight="false" outlineLevel="0" collapsed="false">
      <c r="A198" s="5" t="s">
        <v>1710</v>
      </c>
      <c r="B198" s="5" t="s">
        <v>92</v>
      </c>
      <c r="C198" s="5" t="s">
        <v>469</v>
      </c>
      <c r="D198" s="5" t="s">
        <v>471</v>
      </c>
      <c r="E198" s="6" t="s">
        <v>1630</v>
      </c>
      <c r="F198" s="6"/>
      <c r="G198" s="6" t="s">
        <v>1618</v>
      </c>
      <c r="H198" s="5" t="s">
        <v>1555</v>
      </c>
      <c r="I198" s="6" t="s">
        <v>1629</v>
      </c>
    </row>
    <row r="199" customFormat="false" ht="135.8" hidden="false" customHeight="false" outlineLevel="0" collapsed="false">
      <c r="A199" s="5" t="s">
        <v>1710</v>
      </c>
      <c r="B199" s="5" t="s">
        <v>92</v>
      </c>
      <c r="C199" s="5" t="s">
        <v>469</v>
      </c>
      <c r="D199" s="5" t="s">
        <v>471</v>
      </c>
      <c r="E199" s="6" t="s">
        <v>1631</v>
      </c>
      <c r="F199" s="6"/>
      <c r="G199" s="6" t="s">
        <v>1618</v>
      </c>
      <c r="H199" s="5" t="s">
        <v>1555</v>
      </c>
      <c r="I199" s="6" t="s">
        <v>1629</v>
      </c>
    </row>
    <row r="200" customFormat="false" ht="135.8" hidden="false" customHeight="false" outlineLevel="0" collapsed="false">
      <c r="A200" s="5" t="s">
        <v>1710</v>
      </c>
      <c r="B200" s="5" t="s">
        <v>92</v>
      </c>
      <c r="C200" s="5" t="s">
        <v>469</v>
      </c>
      <c r="D200" s="5" t="s">
        <v>471</v>
      </c>
      <c r="E200" s="6" t="s">
        <v>1632</v>
      </c>
      <c r="F200" s="6"/>
      <c r="G200" s="6" t="s">
        <v>1618</v>
      </c>
      <c r="H200" s="5" t="s">
        <v>1555</v>
      </c>
      <c r="I200" s="6" t="s">
        <v>1629</v>
      </c>
    </row>
    <row r="201" customFormat="false" ht="135.8" hidden="false" customHeight="false" outlineLevel="0" collapsed="false">
      <c r="A201" s="5" t="s">
        <v>1710</v>
      </c>
      <c r="B201" s="5" t="s">
        <v>92</v>
      </c>
      <c r="C201" s="5" t="s">
        <v>469</v>
      </c>
      <c r="D201" s="5" t="s">
        <v>471</v>
      </c>
      <c r="E201" s="6" t="s">
        <v>1623</v>
      </c>
      <c r="F201" s="6"/>
      <c r="G201" s="6" t="s">
        <v>1618</v>
      </c>
      <c r="H201" s="5" t="s">
        <v>1555</v>
      </c>
      <c r="I201" s="6" t="s">
        <v>1629</v>
      </c>
    </row>
    <row r="202" customFormat="false" ht="79.85" hidden="false" customHeight="false" outlineLevel="0" collapsed="false">
      <c r="A202" s="5" t="s">
        <v>1711</v>
      </c>
      <c r="B202" s="5" t="s">
        <v>92</v>
      </c>
      <c r="C202" s="5" t="s">
        <v>474</v>
      </c>
      <c r="D202" s="5" t="s">
        <v>476</v>
      </c>
      <c r="E202" s="6" t="s">
        <v>1553</v>
      </c>
      <c r="F202" s="6"/>
      <c r="G202" s="6" t="s">
        <v>1610</v>
      </c>
      <c r="H202" s="5" t="s">
        <v>1555</v>
      </c>
      <c r="I202" s="6" t="s">
        <v>1611</v>
      </c>
    </row>
    <row r="203" customFormat="false" ht="79.85" hidden="false" customHeight="false" outlineLevel="0" collapsed="false">
      <c r="A203" s="5" t="s">
        <v>1711</v>
      </c>
      <c r="B203" s="5" t="s">
        <v>92</v>
      </c>
      <c r="C203" s="5" t="s">
        <v>474</v>
      </c>
      <c r="D203" s="5" t="s">
        <v>476</v>
      </c>
      <c r="E203" s="6" t="s">
        <v>1557</v>
      </c>
      <c r="F203" s="6"/>
      <c r="G203" s="6" t="s">
        <v>1712</v>
      </c>
      <c r="H203" s="5" t="s">
        <v>1635</v>
      </c>
      <c r="I203" s="6" t="s">
        <v>1611</v>
      </c>
    </row>
    <row r="204" customFormat="false" ht="79.85" hidden="false" customHeight="false" outlineLevel="0" collapsed="false">
      <c r="A204" s="5" t="s">
        <v>1711</v>
      </c>
      <c r="B204" s="5" t="s">
        <v>92</v>
      </c>
      <c r="C204" s="5" t="s">
        <v>474</v>
      </c>
      <c r="D204" s="5" t="s">
        <v>476</v>
      </c>
      <c r="E204" s="6" t="s">
        <v>1592</v>
      </c>
      <c r="F204" s="6"/>
      <c r="G204" s="6" t="s">
        <v>1713</v>
      </c>
      <c r="H204" s="5" t="s">
        <v>1714</v>
      </c>
      <c r="I204" s="6" t="s">
        <v>1611</v>
      </c>
    </row>
    <row r="205" customFormat="false" ht="135.8" hidden="false" customHeight="false" outlineLevel="0" collapsed="false">
      <c r="A205" s="5" t="s">
        <v>1715</v>
      </c>
      <c r="B205" s="5" t="s">
        <v>92</v>
      </c>
      <c r="C205" s="5" t="s">
        <v>480</v>
      </c>
      <c r="D205" s="5" t="s">
        <v>476</v>
      </c>
      <c r="E205" s="6" t="s">
        <v>1628</v>
      </c>
      <c r="F205" s="6"/>
      <c r="G205" s="6" t="s">
        <v>1618</v>
      </c>
      <c r="H205" s="5" t="s">
        <v>1555</v>
      </c>
      <c r="I205" s="6" t="s">
        <v>1629</v>
      </c>
    </row>
    <row r="206" customFormat="false" ht="135.8" hidden="false" customHeight="false" outlineLevel="0" collapsed="false">
      <c r="A206" s="5" t="s">
        <v>1715</v>
      </c>
      <c r="B206" s="5" t="s">
        <v>92</v>
      </c>
      <c r="C206" s="5" t="s">
        <v>480</v>
      </c>
      <c r="D206" s="5" t="s">
        <v>476</v>
      </c>
      <c r="E206" s="6" t="s">
        <v>1630</v>
      </c>
      <c r="F206" s="6"/>
      <c r="G206" s="6" t="s">
        <v>1618</v>
      </c>
      <c r="H206" s="5" t="s">
        <v>1555</v>
      </c>
      <c r="I206" s="6" t="s">
        <v>1629</v>
      </c>
    </row>
    <row r="207" customFormat="false" ht="135.8" hidden="false" customHeight="false" outlineLevel="0" collapsed="false">
      <c r="A207" s="5" t="s">
        <v>1715</v>
      </c>
      <c r="B207" s="5" t="s">
        <v>92</v>
      </c>
      <c r="C207" s="5" t="s">
        <v>480</v>
      </c>
      <c r="D207" s="5" t="s">
        <v>476</v>
      </c>
      <c r="E207" s="6" t="s">
        <v>1631</v>
      </c>
      <c r="F207" s="6"/>
      <c r="G207" s="6" t="s">
        <v>1618</v>
      </c>
      <c r="H207" s="5" t="s">
        <v>1555</v>
      </c>
      <c r="I207" s="6" t="s">
        <v>1629</v>
      </c>
    </row>
    <row r="208" customFormat="false" ht="135.8" hidden="false" customHeight="false" outlineLevel="0" collapsed="false">
      <c r="A208" s="5" t="s">
        <v>1715</v>
      </c>
      <c r="B208" s="5" t="s">
        <v>92</v>
      </c>
      <c r="C208" s="5" t="s">
        <v>480</v>
      </c>
      <c r="D208" s="5" t="s">
        <v>476</v>
      </c>
      <c r="E208" s="6" t="s">
        <v>1632</v>
      </c>
      <c r="F208" s="6"/>
      <c r="G208" s="6" t="s">
        <v>1618</v>
      </c>
      <c r="H208" s="5" t="s">
        <v>1555</v>
      </c>
      <c r="I208" s="6" t="s">
        <v>1629</v>
      </c>
    </row>
    <row r="209" customFormat="false" ht="135.8" hidden="false" customHeight="false" outlineLevel="0" collapsed="false">
      <c r="A209" s="5" t="s">
        <v>1715</v>
      </c>
      <c r="B209" s="5" t="s">
        <v>92</v>
      </c>
      <c r="C209" s="5" t="s">
        <v>480</v>
      </c>
      <c r="D209" s="5" t="s">
        <v>476</v>
      </c>
      <c r="E209" s="6" t="s">
        <v>1623</v>
      </c>
      <c r="F209" s="6"/>
      <c r="G209" s="6" t="s">
        <v>1618</v>
      </c>
      <c r="H209" s="5" t="s">
        <v>1555</v>
      </c>
      <c r="I209" s="6" t="s">
        <v>1629</v>
      </c>
    </row>
    <row r="210" customFormat="false" ht="135.8" hidden="false" customHeight="false" outlineLevel="0" collapsed="false">
      <c r="A210" s="5" t="s">
        <v>1716</v>
      </c>
      <c r="B210" s="5" t="s">
        <v>92</v>
      </c>
      <c r="C210" s="5" t="s">
        <v>484</v>
      </c>
      <c r="D210" s="5" t="s">
        <v>489</v>
      </c>
      <c r="E210" s="6" t="s">
        <v>1628</v>
      </c>
      <c r="F210" s="6"/>
      <c r="G210" s="6" t="s">
        <v>1717</v>
      </c>
      <c r="H210" s="5" t="s">
        <v>1555</v>
      </c>
      <c r="I210" s="6" t="s">
        <v>1629</v>
      </c>
    </row>
    <row r="211" customFormat="false" ht="135.8" hidden="false" customHeight="false" outlineLevel="0" collapsed="false">
      <c r="A211" s="5" t="s">
        <v>1716</v>
      </c>
      <c r="B211" s="5" t="s">
        <v>92</v>
      </c>
      <c r="C211" s="5" t="s">
        <v>484</v>
      </c>
      <c r="D211" s="5" t="s">
        <v>489</v>
      </c>
      <c r="E211" s="6" t="s">
        <v>1630</v>
      </c>
      <c r="F211" s="6"/>
      <c r="G211" s="6" t="s">
        <v>1717</v>
      </c>
      <c r="H211" s="5" t="s">
        <v>1555</v>
      </c>
      <c r="I211" s="6" t="s">
        <v>1629</v>
      </c>
    </row>
    <row r="212" customFormat="false" ht="135.8" hidden="false" customHeight="false" outlineLevel="0" collapsed="false">
      <c r="A212" s="5" t="s">
        <v>1716</v>
      </c>
      <c r="B212" s="5" t="s">
        <v>92</v>
      </c>
      <c r="C212" s="5" t="s">
        <v>484</v>
      </c>
      <c r="D212" s="5" t="s">
        <v>489</v>
      </c>
      <c r="E212" s="6" t="s">
        <v>1631</v>
      </c>
      <c r="F212" s="6"/>
      <c r="G212" s="6" t="s">
        <v>1717</v>
      </c>
      <c r="H212" s="5" t="s">
        <v>1555</v>
      </c>
      <c r="I212" s="6" t="s">
        <v>1629</v>
      </c>
    </row>
    <row r="213" customFormat="false" ht="135.8" hidden="false" customHeight="false" outlineLevel="0" collapsed="false">
      <c r="A213" s="5" t="s">
        <v>1716</v>
      </c>
      <c r="B213" s="5" t="s">
        <v>92</v>
      </c>
      <c r="C213" s="5" t="s">
        <v>484</v>
      </c>
      <c r="D213" s="5" t="s">
        <v>489</v>
      </c>
      <c r="E213" s="6" t="s">
        <v>1632</v>
      </c>
      <c r="F213" s="6"/>
      <c r="G213" s="6" t="s">
        <v>1717</v>
      </c>
      <c r="H213" s="5" t="s">
        <v>1555</v>
      </c>
      <c r="I213" s="6" t="s">
        <v>1629</v>
      </c>
    </row>
    <row r="214" customFormat="false" ht="135.8" hidden="false" customHeight="false" outlineLevel="0" collapsed="false">
      <c r="A214" s="5" t="s">
        <v>1716</v>
      </c>
      <c r="B214" s="5" t="s">
        <v>92</v>
      </c>
      <c r="C214" s="5" t="s">
        <v>484</v>
      </c>
      <c r="D214" s="5" t="s">
        <v>489</v>
      </c>
      <c r="E214" s="6" t="s">
        <v>1623</v>
      </c>
      <c r="F214" s="6"/>
      <c r="G214" s="6" t="s">
        <v>1718</v>
      </c>
      <c r="H214" s="5" t="s">
        <v>1555</v>
      </c>
      <c r="I214" s="6" t="s">
        <v>1629</v>
      </c>
    </row>
    <row r="215" customFormat="false" ht="23.85" hidden="false" customHeight="false" outlineLevel="0" collapsed="false">
      <c r="A215" s="5" t="s">
        <v>1719</v>
      </c>
      <c r="B215" s="5" t="s">
        <v>497</v>
      </c>
      <c r="C215" s="5" t="s">
        <v>498</v>
      </c>
      <c r="D215" s="5" t="s">
        <v>501</v>
      </c>
      <c r="E215" s="6" t="s">
        <v>1720</v>
      </c>
      <c r="F215" s="6" t="s">
        <v>1721</v>
      </c>
      <c r="G215" s="6" t="s">
        <v>1722</v>
      </c>
      <c r="H215" s="5"/>
      <c r="I215" s="6" t="s">
        <v>1723</v>
      </c>
    </row>
    <row r="216" customFormat="false" ht="35.05" hidden="false" customHeight="false" outlineLevel="0" collapsed="false">
      <c r="A216" s="5" t="s">
        <v>1719</v>
      </c>
      <c r="B216" s="5" t="s">
        <v>497</v>
      </c>
      <c r="C216" s="5" t="s">
        <v>498</v>
      </c>
      <c r="D216" s="5" t="s">
        <v>501</v>
      </c>
      <c r="E216" s="6" t="s">
        <v>1724</v>
      </c>
      <c r="F216" s="6"/>
      <c r="G216" s="6" t="s">
        <v>1725</v>
      </c>
      <c r="H216" s="5"/>
      <c r="I216" s="6"/>
    </row>
    <row r="217" customFormat="false" ht="23.85" hidden="false" customHeight="false" outlineLevel="0" collapsed="false">
      <c r="A217" s="5" t="s">
        <v>1719</v>
      </c>
      <c r="B217" s="5" t="s">
        <v>497</v>
      </c>
      <c r="C217" s="5" t="s">
        <v>498</v>
      </c>
      <c r="D217" s="5" t="s">
        <v>501</v>
      </c>
      <c r="E217" s="6" t="s">
        <v>1726</v>
      </c>
      <c r="F217" s="6" t="s">
        <v>1727</v>
      </c>
      <c r="G217" s="6" t="s">
        <v>1728</v>
      </c>
      <c r="H217" s="5"/>
      <c r="I217" s="6" t="s">
        <v>1729</v>
      </c>
    </row>
    <row r="218" customFormat="false" ht="35.05" hidden="false" customHeight="false" outlineLevel="0" collapsed="false">
      <c r="A218" s="5" t="s">
        <v>1719</v>
      </c>
      <c r="B218" s="5" t="s">
        <v>497</v>
      </c>
      <c r="C218" s="5" t="s">
        <v>498</v>
      </c>
      <c r="D218" s="5" t="s">
        <v>501</v>
      </c>
      <c r="E218" s="6" t="s">
        <v>1730</v>
      </c>
      <c r="F218" s="6"/>
      <c r="G218" s="6" t="s">
        <v>1731</v>
      </c>
      <c r="H218" s="5"/>
      <c r="I218" s="6"/>
    </row>
    <row r="219" customFormat="false" ht="23.85" hidden="false" customHeight="false" outlineLevel="0" collapsed="false">
      <c r="A219" s="5" t="s">
        <v>1732</v>
      </c>
      <c r="B219" s="5" t="s">
        <v>497</v>
      </c>
      <c r="C219" s="5" t="s">
        <v>510</v>
      </c>
      <c r="D219" s="5" t="s">
        <v>511</v>
      </c>
      <c r="E219" s="6" t="s">
        <v>1720</v>
      </c>
      <c r="F219" s="6" t="s">
        <v>1733</v>
      </c>
      <c r="G219" s="6" t="s">
        <v>1734</v>
      </c>
      <c r="H219" s="5"/>
      <c r="I219" s="6" t="s">
        <v>1723</v>
      </c>
    </row>
    <row r="220" customFormat="false" ht="15" hidden="false" customHeight="false" outlineLevel="0" collapsed="false">
      <c r="A220" s="5" t="s">
        <v>1732</v>
      </c>
      <c r="B220" s="5" t="s">
        <v>497</v>
      </c>
      <c r="C220" s="5" t="s">
        <v>510</v>
      </c>
      <c r="D220" s="5" t="s">
        <v>511</v>
      </c>
      <c r="E220" s="6" t="s">
        <v>1735</v>
      </c>
      <c r="F220" s="6" t="s">
        <v>1736</v>
      </c>
      <c r="G220" s="6" t="s">
        <v>1737</v>
      </c>
      <c r="H220" s="5"/>
      <c r="I220" s="6" t="s">
        <v>1738</v>
      </c>
    </row>
    <row r="221" customFormat="false" ht="15" hidden="false" customHeight="false" outlineLevel="0" collapsed="false">
      <c r="A221" s="5" t="s">
        <v>1732</v>
      </c>
      <c r="B221" s="5" t="s">
        <v>497</v>
      </c>
      <c r="C221" s="5" t="s">
        <v>510</v>
      </c>
      <c r="D221" s="5" t="s">
        <v>511</v>
      </c>
      <c r="E221" s="6" t="s">
        <v>1739</v>
      </c>
      <c r="F221" s="6" t="s">
        <v>1740</v>
      </c>
      <c r="G221" s="6" t="s">
        <v>1741</v>
      </c>
      <c r="H221" s="5"/>
      <c r="I221" s="6" t="s">
        <v>1742</v>
      </c>
    </row>
    <row r="222" customFormat="false" ht="15" hidden="false" customHeight="false" outlineLevel="0" collapsed="false">
      <c r="A222" s="5" t="s">
        <v>1732</v>
      </c>
      <c r="B222" s="5" t="s">
        <v>497</v>
      </c>
      <c r="C222" s="5" t="s">
        <v>510</v>
      </c>
      <c r="D222" s="5" t="s">
        <v>511</v>
      </c>
      <c r="E222" s="6" t="s">
        <v>1743</v>
      </c>
      <c r="F222" s="6" t="s">
        <v>1744</v>
      </c>
      <c r="G222" s="6" t="s">
        <v>1741</v>
      </c>
      <c r="H222" s="5"/>
      <c r="I222" s="6" t="s">
        <v>1745</v>
      </c>
    </row>
    <row r="223" customFormat="false" ht="15" hidden="false" customHeight="false" outlineLevel="0" collapsed="false">
      <c r="A223" s="5" t="s">
        <v>1732</v>
      </c>
      <c r="B223" s="5" t="s">
        <v>497</v>
      </c>
      <c r="C223" s="5" t="s">
        <v>510</v>
      </c>
      <c r="D223" s="5" t="s">
        <v>511</v>
      </c>
      <c r="E223" s="6" t="s">
        <v>1746</v>
      </c>
      <c r="F223" s="6" t="s">
        <v>1747</v>
      </c>
      <c r="G223" s="6" t="s">
        <v>1748</v>
      </c>
      <c r="H223" s="5"/>
      <c r="I223" s="6" t="s">
        <v>1738</v>
      </c>
    </row>
    <row r="224" customFormat="false" ht="35.05" hidden="false" customHeight="false" outlineLevel="0" collapsed="false">
      <c r="A224" s="5" t="s">
        <v>1732</v>
      </c>
      <c r="B224" s="5" t="s">
        <v>497</v>
      </c>
      <c r="C224" s="5" t="s">
        <v>510</v>
      </c>
      <c r="D224" s="5" t="s">
        <v>511</v>
      </c>
      <c r="E224" s="6" t="s">
        <v>1724</v>
      </c>
      <c r="F224" s="6"/>
      <c r="G224" s="6" t="s">
        <v>1749</v>
      </c>
      <c r="H224" s="5"/>
      <c r="I224" s="6"/>
    </row>
    <row r="225" customFormat="false" ht="23.85" hidden="false" customHeight="false" outlineLevel="0" collapsed="false">
      <c r="A225" s="5" t="s">
        <v>1732</v>
      </c>
      <c r="B225" s="5" t="s">
        <v>497</v>
      </c>
      <c r="C225" s="5" t="s">
        <v>510</v>
      </c>
      <c r="D225" s="5" t="s">
        <v>511</v>
      </c>
      <c r="E225" s="6" t="s">
        <v>1750</v>
      </c>
      <c r="F225" s="6" t="s">
        <v>1751</v>
      </c>
      <c r="G225" s="6" t="s">
        <v>1752</v>
      </c>
      <c r="H225" s="5"/>
      <c r="I225" s="6" t="s">
        <v>1753</v>
      </c>
    </row>
    <row r="226" customFormat="false" ht="35.05" hidden="false" customHeight="false" outlineLevel="0" collapsed="false">
      <c r="A226" s="5" t="s">
        <v>1732</v>
      </c>
      <c r="B226" s="5" t="s">
        <v>497</v>
      </c>
      <c r="C226" s="5" t="s">
        <v>510</v>
      </c>
      <c r="D226" s="5" t="s">
        <v>511</v>
      </c>
      <c r="E226" s="6" t="s">
        <v>1730</v>
      </c>
      <c r="F226" s="6"/>
      <c r="G226" s="6" t="s">
        <v>1731</v>
      </c>
      <c r="H226" s="5"/>
      <c r="I226" s="6"/>
    </row>
    <row r="227" customFormat="false" ht="23.85" hidden="false" customHeight="false" outlineLevel="0" collapsed="false">
      <c r="A227" s="5" t="s">
        <v>1754</v>
      </c>
      <c r="B227" s="5" t="s">
        <v>497</v>
      </c>
      <c r="C227" s="5" t="s">
        <v>518</v>
      </c>
      <c r="D227" s="5" t="s">
        <v>519</v>
      </c>
      <c r="E227" s="6" t="s">
        <v>1720</v>
      </c>
      <c r="F227" s="6" t="s">
        <v>1733</v>
      </c>
      <c r="G227" s="6" t="s">
        <v>1734</v>
      </c>
      <c r="H227" s="5"/>
      <c r="I227" s="6" t="s">
        <v>1723</v>
      </c>
    </row>
    <row r="228" customFormat="false" ht="15" hidden="false" customHeight="false" outlineLevel="0" collapsed="false">
      <c r="A228" s="5" t="s">
        <v>1754</v>
      </c>
      <c r="B228" s="5" t="s">
        <v>497</v>
      </c>
      <c r="C228" s="5" t="s">
        <v>518</v>
      </c>
      <c r="D228" s="5" t="s">
        <v>519</v>
      </c>
      <c r="E228" s="6" t="s">
        <v>1735</v>
      </c>
      <c r="F228" s="6" t="s">
        <v>1736</v>
      </c>
      <c r="G228" s="6" t="s">
        <v>1741</v>
      </c>
      <c r="H228" s="5"/>
      <c r="I228" s="6" t="s">
        <v>1738</v>
      </c>
    </row>
    <row r="229" customFormat="false" ht="15" hidden="false" customHeight="false" outlineLevel="0" collapsed="false">
      <c r="A229" s="5" t="s">
        <v>1754</v>
      </c>
      <c r="B229" s="5" t="s">
        <v>497</v>
      </c>
      <c r="C229" s="5" t="s">
        <v>518</v>
      </c>
      <c r="D229" s="5" t="s">
        <v>519</v>
      </c>
      <c r="E229" s="6" t="s">
        <v>1739</v>
      </c>
      <c r="F229" s="6" t="s">
        <v>1740</v>
      </c>
      <c r="G229" s="6" t="s">
        <v>1741</v>
      </c>
      <c r="H229" s="5"/>
      <c r="I229" s="6" t="s">
        <v>1742</v>
      </c>
    </row>
    <row r="230" customFormat="false" ht="15" hidden="false" customHeight="false" outlineLevel="0" collapsed="false">
      <c r="A230" s="5" t="s">
        <v>1754</v>
      </c>
      <c r="B230" s="5" t="s">
        <v>497</v>
      </c>
      <c r="C230" s="5" t="s">
        <v>518</v>
      </c>
      <c r="D230" s="5" t="s">
        <v>519</v>
      </c>
      <c r="E230" s="6" t="s">
        <v>1743</v>
      </c>
      <c r="F230" s="6" t="s">
        <v>1744</v>
      </c>
      <c r="G230" s="6" t="s">
        <v>1741</v>
      </c>
      <c r="H230" s="5"/>
      <c r="I230" s="6" t="s">
        <v>1745</v>
      </c>
    </row>
    <row r="231" customFormat="false" ht="15" hidden="false" customHeight="false" outlineLevel="0" collapsed="false">
      <c r="A231" s="5" t="s">
        <v>1754</v>
      </c>
      <c r="B231" s="5" t="s">
        <v>497</v>
      </c>
      <c r="C231" s="5" t="s">
        <v>518</v>
      </c>
      <c r="D231" s="5" t="s">
        <v>519</v>
      </c>
      <c r="E231" s="6" t="s">
        <v>1746</v>
      </c>
      <c r="F231" s="6" t="s">
        <v>1747</v>
      </c>
      <c r="G231" s="6" t="s">
        <v>1741</v>
      </c>
      <c r="H231" s="5"/>
      <c r="I231" s="6" t="s">
        <v>1738</v>
      </c>
    </row>
    <row r="232" customFormat="false" ht="35.05" hidden="false" customHeight="false" outlineLevel="0" collapsed="false">
      <c r="A232" s="5" t="s">
        <v>1754</v>
      </c>
      <c r="B232" s="5" t="s">
        <v>497</v>
      </c>
      <c r="C232" s="5" t="s">
        <v>518</v>
      </c>
      <c r="D232" s="5" t="s">
        <v>519</v>
      </c>
      <c r="E232" s="6" t="s">
        <v>1724</v>
      </c>
      <c r="F232" s="6"/>
      <c r="G232" s="6" t="s">
        <v>1749</v>
      </c>
      <c r="H232" s="5"/>
      <c r="I232" s="6"/>
    </row>
    <row r="233" customFormat="false" ht="23.85" hidden="false" customHeight="false" outlineLevel="0" collapsed="false">
      <c r="A233" s="5" t="s">
        <v>1754</v>
      </c>
      <c r="B233" s="5" t="s">
        <v>497</v>
      </c>
      <c r="C233" s="5" t="s">
        <v>518</v>
      </c>
      <c r="D233" s="5" t="s">
        <v>519</v>
      </c>
      <c r="E233" s="6" t="s">
        <v>1750</v>
      </c>
      <c r="F233" s="6" t="s">
        <v>1751</v>
      </c>
      <c r="G233" s="6" t="s">
        <v>1755</v>
      </c>
      <c r="H233" s="5"/>
      <c r="I233" s="6" t="s">
        <v>1753</v>
      </c>
    </row>
    <row r="234" customFormat="false" ht="35.05" hidden="false" customHeight="false" outlineLevel="0" collapsed="false">
      <c r="A234" s="5" t="s">
        <v>1754</v>
      </c>
      <c r="B234" s="5" t="s">
        <v>497</v>
      </c>
      <c r="C234" s="5" t="s">
        <v>518</v>
      </c>
      <c r="D234" s="5" t="s">
        <v>519</v>
      </c>
      <c r="E234" s="6" t="s">
        <v>1730</v>
      </c>
      <c r="F234" s="6"/>
      <c r="G234" s="6" t="s">
        <v>1731</v>
      </c>
      <c r="H234" s="5"/>
      <c r="I234" s="6"/>
    </row>
    <row r="235" customFormat="false" ht="23.85" hidden="false" customHeight="false" outlineLevel="0" collapsed="false">
      <c r="A235" s="5" t="s">
        <v>1756</v>
      </c>
      <c r="B235" s="5" t="s">
        <v>497</v>
      </c>
      <c r="C235" s="5" t="s">
        <v>524</v>
      </c>
      <c r="D235" s="5" t="s">
        <v>527</v>
      </c>
      <c r="E235" s="6" t="s">
        <v>1720</v>
      </c>
      <c r="F235" s="6" t="s">
        <v>1757</v>
      </c>
      <c r="G235" s="6" t="s">
        <v>1758</v>
      </c>
      <c r="H235" s="5"/>
      <c r="I235" s="6" t="s">
        <v>1723</v>
      </c>
    </row>
    <row r="236" customFormat="false" ht="15" hidden="false" customHeight="false" outlineLevel="0" collapsed="false">
      <c r="A236" s="5" t="s">
        <v>1756</v>
      </c>
      <c r="B236" s="5" t="s">
        <v>497</v>
      </c>
      <c r="C236" s="5" t="s">
        <v>524</v>
      </c>
      <c r="D236" s="5" t="s">
        <v>527</v>
      </c>
      <c r="E236" s="6" t="s">
        <v>1735</v>
      </c>
      <c r="F236" s="6" t="s">
        <v>877</v>
      </c>
      <c r="G236" s="6" t="s">
        <v>1759</v>
      </c>
      <c r="H236" s="5"/>
      <c r="I236" s="6" t="s">
        <v>1760</v>
      </c>
    </row>
    <row r="237" customFormat="false" ht="15" hidden="false" customHeight="false" outlineLevel="0" collapsed="false">
      <c r="A237" s="5" t="s">
        <v>1756</v>
      </c>
      <c r="B237" s="5" t="s">
        <v>497</v>
      </c>
      <c r="C237" s="5" t="s">
        <v>524</v>
      </c>
      <c r="D237" s="5" t="s">
        <v>527</v>
      </c>
      <c r="E237" s="6" t="s">
        <v>1746</v>
      </c>
      <c r="F237" s="6" t="s">
        <v>800</v>
      </c>
      <c r="G237" s="6" t="s">
        <v>1761</v>
      </c>
      <c r="H237" s="5"/>
      <c r="I237" s="6" t="s">
        <v>1760</v>
      </c>
    </row>
    <row r="238" customFormat="false" ht="15" hidden="false" customHeight="false" outlineLevel="0" collapsed="false">
      <c r="A238" s="5" t="s">
        <v>1756</v>
      </c>
      <c r="B238" s="5" t="s">
        <v>497</v>
      </c>
      <c r="C238" s="5" t="s">
        <v>524</v>
      </c>
      <c r="D238" s="5" t="s">
        <v>527</v>
      </c>
      <c r="E238" s="6" t="s">
        <v>1743</v>
      </c>
      <c r="F238" s="6" t="s">
        <v>794</v>
      </c>
      <c r="G238" s="6" t="s">
        <v>1762</v>
      </c>
      <c r="H238" s="5"/>
      <c r="I238" s="6" t="s">
        <v>1760</v>
      </c>
    </row>
    <row r="239" customFormat="false" ht="15" hidden="false" customHeight="false" outlineLevel="0" collapsed="false">
      <c r="A239" s="5" t="s">
        <v>1756</v>
      </c>
      <c r="B239" s="5" t="s">
        <v>497</v>
      </c>
      <c r="C239" s="5" t="s">
        <v>524</v>
      </c>
      <c r="D239" s="5" t="s">
        <v>527</v>
      </c>
      <c r="E239" s="6" t="s">
        <v>1739</v>
      </c>
      <c r="F239" s="6" t="s">
        <v>1740</v>
      </c>
      <c r="G239" s="6" t="s">
        <v>1763</v>
      </c>
      <c r="H239" s="5"/>
      <c r="I239" s="6" t="s">
        <v>1760</v>
      </c>
    </row>
    <row r="240" customFormat="false" ht="35.05" hidden="false" customHeight="false" outlineLevel="0" collapsed="false">
      <c r="A240" s="5" t="s">
        <v>1756</v>
      </c>
      <c r="B240" s="5" t="s">
        <v>497</v>
      </c>
      <c r="C240" s="5" t="s">
        <v>524</v>
      </c>
      <c r="D240" s="5" t="s">
        <v>527</v>
      </c>
      <c r="E240" s="6" t="s">
        <v>1724</v>
      </c>
      <c r="F240" s="6"/>
      <c r="G240" s="6" t="s">
        <v>1764</v>
      </c>
      <c r="H240" s="5"/>
      <c r="I240" s="6"/>
    </row>
    <row r="241" customFormat="false" ht="23.85" hidden="false" customHeight="false" outlineLevel="0" collapsed="false">
      <c r="A241" s="5" t="s">
        <v>1756</v>
      </c>
      <c r="B241" s="5" t="s">
        <v>497</v>
      </c>
      <c r="C241" s="5" t="s">
        <v>524</v>
      </c>
      <c r="D241" s="5" t="s">
        <v>527</v>
      </c>
      <c r="E241" s="6" t="s">
        <v>1750</v>
      </c>
      <c r="F241" s="6" t="s">
        <v>1751</v>
      </c>
      <c r="G241" s="6" t="s">
        <v>1765</v>
      </c>
      <c r="H241" s="5"/>
      <c r="I241" s="6" t="s">
        <v>1753</v>
      </c>
    </row>
    <row r="242" customFormat="false" ht="35.05" hidden="false" customHeight="false" outlineLevel="0" collapsed="false">
      <c r="A242" s="5" t="s">
        <v>1756</v>
      </c>
      <c r="B242" s="5" t="s">
        <v>497</v>
      </c>
      <c r="C242" s="5" t="s">
        <v>524</v>
      </c>
      <c r="D242" s="5" t="s">
        <v>527</v>
      </c>
      <c r="E242" s="6" t="s">
        <v>1730</v>
      </c>
      <c r="F242" s="6"/>
      <c r="G242" s="6" t="s">
        <v>1766</v>
      </c>
      <c r="H242" s="5"/>
      <c r="I242" s="6"/>
    </row>
    <row r="243" customFormat="false" ht="23.85" hidden="false" customHeight="false" outlineLevel="0" collapsed="false">
      <c r="A243" s="5" t="s">
        <v>1767</v>
      </c>
      <c r="B243" s="5" t="s">
        <v>497</v>
      </c>
      <c r="C243" s="5" t="s">
        <v>534</v>
      </c>
      <c r="D243" s="5" t="s">
        <v>535</v>
      </c>
      <c r="E243" s="6" t="s">
        <v>1720</v>
      </c>
      <c r="F243" s="6" t="s">
        <v>1757</v>
      </c>
      <c r="G243" s="6" t="s">
        <v>1758</v>
      </c>
      <c r="H243" s="5"/>
      <c r="I243" s="6" t="s">
        <v>1723</v>
      </c>
    </row>
    <row r="244" customFormat="false" ht="15" hidden="false" customHeight="false" outlineLevel="0" collapsed="false">
      <c r="A244" s="5" t="s">
        <v>1767</v>
      </c>
      <c r="B244" s="5" t="s">
        <v>497</v>
      </c>
      <c r="C244" s="5" t="s">
        <v>534</v>
      </c>
      <c r="D244" s="5" t="s">
        <v>535</v>
      </c>
      <c r="E244" s="6" t="s">
        <v>1735</v>
      </c>
      <c r="F244" s="6" t="s">
        <v>877</v>
      </c>
      <c r="G244" s="6" t="s">
        <v>1768</v>
      </c>
      <c r="H244" s="5"/>
      <c r="I244" s="6" t="s">
        <v>1769</v>
      </c>
    </row>
    <row r="245" customFormat="false" ht="15" hidden="false" customHeight="false" outlineLevel="0" collapsed="false">
      <c r="A245" s="5" t="s">
        <v>1767</v>
      </c>
      <c r="B245" s="5" t="s">
        <v>497</v>
      </c>
      <c r="C245" s="5" t="s">
        <v>534</v>
      </c>
      <c r="D245" s="5" t="s">
        <v>535</v>
      </c>
      <c r="E245" s="6" t="s">
        <v>1746</v>
      </c>
      <c r="F245" s="6" t="s">
        <v>800</v>
      </c>
      <c r="G245" s="6" t="s">
        <v>1763</v>
      </c>
      <c r="H245" s="5"/>
      <c r="I245" s="6" t="s">
        <v>1769</v>
      </c>
    </row>
    <row r="246" customFormat="false" ht="15" hidden="false" customHeight="false" outlineLevel="0" collapsed="false">
      <c r="A246" s="5" t="s">
        <v>1767</v>
      </c>
      <c r="B246" s="5" t="s">
        <v>497</v>
      </c>
      <c r="C246" s="5" t="s">
        <v>534</v>
      </c>
      <c r="D246" s="5" t="s">
        <v>535</v>
      </c>
      <c r="E246" s="6" t="s">
        <v>1743</v>
      </c>
      <c r="F246" s="6" t="s">
        <v>794</v>
      </c>
      <c r="G246" s="6" t="s">
        <v>1762</v>
      </c>
      <c r="H246" s="5"/>
      <c r="I246" s="6" t="s">
        <v>1769</v>
      </c>
    </row>
    <row r="247" customFormat="false" ht="15" hidden="false" customHeight="false" outlineLevel="0" collapsed="false">
      <c r="A247" s="5" t="s">
        <v>1767</v>
      </c>
      <c r="B247" s="5" t="s">
        <v>497</v>
      </c>
      <c r="C247" s="5" t="s">
        <v>534</v>
      </c>
      <c r="D247" s="5" t="s">
        <v>535</v>
      </c>
      <c r="E247" s="6" t="s">
        <v>1739</v>
      </c>
      <c r="F247" s="6" t="s">
        <v>1740</v>
      </c>
      <c r="G247" s="6" t="s">
        <v>1763</v>
      </c>
      <c r="H247" s="5"/>
      <c r="I247" s="6" t="s">
        <v>1769</v>
      </c>
    </row>
    <row r="248" customFormat="false" ht="79.85" hidden="false" customHeight="false" outlineLevel="0" collapsed="false">
      <c r="A248" s="5" t="s">
        <v>1767</v>
      </c>
      <c r="B248" s="5" t="s">
        <v>497</v>
      </c>
      <c r="C248" s="5" t="s">
        <v>534</v>
      </c>
      <c r="D248" s="5" t="s">
        <v>535</v>
      </c>
      <c r="E248" s="6" t="s">
        <v>1724</v>
      </c>
      <c r="F248" s="6"/>
      <c r="G248" s="6" t="s">
        <v>1770</v>
      </c>
      <c r="H248" s="5"/>
      <c r="I248" s="6"/>
    </row>
    <row r="249" customFormat="false" ht="23.85" hidden="false" customHeight="false" outlineLevel="0" collapsed="false">
      <c r="A249" s="5" t="s">
        <v>1767</v>
      </c>
      <c r="B249" s="5" t="s">
        <v>497</v>
      </c>
      <c r="C249" s="5" t="s">
        <v>534</v>
      </c>
      <c r="D249" s="5" t="s">
        <v>535</v>
      </c>
      <c r="E249" s="6" t="s">
        <v>1750</v>
      </c>
      <c r="F249" s="6" t="s">
        <v>1751</v>
      </c>
      <c r="G249" s="6" t="s">
        <v>1765</v>
      </c>
      <c r="H249" s="5"/>
      <c r="I249" s="6" t="s">
        <v>1753</v>
      </c>
    </row>
    <row r="250" customFormat="false" ht="79.85" hidden="false" customHeight="false" outlineLevel="0" collapsed="false">
      <c r="A250" s="5" t="s">
        <v>1767</v>
      </c>
      <c r="B250" s="5" t="s">
        <v>497</v>
      </c>
      <c r="C250" s="5" t="s">
        <v>534</v>
      </c>
      <c r="D250" s="5" t="s">
        <v>535</v>
      </c>
      <c r="E250" s="6" t="s">
        <v>1730</v>
      </c>
      <c r="F250" s="6"/>
      <c r="G250" s="6" t="s">
        <v>1771</v>
      </c>
      <c r="H250" s="5"/>
      <c r="I250" s="6"/>
    </row>
    <row r="251" customFormat="false" ht="23.85" hidden="false" customHeight="false" outlineLevel="0" collapsed="false">
      <c r="A251" s="5" t="s">
        <v>1772</v>
      </c>
      <c r="B251" s="5" t="s">
        <v>497</v>
      </c>
      <c r="C251" s="5" t="s">
        <v>541</v>
      </c>
      <c r="D251" s="5" t="s">
        <v>545</v>
      </c>
      <c r="E251" s="6" t="s">
        <v>1720</v>
      </c>
      <c r="F251" s="6" t="s">
        <v>1757</v>
      </c>
      <c r="G251" s="6" t="s">
        <v>1734</v>
      </c>
      <c r="H251" s="5"/>
      <c r="I251" s="6" t="s">
        <v>1723</v>
      </c>
    </row>
    <row r="252" customFormat="false" ht="15" hidden="false" customHeight="false" outlineLevel="0" collapsed="false">
      <c r="A252" s="5" t="s">
        <v>1772</v>
      </c>
      <c r="B252" s="5" t="s">
        <v>497</v>
      </c>
      <c r="C252" s="5" t="s">
        <v>541</v>
      </c>
      <c r="D252" s="5" t="s">
        <v>545</v>
      </c>
      <c r="E252" s="6" t="s">
        <v>1735</v>
      </c>
      <c r="F252" s="6" t="s">
        <v>877</v>
      </c>
      <c r="G252" s="6" t="s">
        <v>1773</v>
      </c>
      <c r="H252" s="5"/>
      <c r="I252" s="6" t="s">
        <v>1760</v>
      </c>
    </row>
    <row r="253" customFormat="false" ht="15" hidden="false" customHeight="false" outlineLevel="0" collapsed="false">
      <c r="A253" s="5" t="s">
        <v>1772</v>
      </c>
      <c r="B253" s="5" t="s">
        <v>497</v>
      </c>
      <c r="C253" s="5" t="s">
        <v>541</v>
      </c>
      <c r="D253" s="5" t="s">
        <v>545</v>
      </c>
      <c r="E253" s="6" t="s">
        <v>1746</v>
      </c>
      <c r="F253" s="6" t="s">
        <v>800</v>
      </c>
      <c r="G253" s="6" t="s">
        <v>1774</v>
      </c>
      <c r="H253" s="5"/>
      <c r="I253" s="6" t="s">
        <v>1760</v>
      </c>
    </row>
    <row r="254" customFormat="false" ht="15" hidden="false" customHeight="false" outlineLevel="0" collapsed="false">
      <c r="A254" s="5" t="s">
        <v>1772</v>
      </c>
      <c r="B254" s="5" t="s">
        <v>497</v>
      </c>
      <c r="C254" s="5" t="s">
        <v>541</v>
      </c>
      <c r="D254" s="5" t="s">
        <v>545</v>
      </c>
      <c r="E254" s="6" t="s">
        <v>1743</v>
      </c>
      <c r="F254" s="6" t="s">
        <v>794</v>
      </c>
      <c r="G254" s="6" t="s">
        <v>1775</v>
      </c>
      <c r="H254" s="5"/>
      <c r="I254" s="6" t="s">
        <v>1760</v>
      </c>
    </row>
    <row r="255" customFormat="false" ht="15" hidden="false" customHeight="false" outlineLevel="0" collapsed="false">
      <c r="A255" s="5" t="s">
        <v>1772</v>
      </c>
      <c r="B255" s="5" t="s">
        <v>497</v>
      </c>
      <c r="C255" s="5" t="s">
        <v>541</v>
      </c>
      <c r="D255" s="5" t="s">
        <v>545</v>
      </c>
      <c r="E255" s="6" t="s">
        <v>1739</v>
      </c>
      <c r="F255" s="6" t="s">
        <v>1740</v>
      </c>
      <c r="G255" s="6" t="s">
        <v>1776</v>
      </c>
      <c r="H255" s="5"/>
      <c r="I255" s="6" t="s">
        <v>1760</v>
      </c>
    </row>
    <row r="256" customFormat="false" ht="35.05" hidden="false" customHeight="false" outlineLevel="0" collapsed="false">
      <c r="A256" s="5" t="s">
        <v>1772</v>
      </c>
      <c r="B256" s="5" t="s">
        <v>497</v>
      </c>
      <c r="C256" s="5" t="s">
        <v>541</v>
      </c>
      <c r="D256" s="5" t="s">
        <v>545</v>
      </c>
      <c r="E256" s="6" t="s">
        <v>1724</v>
      </c>
      <c r="F256" s="6"/>
      <c r="G256" s="6" t="s">
        <v>1764</v>
      </c>
      <c r="H256" s="5"/>
      <c r="I256" s="6"/>
    </row>
    <row r="257" customFormat="false" ht="23.85" hidden="false" customHeight="false" outlineLevel="0" collapsed="false">
      <c r="A257" s="5" t="s">
        <v>1772</v>
      </c>
      <c r="B257" s="5" t="s">
        <v>497</v>
      </c>
      <c r="C257" s="5" t="s">
        <v>541</v>
      </c>
      <c r="D257" s="5" t="s">
        <v>545</v>
      </c>
      <c r="E257" s="6" t="s">
        <v>1750</v>
      </c>
      <c r="F257" s="6" t="s">
        <v>1751</v>
      </c>
      <c r="G257" s="6" t="s">
        <v>1765</v>
      </c>
      <c r="H257" s="5"/>
      <c r="I257" s="6" t="s">
        <v>1753</v>
      </c>
    </row>
    <row r="258" customFormat="false" ht="35.05" hidden="false" customHeight="false" outlineLevel="0" collapsed="false">
      <c r="A258" s="5" t="s">
        <v>1772</v>
      </c>
      <c r="B258" s="5" t="s">
        <v>497</v>
      </c>
      <c r="C258" s="5" t="s">
        <v>541</v>
      </c>
      <c r="D258" s="5" t="s">
        <v>545</v>
      </c>
      <c r="E258" s="6" t="s">
        <v>1730</v>
      </c>
      <c r="F258" s="6"/>
      <c r="G258" s="6" t="s">
        <v>1766</v>
      </c>
      <c r="H258" s="5"/>
      <c r="I258" s="6"/>
    </row>
    <row r="259" customFormat="false" ht="23.85" hidden="false" customHeight="false" outlineLevel="0" collapsed="false">
      <c r="A259" s="5" t="s">
        <v>1777</v>
      </c>
      <c r="B259" s="5" t="s">
        <v>497</v>
      </c>
      <c r="C259" s="5" t="s">
        <v>549</v>
      </c>
      <c r="D259" s="5" t="s">
        <v>550</v>
      </c>
      <c r="E259" s="6" t="s">
        <v>1720</v>
      </c>
      <c r="F259" s="6" t="s">
        <v>1757</v>
      </c>
      <c r="G259" s="6" t="s">
        <v>1734</v>
      </c>
      <c r="H259" s="5"/>
      <c r="I259" s="6" t="s">
        <v>1723</v>
      </c>
    </row>
    <row r="260" customFormat="false" ht="15" hidden="false" customHeight="false" outlineLevel="0" collapsed="false">
      <c r="A260" s="5" t="s">
        <v>1777</v>
      </c>
      <c r="B260" s="5" t="s">
        <v>497</v>
      </c>
      <c r="C260" s="5" t="s">
        <v>549</v>
      </c>
      <c r="D260" s="5" t="s">
        <v>550</v>
      </c>
      <c r="E260" s="6" t="s">
        <v>1735</v>
      </c>
      <c r="F260" s="6" t="s">
        <v>877</v>
      </c>
      <c r="G260" s="6" t="s">
        <v>1773</v>
      </c>
      <c r="H260" s="5"/>
      <c r="I260" s="6" t="s">
        <v>1769</v>
      </c>
    </row>
    <row r="261" customFormat="false" ht="15" hidden="false" customHeight="false" outlineLevel="0" collapsed="false">
      <c r="A261" s="5" t="s">
        <v>1777</v>
      </c>
      <c r="B261" s="5" t="s">
        <v>497</v>
      </c>
      <c r="C261" s="5" t="s">
        <v>549</v>
      </c>
      <c r="D261" s="5" t="s">
        <v>550</v>
      </c>
      <c r="E261" s="6" t="s">
        <v>1746</v>
      </c>
      <c r="F261" s="6" t="s">
        <v>800</v>
      </c>
      <c r="G261" s="6" t="s">
        <v>1763</v>
      </c>
      <c r="H261" s="5"/>
      <c r="I261" s="6" t="s">
        <v>1769</v>
      </c>
    </row>
    <row r="262" customFormat="false" ht="15" hidden="false" customHeight="false" outlineLevel="0" collapsed="false">
      <c r="A262" s="5" t="s">
        <v>1777</v>
      </c>
      <c r="B262" s="5" t="s">
        <v>497</v>
      </c>
      <c r="C262" s="5" t="s">
        <v>549</v>
      </c>
      <c r="D262" s="5" t="s">
        <v>550</v>
      </c>
      <c r="E262" s="6" t="s">
        <v>1743</v>
      </c>
      <c r="F262" s="6" t="s">
        <v>794</v>
      </c>
      <c r="G262" s="6" t="s">
        <v>1778</v>
      </c>
      <c r="H262" s="5"/>
      <c r="I262" s="6" t="s">
        <v>1769</v>
      </c>
    </row>
    <row r="263" customFormat="false" ht="15" hidden="false" customHeight="false" outlineLevel="0" collapsed="false">
      <c r="A263" s="5" t="s">
        <v>1777</v>
      </c>
      <c r="B263" s="5" t="s">
        <v>497</v>
      </c>
      <c r="C263" s="5" t="s">
        <v>549</v>
      </c>
      <c r="D263" s="5" t="s">
        <v>550</v>
      </c>
      <c r="E263" s="6" t="s">
        <v>1739</v>
      </c>
      <c r="F263" s="6" t="s">
        <v>1740</v>
      </c>
      <c r="G263" s="6" t="s">
        <v>1741</v>
      </c>
      <c r="H263" s="5"/>
      <c r="I263" s="6" t="s">
        <v>1769</v>
      </c>
    </row>
    <row r="264" customFormat="false" ht="35.05" hidden="false" customHeight="false" outlineLevel="0" collapsed="false">
      <c r="A264" s="5" t="s">
        <v>1777</v>
      </c>
      <c r="B264" s="5" t="s">
        <v>497</v>
      </c>
      <c r="C264" s="5" t="s">
        <v>549</v>
      </c>
      <c r="D264" s="5" t="s">
        <v>550</v>
      </c>
      <c r="E264" s="6" t="s">
        <v>1724</v>
      </c>
      <c r="F264" s="6"/>
      <c r="G264" s="6" t="s">
        <v>1764</v>
      </c>
      <c r="H264" s="5"/>
      <c r="I264" s="6"/>
    </row>
    <row r="265" customFormat="false" ht="23.85" hidden="false" customHeight="false" outlineLevel="0" collapsed="false">
      <c r="A265" s="5" t="s">
        <v>1777</v>
      </c>
      <c r="B265" s="5" t="s">
        <v>497</v>
      </c>
      <c r="C265" s="5" t="s">
        <v>549</v>
      </c>
      <c r="D265" s="5" t="s">
        <v>550</v>
      </c>
      <c r="E265" s="6" t="s">
        <v>1750</v>
      </c>
      <c r="F265" s="6" t="s">
        <v>1751</v>
      </c>
      <c r="G265" s="6" t="s">
        <v>1765</v>
      </c>
      <c r="H265" s="5"/>
      <c r="I265" s="6" t="s">
        <v>1753</v>
      </c>
    </row>
    <row r="266" customFormat="false" ht="35.05" hidden="false" customHeight="false" outlineLevel="0" collapsed="false">
      <c r="A266" s="5" t="s">
        <v>1777</v>
      </c>
      <c r="B266" s="5" t="s">
        <v>497</v>
      </c>
      <c r="C266" s="5" t="s">
        <v>549</v>
      </c>
      <c r="D266" s="5" t="s">
        <v>550</v>
      </c>
      <c r="E266" s="6" t="s">
        <v>1730</v>
      </c>
      <c r="F266" s="6"/>
      <c r="G266" s="6" t="s">
        <v>1766</v>
      </c>
      <c r="H266" s="5"/>
      <c r="I266" s="6"/>
    </row>
    <row r="267" customFormat="false" ht="23.85" hidden="false" customHeight="false" outlineLevel="0" collapsed="false">
      <c r="A267" s="5" t="s">
        <v>1779</v>
      </c>
      <c r="B267" s="5" t="s">
        <v>497</v>
      </c>
      <c r="C267" s="5" t="s">
        <v>554</v>
      </c>
      <c r="D267" s="5" t="s">
        <v>557</v>
      </c>
      <c r="E267" s="6" t="s">
        <v>1720</v>
      </c>
      <c r="F267" s="6" t="s">
        <v>1757</v>
      </c>
      <c r="G267" s="6" t="s">
        <v>1734</v>
      </c>
      <c r="H267" s="5"/>
      <c r="I267" s="6" t="s">
        <v>1723</v>
      </c>
    </row>
    <row r="268" customFormat="false" ht="15" hidden="false" customHeight="false" outlineLevel="0" collapsed="false">
      <c r="A268" s="5" t="s">
        <v>1779</v>
      </c>
      <c r="B268" s="5" t="s">
        <v>497</v>
      </c>
      <c r="C268" s="5" t="s">
        <v>554</v>
      </c>
      <c r="D268" s="5" t="s">
        <v>557</v>
      </c>
      <c r="E268" s="6" t="s">
        <v>1735</v>
      </c>
      <c r="F268" s="6" t="s">
        <v>877</v>
      </c>
      <c r="G268" s="6" t="s">
        <v>1741</v>
      </c>
      <c r="H268" s="5"/>
      <c r="I268" s="6" t="s">
        <v>1738</v>
      </c>
    </row>
    <row r="269" customFormat="false" ht="15" hidden="false" customHeight="false" outlineLevel="0" collapsed="false">
      <c r="A269" s="5" t="s">
        <v>1779</v>
      </c>
      <c r="B269" s="5" t="s">
        <v>497</v>
      </c>
      <c r="C269" s="5" t="s">
        <v>554</v>
      </c>
      <c r="D269" s="5" t="s">
        <v>557</v>
      </c>
      <c r="E269" s="6" t="s">
        <v>1739</v>
      </c>
      <c r="F269" s="6" t="s">
        <v>1740</v>
      </c>
      <c r="G269" s="6" t="s">
        <v>1741</v>
      </c>
      <c r="H269" s="5"/>
      <c r="I269" s="6" t="s">
        <v>1742</v>
      </c>
    </row>
    <row r="270" customFormat="false" ht="15" hidden="false" customHeight="false" outlineLevel="0" collapsed="false">
      <c r="A270" s="5" t="s">
        <v>1779</v>
      </c>
      <c r="B270" s="5" t="s">
        <v>497</v>
      </c>
      <c r="C270" s="5" t="s">
        <v>554</v>
      </c>
      <c r="D270" s="5" t="s">
        <v>557</v>
      </c>
      <c r="E270" s="6" t="s">
        <v>1743</v>
      </c>
      <c r="F270" s="6" t="s">
        <v>794</v>
      </c>
      <c r="G270" s="6" t="s">
        <v>1741</v>
      </c>
      <c r="H270" s="5"/>
      <c r="I270" s="6" t="s">
        <v>1745</v>
      </c>
    </row>
    <row r="271" customFormat="false" ht="15" hidden="false" customHeight="false" outlineLevel="0" collapsed="false">
      <c r="A271" s="5" t="s">
        <v>1779</v>
      </c>
      <c r="B271" s="5" t="s">
        <v>497</v>
      </c>
      <c r="C271" s="5" t="s">
        <v>554</v>
      </c>
      <c r="D271" s="5" t="s">
        <v>557</v>
      </c>
      <c r="E271" s="6" t="s">
        <v>1746</v>
      </c>
      <c r="F271" s="6" t="s">
        <v>800</v>
      </c>
      <c r="G271" s="6" t="s">
        <v>1741</v>
      </c>
      <c r="H271" s="5"/>
      <c r="I271" s="6" t="s">
        <v>1738</v>
      </c>
    </row>
    <row r="272" customFormat="false" ht="35.05" hidden="false" customHeight="false" outlineLevel="0" collapsed="false">
      <c r="A272" s="5" t="s">
        <v>1779</v>
      </c>
      <c r="B272" s="5" t="s">
        <v>497</v>
      </c>
      <c r="C272" s="5" t="s">
        <v>554</v>
      </c>
      <c r="D272" s="5" t="s">
        <v>557</v>
      </c>
      <c r="E272" s="6" t="s">
        <v>1724</v>
      </c>
      <c r="F272" s="6"/>
      <c r="G272" s="6" t="s">
        <v>1764</v>
      </c>
      <c r="H272" s="5"/>
      <c r="I272" s="6"/>
    </row>
    <row r="273" customFormat="false" ht="23.85" hidden="false" customHeight="false" outlineLevel="0" collapsed="false">
      <c r="A273" s="5" t="s">
        <v>1779</v>
      </c>
      <c r="B273" s="5" t="s">
        <v>497</v>
      </c>
      <c r="C273" s="5" t="s">
        <v>554</v>
      </c>
      <c r="D273" s="5" t="s">
        <v>557</v>
      </c>
      <c r="E273" s="6" t="s">
        <v>1750</v>
      </c>
      <c r="F273" s="6" t="s">
        <v>1751</v>
      </c>
      <c r="G273" s="6" t="s">
        <v>1765</v>
      </c>
      <c r="H273" s="5"/>
      <c r="I273" s="6" t="s">
        <v>1753</v>
      </c>
    </row>
    <row r="274" customFormat="false" ht="35.05" hidden="false" customHeight="false" outlineLevel="0" collapsed="false">
      <c r="A274" s="5" t="s">
        <v>1779</v>
      </c>
      <c r="B274" s="5" t="s">
        <v>497</v>
      </c>
      <c r="C274" s="5" t="s">
        <v>554</v>
      </c>
      <c r="D274" s="5" t="s">
        <v>557</v>
      </c>
      <c r="E274" s="6" t="s">
        <v>1730</v>
      </c>
      <c r="F274" s="6"/>
      <c r="G274" s="6" t="s">
        <v>1766</v>
      </c>
      <c r="H274" s="5"/>
      <c r="I274" s="6"/>
    </row>
    <row r="275" customFormat="false" ht="23.85" hidden="false" customHeight="false" outlineLevel="0" collapsed="false">
      <c r="A275" s="5" t="s">
        <v>1780</v>
      </c>
      <c r="B275" s="5" t="s">
        <v>497</v>
      </c>
      <c r="C275" s="5" t="s">
        <v>561</v>
      </c>
      <c r="D275" s="5" t="s">
        <v>562</v>
      </c>
      <c r="E275" s="6" t="s">
        <v>1720</v>
      </c>
      <c r="F275" s="6" t="s">
        <v>1757</v>
      </c>
      <c r="G275" s="6" t="s">
        <v>1734</v>
      </c>
      <c r="H275" s="5"/>
      <c r="I275" s="6" t="s">
        <v>1723</v>
      </c>
    </row>
    <row r="276" customFormat="false" ht="15" hidden="false" customHeight="false" outlineLevel="0" collapsed="false">
      <c r="A276" s="5" t="s">
        <v>1780</v>
      </c>
      <c r="B276" s="5" t="s">
        <v>497</v>
      </c>
      <c r="C276" s="5" t="s">
        <v>561</v>
      </c>
      <c r="D276" s="5" t="s">
        <v>562</v>
      </c>
      <c r="E276" s="6" t="s">
        <v>1735</v>
      </c>
      <c r="F276" s="6" t="s">
        <v>877</v>
      </c>
      <c r="G276" s="6" t="s">
        <v>1741</v>
      </c>
      <c r="H276" s="5"/>
      <c r="I276" s="6" t="s">
        <v>1738</v>
      </c>
    </row>
    <row r="277" customFormat="false" ht="15" hidden="false" customHeight="false" outlineLevel="0" collapsed="false">
      <c r="A277" s="5" t="s">
        <v>1780</v>
      </c>
      <c r="B277" s="5" t="s">
        <v>497</v>
      </c>
      <c r="C277" s="5" t="s">
        <v>561</v>
      </c>
      <c r="D277" s="5" t="s">
        <v>562</v>
      </c>
      <c r="E277" s="6" t="s">
        <v>1739</v>
      </c>
      <c r="F277" s="6" t="s">
        <v>1740</v>
      </c>
      <c r="G277" s="6" t="s">
        <v>1741</v>
      </c>
      <c r="H277" s="5"/>
      <c r="I277" s="6" t="s">
        <v>1742</v>
      </c>
    </row>
    <row r="278" customFormat="false" ht="15" hidden="false" customHeight="false" outlineLevel="0" collapsed="false">
      <c r="A278" s="5" t="s">
        <v>1780</v>
      </c>
      <c r="B278" s="5" t="s">
        <v>497</v>
      </c>
      <c r="C278" s="5" t="s">
        <v>561</v>
      </c>
      <c r="D278" s="5" t="s">
        <v>562</v>
      </c>
      <c r="E278" s="6" t="s">
        <v>1743</v>
      </c>
      <c r="F278" s="6" t="s">
        <v>794</v>
      </c>
      <c r="G278" s="6" t="s">
        <v>1741</v>
      </c>
      <c r="H278" s="5"/>
      <c r="I278" s="6" t="s">
        <v>1745</v>
      </c>
    </row>
    <row r="279" customFormat="false" ht="15" hidden="false" customHeight="false" outlineLevel="0" collapsed="false">
      <c r="A279" s="5" t="s">
        <v>1780</v>
      </c>
      <c r="B279" s="5" t="s">
        <v>497</v>
      </c>
      <c r="C279" s="5" t="s">
        <v>561</v>
      </c>
      <c r="D279" s="5" t="s">
        <v>562</v>
      </c>
      <c r="E279" s="6" t="s">
        <v>1746</v>
      </c>
      <c r="F279" s="6" t="s">
        <v>800</v>
      </c>
      <c r="G279" s="6" t="s">
        <v>1741</v>
      </c>
      <c r="H279" s="5"/>
      <c r="I279" s="6" t="s">
        <v>1738</v>
      </c>
    </row>
    <row r="280" customFormat="false" ht="35.05" hidden="false" customHeight="false" outlineLevel="0" collapsed="false">
      <c r="A280" s="5" t="s">
        <v>1780</v>
      </c>
      <c r="B280" s="5" t="s">
        <v>497</v>
      </c>
      <c r="C280" s="5" t="s">
        <v>561</v>
      </c>
      <c r="D280" s="5" t="s">
        <v>562</v>
      </c>
      <c r="E280" s="6" t="s">
        <v>1724</v>
      </c>
      <c r="F280" s="6"/>
      <c r="G280" s="6" t="s">
        <v>1764</v>
      </c>
      <c r="H280" s="5"/>
      <c r="I280" s="6"/>
    </row>
    <row r="281" customFormat="false" ht="23.85" hidden="false" customHeight="false" outlineLevel="0" collapsed="false">
      <c r="A281" s="5" t="s">
        <v>1780</v>
      </c>
      <c r="B281" s="5" t="s">
        <v>497</v>
      </c>
      <c r="C281" s="5" t="s">
        <v>561</v>
      </c>
      <c r="D281" s="5" t="s">
        <v>562</v>
      </c>
      <c r="E281" s="6" t="s">
        <v>1750</v>
      </c>
      <c r="F281" s="6" t="s">
        <v>1751</v>
      </c>
      <c r="G281" s="6" t="s">
        <v>1765</v>
      </c>
      <c r="H281" s="5"/>
      <c r="I281" s="6" t="s">
        <v>1753</v>
      </c>
    </row>
    <row r="282" customFormat="false" ht="35.05" hidden="false" customHeight="false" outlineLevel="0" collapsed="false">
      <c r="A282" s="5" t="s">
        <v>1780</v>
      </c>
      <c r="B282" s="5" t="s">
        <v>497</v>
      </c>
      <c r="C282" s="5" t="s">
        <v>561</v>
      </c>
      <c r="D282" s="5" t="s">
        <v>562</v>
      </c>
      <c r="E282" s="6" t="s">
        <v>1730</v>
      </c>
      <c r="F282" s="6"/>
      <c r="G282" s="6" t="s">
        <v>1766</v>
      </c>
      <c r="H282" s="5"/>
      <c r="I282" s="6"/>
    </row>
    <row r="283" customFormat="false" ht="23.85" hidden="false" customHeight="false" outlineLevel="0" collapsed="false">
      <c r="A283" s="5" t="s">
        <v>1781</v>
      </c>
      <c r="B283" s="5" t="s">
        <v>497</v>
      </c>
      <c r="C283" s="5" t="s">
        <v>566</v>
      </c>
      <c r="D283" s="5" t="s">
        <v>569</v>
      </c>
      <c r="E283" s="6" t="s">
        <v>1720</v>
      </c>
      <c r="F283" s="6" t="s">
        <v>1757</v>
      </c>
      <c r="G283" s="6" t="s">
        <v>1722</v>
      </c>
      <c r="H283" s="5"/>
      <c r="I283" s="6" t="s">
        <v>1723</v>
      </c>
    </row>
    <row r="284" customFormat="false" ht="15" hidden="false" customHeight="false" outlineLevel="0" collapsed="false">
      <c r="A284" s="5" t="s">
        <v>1781</v>
      </c>
      <c r="B284" s="5" t="s">
        <v>497</v>
      </c>
      <c r="C284" s="5" t="s">
        <v>566</v>
      </c>
      <c r="D284" s="5" t="s">
        <v>569</v>
      </c>
      <c r="E284" s="6" t="s">
        <v>1782</v>
      </c>
      <c r="F284" s="6" t="s">
        <v>1747</v>
      </c>
      <c r="G284" s="6" t="s">
        <v>1783</v>
      </c>
      <c r="H284" s="5"/>
      <c r="I284" s="6" t="s">
        <v>1723</v>
      </c>
    </row>
    <row r="285" customFormat="false" ht="15" hidden="false" customHeight="false" outlineLevel="0" collapsed="false">
      <c r="A285" s="5" t="s">
        <v>1781</v>
      </c>
      <c r="B285" s="5" t="s">
        <v>497</v>
      </c>
      <c r="C285" s="5" t="s">
        <v>566</v>
      </c>
      <c r="D285" s="5" t="s">
        <v>569</v>
      </c>
      <c r="E285" s="6" t="s">
        <v>1735</v>
      </c>
      <c r="F285" s="6" t="s">
        <v>877</v>
      </c>
      <c r="G285" s="6" t="s">
        <v>1784</v>
      </c>
      <c r="H285" s="5"/>
      <c r="I285" s="6" t="s">
        <v>1769</v>
      </c>
    </row>
    <row r="286" customFormat="false" ht="15" hidden="false" customHeight="false" outlineLevel="0" collapsed="false">
      <c r="A286" s="5" t="s">
        <v>1781</v>
      </c>
      <c r="B286" s="5" t="s">
        <v>497</v>
      </c>
      <c r="C286" s="5" t="s">
        <v>566</v>
      </c>
      <c r="D286" s="5" t="s">
        <v>569</v>
      </c>
      <c r="E286" s="6" t="s">
        <v>1746</v>
      </c>
      <c r="F286" s="6" t="s">
        <v>800</v>
      </c>
      <c r="G286" s="6" t="s">
        <v>1778</v>
      </c>
      <c r="H286" s="5"/>
      <c r="I286" s="6" t="s">
        <v>1769</v>
      </c>
    </row>
    <row r="287" customFormat="false" ht="15" hidden="false" customHeight="false" outlineLevel="0" collapsed="false">
      <c r="A287" s="5" t="s">
        <v>1781</v>
      </c>
      <c r="B287" s="5" t="s">
        <v>497</v>
      </c>
      <c r="C287" s="5" t="s">
        <v>566</v>
      </c>
      <c r="D287" s="5" t="s">
        <v>569</v>
      </c>
      <c r="E287" s="6" t="s">
        <v>1743</v>
      </c>
      <c r="F287" s="6" t="s">
        <v>794</v>
      </c>
      <c r="G287" s="6" t="s">
        <v>1785</v>
      </c>
      <c r="H287" s="5"/>
      <c r="I287" s="6" t="s">
        <v>1769</v>
      </c>
    </row>
    <row r="288" customFormat="false" ht="15" hidden="false" customHeight="false" outlineLevel="0" collapsed="false">
      <c r="A288" s="5" t="s">
        <v>1781</v>
      </c>
      <c r="B288" s="5" t="s">
        <v>497</v>
      </c>
      <c r="C288" s="5" t="s">
        <v>566</v>
      </c>
      <c r="D288" s="5" t="s">
        <v>569</v>
      </c>
      <c r="E288" s="6" t="s">
        <v>1739</v>
      </c>
      <c r="F288" s="6" t="s">
        <v>1740</v>
      </c>
      <c r="G288" s="6" t="s">
        <v>1786</v>
      </c>
      <c r="H288" s="5"/>
      <c r="I288" s="6" t="s">
        <v>1769</v>
      </c>
    </row>
    <row r="289" customFormat="false" ht="35.05" hidden="false" customHeight="false" outlineLevel="0" collapsed="false">
      <c r="A289" s="5" t="s">
        <v>1781</v>
      </c>
      <c r="B289" s="5" t="s">
        <v>497</v>
      </c>
      <c r="C289" s="5" t="s">
        <v>566</v>
      </c>
      <c r="D289" s="5" t="s">
        <v>569</v>
      </c>
      <c r="E289" s="6" t="s">
        <v>1724</v>
      </c>
      <c r="F289" s="6"/>
      <c r="G289" s="6" t="s">
        <v>1764</v>
      </c>
      <c r="H289" s="5"/>
      <c r="I289" s="6"/>
    </row>
    <row r="290" customFormat="false" ht="23.85" hidden="false" customHeight="false" outlineLevel="0" collapsed="false">
      <c r="A290" s="5" t="s">
        <v>1781</v>
      </c>
      <c r="B290" s="5" t="s">
        <v>497</v>
      </c>
      <c r="C290" s="5" t="s">
        <v>566</v>
      </c>
      <c r="D290" s="5" t="s">
        <v>569</v>
      </c>
      <c r="E290" s="6" t="s">
        <v>1750</v>
      </c>
      <c r="F290" s="6" t="s">
        <v>1751</v>
      </c>
      <c r="G290" s="6" t="s">
        <v>1765</v>
      </c>
      <c r="H290" s="5"/>
      <c r="I290" s="6" t="s">
        <v>1753</v>
      </c>
    </row>
    <row r="291" customFormat="false" ht="35.05" hidden="false" customHeight="false" outlineLevel="0" collapsed="false">
      <c r="A291" s="5" t="s">
        <v>1781</v>
      </c>
      <c r="B291" s="5" t="s">
        <v>497</v>
      </c>
      <c r="C291" s="5" t="s">
        <v>566</v>
      </c>
      <c r="D291" s="5" t="s">
        <v>569</v>
      </c>
      <c r="E291" s="6" t="s">
        <v>1730</v>
      </c>
      <c r="F291" s="6"/>
      <c r="G291" s="6" t="s">
        <v>1766</v>
      </c>
      <c r="H291" s="5"/>
      <c r="I291" s="6"/>
    </row>
    <row r="292" customFormat="false" ht="23.85" hidden="false" customHeight="false" outlineLevel="0" collapsed="false">
      <c r="A292" s="5" t="s">
        <v>1787</v>
      </c>
      <c r="B292" s="5" t="s">
        <v>497</v>
      </c>
      <c r="C292" s="5" t="s">
        <v>573</v>
      </c>
      <c r="D292" s="5" t="s">
        <v>574</v>
      </c>
      <c r="E292" s="6" t="s">
        <v>1720</v>
      </c>
      <c r="F292" s="6" t="s">
        <v>1757</v>
      </c>
      <c r="G292" s="6" t="s">
        <v>1734</v>
      </c>
      <c r="H292" s="5"/>
      <c r="I292" s="6" t="s">
        <v>1723</v>
      </c>
    </row>
    <row r="293" customFormat="false" ht="15" hidden="false" customHeight="false" outlineLevel="0" collapsed="false">
      <c r="A293" s="5" t="s">
        <v>1787</v>
      </c>
      <c r="B293" s="5" t="s">
        <v>497</v>
      </c>
      <c r="C293" s="5" t="s">
        <v>573</v>
      </c>
      <c r="D293" s="5" t="s">
        <v>574</v>
      </c>
      <c r="E293" s="6" t="s">
        <v>1735</v>
      </c>
      <c r="F293" s="6" t="s">
        <v>877</v>
      </c>
      <c r="G293" s="6" t="s">
        <v>1788</v>
      </c>
      <c r="H293" s="5"/>
      <c r="I293" s="6" t="s">
        <v>1769</v>
      </c>
    </row>
    <row r="294" customFormat="false" ht="15" hidden="false" customHeight="false" outlineLevel="0" collapsed="false">
      <c r="A294" s="5" t="s">
        <v>1787</v>
      </c>
      <c r="B294" s="5" t="s">
        <v>497</v>
      </c>
      <c r="C294" s="5" t="s">
        <v>573</v>
      </c>
      <c r="D294" s="5" t="s">
        <v>574</v>
      </c>
      <c r="E294" s="6" t="s">
        <v>1746</v>
      </c>
      <c r="F294" s="6" t="s">
        <v>800</v>
      </c>
      <c r="G294" s="6" t="s">
        <v>1789</v>
      </c>
      <c r="H294" s="5"/>
      <c r="I294" s="6" t="s">
        <v>1769</v>
      </c>
    </row>
    <row r="295" customFormat="false" ht="15" hidden="false" customHeight="false" outlineLevel="0" collapsed="false">
      <c r="A295" s="5" t="s">
        <v>1787</v>
      </c>
      <c r="B295" s="5" t="s">
        <v>497</v>
      </c>
      <c r="C295" s="5" t="s">
        <v>573</v>
      </c>
      <c r="D295" s="5" t="s">
        <v>574</v>
      </c>
      <c r="E295" s="6" t="s">
        <v>1743</v>
      </c>
      <c r="F295" s="6" t="s">
        <v>794</v>
      </c>
      <c r="G295" s="6" t="s">
        <v>1790</v>
      </c>
      <c r="H295" s="5"/>
      <c r="I295" s="6" t="s">
        <v>1769</v>
      </c>
    </row>
    <row r="296" customFormat="false" ht="15" hidden="false" customHeight="false" outlineLevel="0" collapsed="false">
      <c r="A296" s="5" t="s">
        <v>1787</v>
      </c>
      <c r="B296" s="5" t="s">
        <v>497</v>
      </c>
      <c r="C296" s="5" t="s">
        <v>573</v>
      </c>
      <c r="D296" s="5" t="s">
        <v>574</v>
      </c>
      <c r="E296" s="6" t="s">
        <v>1739</v>
      </c>
      <c r="F296" s="6" t="s">
        <v>1740</v>
      </c>
      <c r="G296" s="6" t="s">
        <v>1791</v>
      </c>
      <c r="H296" s="5"/>
      <c r="I296" s="6" t="s">
        <v>1769</v>
      </c>
    </row>
    <row r="297" customFormat="false" ht="35.05" hidden="false" customHeight="false" outlineLevel="0" collapsed="false">
      <c r="A297" s="5" t="s">
        <v>1787</v>
      </c>
      <c r="B297" s="5" t="s">
        <v>497</v>
      </c>
      <c r="C297" s="5" t="s">
        <v>573</v>
      </c>
      <c r="D297" s="5" t="s">
        <v>574</v>
      </c>
      <c r="E297" s="6" t="s">
        <v>1724</v>
      </c>
      <c r="F297" s="6"/>
      <c r="G297" s="6" t="s">
        <v>1764</v>
      </c>
      <c r="H297" s="5"/>
      <c r="I297" s="6"/>
    </row>
    <row r="298" customFormat="false" ht="23.85" hidden="false" customHeight="false" outlineLevel="0" collapsed="false">
      <c r="A298" s="5" t="s">
        <v>1787</v>
      </c>
      <c r="B298" s="5" t="s">
        <v>497</v>
      </c>
      <c r="C298" s="5" t="s">
        <v>573</v>
      </c>
      <c r="D298" s="5" t="s">
        <v>574</v>
      </c>
      <c r="E298" s="6" t="s">
        <v>1750</v>
      </c>
      <c r="F298" s="6" t="s">
        <v>1751</v>
      </c>
      <c r="G298" s="6" t="s">
        <v>1765</v>
      </c>
      <c r="H298" s="5"/>
      <c r="I298" s="6" t="s">
        <v>1753</v>
      </c>
    </row>
    <row r="299" customFormat="false" ht="35.05" hidden="false" customHeight="false" outlineLevel="0" collapsed="false">
      <c r="A299" s="5" t="s">
        <v>1787</v>
      </c>
      <c r="B299" s="5" t="s">
        <v>497</v>
      </c>
      <c r="C299" s="5" t="s">
        <v>573</v>
      </c>
      <c r="D299" s="5" t="s">
        <v>574</v>
      </c>
      <c r="E299" s="6" t="s">
        <v>1730</v>
      </c>
      <c r="F299" s="6"/>
      <c r="G299" s="6" t="s">
        <v>1766</v>
      </c>
      <c r="H299" s="5"/>
      <c r="I299" s="6"/>
    </row>
    <row r="300" customFormat="false" ht="23.85" hidden="false" customHeight="false" outlineLevel="0" collapsed="false">
      <c r="A300" s="5" t="s">
        <v>1792</v>
      </c>
      <c r="B300" s="5" t="s">
        <v>497</v>
      </c>
      <c r="C300" s="5" t="s">
        <v>579</v>
      </c>
      <c r="D300" s="5" t="s">
        <v>582</v>
      </c>
      <c r="E300" s="6" t="s">
        <v>1720</v>
      </c>
      <c r="F300" s="6" t="s">
        <v>1757</v>
      </c>
      <c r="G300" s="6" t="s">
        <v>1734</v>
      </c>
      <c r="H300" s="5"/>
      <c r="I300" s="6" t="s">
        <v>1723</v>
      </c>
    </row>
    <row r="301" customFormat="false" ht="15" hidden="false" customHeight="false" outlineLevel="0" collapsed="false">
      <c r="A301" s="5" t="s">
        <v>1792</v>
      </c>
      <c r="B301" s="5" t="s">
        <v>497</v>
      </c>
      <c r="C301" s="5" t="s">
        <v>579</v>
      </c>
      <c r="D301" s="5" t="s">
        <v>582</v>
      </c>
      <c r="E301" s="6" t="s">
        <v>1735</v>
      </c>
      <c r="F301" s="6" t="s">
        <v>877</v>
      </c>
      <c r="G301" s="6" t="s">
        <v>1741</v>
      </c>
      <c r="H301" s="5"/>
      <c r="I301" s="6" t="s">
        <v>1738</v>
      </c>
    </row>
    <row r="302" customFormat="false" ht="15" hidden="false" customHeight="false" outlineLevel="0" collapsed="false">
      <c r="A302" s="5" t="s">
        <v>1792</v>
      </c>
      <c r="B302" s="5" t="s">
        <v>497</v>
      </c>
      <c r="C302" s="5" t="s">
        <v>579</v>
      </c>
      <c r="D302" s="5" t="s">
        <v>582</v>
      </c>
      <c r="E302" s="6" t="s">
        <v>1739</v>
      </c>
      <c r="F302" s="6" t="s">
        <v>1740</v>
      </c>
      <c r="G302" s="6" t="s">
        <v>1741</v>
      </c>
      <c r="H302" s="5"/>
      <c r="I302" s="6" t="s">
        <v>1742</v>
      </c>
    </row>
    <row r="303" customFormat="false" ht="15" hidden="false" customHeight="false" outlineLevel="0" collapsed="false">
      <c r="A303" s="5" t="s">
        <v>1792</v>
      </c>
      <c r="B303" s="5" t="s">
        <v>497</v>
      </c>
      <c r="C303" s="5" t="s">
        <v>579</v>
      </c>
      <c r="D303" s="5" t="s">
        <v>582</v>
      </c>
      <c r="E303" s="6" t="s">
        <v>1743</v>
      </c>
      <c r="F303" s="6" t="s">
        <v>794</v>
      </c>
      <c r="G303" s="6" t="s">
        <v>1793</v>
      </c>
      <c r="H303" s="5"/>
      <c r="I303" s="6" t="s">
        <v>1745</v>
      </c>
    </row>
    <row r="304" customFormat="false" ht="15" hidden="false" customHeight="false" outlineLevel="0" collapsed="false">
      <c r="A304" s="5" t="s">
        <v>1792</v>
      </c>
      <c r="B304" s="5" t="s">
        <v>497</v>
      </c>
      <c r="C304" s="5" t="s">
        <v>579</v>
      </c>
      <c r="D304" s="5" t="s">
        <v>582</v>
      </c>
      <c r="E304" s="6" t="s">
        <v>1746</v>
      </c>
      <c r="F304" s="6" t="s">
        <v>800</v>
      </c>
      <c r="G304" s="6" t="s">
        <v>1741</v>
      </c>
      <c r="H304" s="5"/>
      <c r="I304" s="6" t="s">
        <v>1738</v>
      </c>
    </row>
    <row r="305" customFormat="false" ht="35.05" hidden="false" customHeight="false" outlineLevel="0" collapsed="false">
      <c r="A305" s="5" t="s">
        <v>1792</v>
      </c>
      <c r="B305" s="5" t="s">
        <v>497</v>
      </c>
      <c r="C305" s="5" t="s">
        <v>579</v>
      </c>
      <c r="D305" s="5" t="s">
        <v>582</v>
      </c>
      <c r="E305" s="6" t="s">
        <v>1724</v>
      </c>
      <c r="F305" s="6"/>
      <c r="G305" s="6" t="s">
        <v>1764</v>
      </c>
      <c r="H305" s="5"/>
      <c r="I305" s="6"/>
    </row>
    <row r="306" customFormat="false" ht="23.85" hidden="false" customHeight="false" outlineLevel="0" collapsed="false">
      <c r="A306" s="5" t="s">
        <v>1792</v>
      </c>
      <c r="B306" s="5" t="s">
        <v>497</v>
      </c>
      <c r="C306" s="5" t="s">
        <v>579</v>
      </c>
      <c r="D306" s="5" t="s">
        <v>582</v>
      </c>
      <c r="E306" s="6" t="s">
        <v>1750</v>
      </c>
      <c r="F306" s="6" t="s">
        <v>1751</v>
      </c>
      <c r="G306" s="6" t="s">
        <v>1765</v>
      </c>
      <c r="H306" s="5"/>
      <c r="I306" s="6" t="s">
        <v>1753</v>
      </c>
    </row>
    <row r="307" customFormat="false" ht="35.05" hidden="false" customHeight="false" outlineLevel="0" collapsed="false">
      <c r="A307" s="5" t="s">
        <v>1792</v>
      </c>
      <c r="B307" s="5" t="s">
        <v>497</v>
      </c>
      <c r="C307" s="5" t="s">
        <v>579</v>
      </c>
      <c r="D307" s="5" t="s">
        <v>582</v>
      </c>
      <c r="E307" s="6" t="s">
        <v>1730</v>
      </c>
      <c r="F307" s="6"/>
      <c r="G307" s="6" t="s">
        <v>1766</v>
      </c>
      <c r="H307" s="5"/>
      <c r="I307" s="6"/>
    </row>
    <row r="308" customFormat="false" ht="23.85" hidden="false" customHeight="false" outlineLevel="0" collapsed="false">
      <c r="A308" s="5" t="s">
        <v>1794</v>
      </c>
      <c r="B308" s="5" t="s">
        <v>497</v>
      </c>
      <c r="C308" s="5" t="s">
        <v>587</v>
      </c>
      <c r="D308" s="5" t="s">
        <v>588</v>
      </c>
      <c r="E308" s="6" t="s">
        <v>1720</v>
      </c>
      <c r="F308" s="6" t="s">
        <v>1757</v>
      </c>
      <c r="G308" s="6" t="s">
        <v>1734</v>
      </c>
      <c r="H308" s="5"/>
      <c r="I308" s="6" t="s">
        <v>1723</v>
      </c>
    </row>
    <row r="309" customFormat="false" ht="15" hidden="false" customHeight="false" outlineLevel="0" collapsed="false">
      <c r="A309" s="5" t="s">
        <v>1794</v>
      </c>
      <c r="B309" s="5" t="s">
        <v>497</v>
      </c>
      <c r="C309" s="5" t="s">
        <v>587</v>
      </c>
      <c r="D309" s="5" t="s">
        <v>588</v>
      </c>
      <c r="E309" s="6" t="s">
        <v>1735</v>
      </c>
      <c r="F309" s="6" t="s">
        <v>877</v>
      </c>
      <c r="G309" s="6" t="s">
        <v>1741</v>
      </c>
      <c r="H309" s="5"/>
      <c r="I309" s="6" t="s">
        <v>1738</v>
      </c>
    </row>
    <row r="310" customFormat="false" ht="15" hidden="false" customHeight="false" outlineLevel="0" collapsed="false">
      <c r="A310" s="5" t="s">
        <v>1794</v>
      </c>
      <c r="B310" s="5" t="s">
        <v>497</v>
      </c>
      <c r="C310" s="5" t="s">
        <v>587</v>
      </c>
      <c r="D310" s="5" t="s">
        <v>588</v>
      </c>
      <c r="E310" s="6" t="s">
        <v>1739</v>
      </c>
      <c r="F310" s="6" t="s">
        <v>1740</v>
      </c>
      <c r="G310" s="6" t="s">
        <v>1741</v>
      </c>
      <c r="H310" s="5"/>
      <c r="I310" s="6" t="s">
        <v>1742</v>
      </c>
    </row>
    <row r="311" customFormat="false" ht="15" hidden="false" customHeight="false" outlineLevel="0" collapsed="false">
      <c r="A311" s="5" t="s">
        <v>1794</v>
      </c>
      <c r="B311" s="5" t="s">
        <v>497</v>
      </c>
      <c r="C311" s="5" t="s">
        <v>587</v>
      </c>
      <c r="D311" s="5" t="s">
        <v>588</v>
      </c>
      <c r="E311" s="6" t="s">
        <v>1743</v>
      </c>
      <c r="F311" s="6" t="s">
        <v>794</v>
      </c>
      <c r="G311" s="6" t="s">
        <v>1795</v>
      </c>
      <c r="H311" s="5"/>
      <c r="I311" s="6" t="s">
        <v>1745</v>
      </c>
    </row>
    <row r="312" customFormat="false" ht="15" hidden="false" customHeight="false" outlineLevel="0" collapsed="false">
      <c r="A312" s="5" t="s">
        <v>1794</v>
      </c>
      <c r="B312" s="5" t="s">
        <v>497</v>
      </c>
      <c r="C312" s="5" t="s">
        <v>587</v>
      </c>
      <c r="D312" s="5" t="s">
        <v>588</v>
      </c>
      <c r="E312" s="6" t="s">
        <v>1746</v>
      </c>
      <c r="F312" s="6" t="s">
        <v>800</v>
      </c>
      <c r="G312" s="6" t="s">
        <v>1741</v>
      </c>
      <c r="H312" s="5"/>
      <c r="I312" s="6" t="s">
        <v>1738</v>
      </c>
    </row>
    <row r="313" customFormat="false" ht="35.05" hidden="false" customHeight="false" outlineLevel="0" collapsed="false">
      <c r="A313" s="5" t="s">
        <v>1794</v>
      </c>
      <c r="B313" s="5" t="s">
        <v>497</v>
      </c>
      <c r="C313" s="5" t="s">
        <v>587</v>
      </c>
      <c r="D313" s="5" t="s">
        <v>588</v>
      </c>
      <c r="E313" s="6" t="s">
        <v>1724</v>
      </c>
      <c r="F313" s="6"/>
      <c r="G313" s="6" t="s">
        <v>1764</v>
      </c>
      <c r="H313" s="5"/>
      <c r="I313" s="6"/>
    </row>
    <row r="314" customFormat="false" ht="23.85" hidden="false" customHeight="false" outlineLevel="0" collapsed="false">
      <c r="A314" s="5" t="s">
        <v>1794</v>
      </c>
      <c r="B314" s="5" t="s">
        <v>497</v>
      </c>
      <c r="C314" s="5" t="s">
        <v>587</v>
      </c>
      <c r="D314" s="5" t="s">
        <v>588</v>
      </c>
      <c r="E314" s="6" t="s">
        <v>1750</v>
      </c>
      <c r="F314" s="6" t="s">
        <v>1751</v>
      </c>
      <c r="G314" s="6" t="s">
        <v>1765</v>
      </c>
      <c r="H314" s="5"/>
      <c r="I314" s="6" t="s">
        <v>1753</v>
      </c>
    </row>
    <row r="315" customFormat="false" ht="35.05" hidden="false" customHeight="false" outlineLevel="0" collapsed="false">
      <c r="A315" s="5" t="s">
        <v>1794</v>
      </c>
      <c r="B315" s="5" t="s">
        <v>497</v>
      </c>
      <c r="C315" s="5" t="s">
        <v>587</v>
      </c>
      <c r="D315" s="5" t="s">
        <v>588</v>
      </c>
      <c r="E315" s="6" t="s">
        <v>1730</v>
      </c>
      <c r="F315" s="6"/>
      <c r="G315" s="6" t="s">
        <v>1766</v>
      </c>
      <c r="H315" s="5"/>
      <c r="I315" s="6"/>
    </row>
    <row r="316" customFormat="false" ht="23.85" hidden="false" customHeight="false" outlineLevel="0" collapsed="false">
      <c r="A316" s="5" t="s">
        <v>1796</v>
      </c>
      <c r="B316" s="5" t="s">
        <v>497</v>
      </c>
      <c r="C316" s="5" t="s">
        <v>593</v>
      </c>
      <c r="D316" s="5" t="s">
        <v>594</v>
      </c>
      <c r="E316" s="6" t="s">
        <v>1720</v>
      </c>
      <c r="F316" s="6" t="s">
        <v>1757</v>
      </c>
      <c r="G316" s="6" t="s">
        <v>1734</v>
      </c>
      <c r="H316" s="5"/>
      <c r="I316" s="6" t="s">
        <v>1723</v>
      </c>
    </row>
    <row r="317" customFormat="false" ht="15" hidden="false" customHeight="false" outlineLevel="0" collapsed="false">
      <c r="A317" s="5" t="s">
        <v>1796</v>
      </c>
      <c r="B317" s="5" t="s">
        <v>497</v>
      </c>
      <c r="C317" s="5" t="s">
        <v>593</v>
      </c>
      <c r="D317" s="5" t="s">
        <v>594</v>
      </c>
      <c r="E317" s="6" t="s">
        <v>1735</v>
      </c>
      <c r="F317" s="6" t="s">
        <v>877</v>
      </c>
      <c r="G317" s="6" t="s">
        <v>1741</v>
      </c>
      <c r="H317" s="5"/>
      <c r="I317" s="6" t="s">
        <v>1738</v>
      </c>
    </row>
    <row r="318" customFormat="false" ht="15" hidden="false" customHeight="false" outlineLevel="0" collapsed="false">
      <c r="A318" s="5" t="s">
        <v>1796</v>
      </c>
      <c r="B318" s="5" t="s">
        <v>497</v>
      </c>
      <c r="C318" s="5" t="s">
        <v>593</v>
      </c>
      <c r="D318" s="5" t="s">
        <v>594</v>
      </c>
      <c r="E318" s="6" t="s">
        <v>1739</v>
      </c>
      <c r="F318" s="6" t="s">
        <v>1740</v>
      </c>
      <c r="G318" s="6" t="s">
        <v>1741</v>
      </c>
      <c r="H318" s="5"/>
      <c r="I318" s="6" t="s">
        <v>1742</v>
      </c>
    </row>
    <row r="319" customFormat="false" ht="15" hidden="false" customHeight="false" outlineLevel="0" collapsed="false">
      <c r="A319" s="5" t="s">
        <v>1796</v>
      </c>
      <c r="B319" s="5" t="s">
        <v>497</v>
      </c>
      <c r="C319" s="5" t="s">
        <v>593</v>
      </c>
      <c r="D319" s="5" t="s">
        <v>594</v>
      </c>
      <c r="E319" s="6" t="s">
        <v>1743</v>
      </c>
      <c r="F319" s="6" t="s">
        <v>794</v>
      </c>
      <c r="G319" s="6" t="s">
        <v>1797</v>
      </c>
      <c r="H319" s="5"/>
      <c r="I319" s="6" t="s">
        <v>1745</v>
      </c>
    </row>
    <row r="320" customFormat="false" ht="15" hidden="false" customHeight="false" outlineLevel="0" collapsed="false">
      <c r="A320" s="5" t="s">
        <v>1796</v>
      </c>
      <c r="B320" s="5" t="s">
        <v>497</v>
      </c>
      <c r="C320" s="5" t="s">
        <v>593</v>
      </c>
      <c r="D320" s="5" t="s">
        <v>594</v>
      </c>
      <c r="E320" s="6" t="s">
        <v>1746</v>
      </c>
      <c r="F320" s="6" t="s">
        <v>800</v>
      </c>
      <c r="G320" s="6" t="s">
        <v>1741</v>
      </c>
      <c r="H320" s="5"/>
      <c r="I320" s="6" t="s">
        <v>1738</v>
      </c>
    </row>
    <row r="321" customFormat="false" ht="35.05" hidden="false" customHeight="false" outlineLevel="0" collapsed="false">
      <c r="A321" s="5" t="s">
        <v>1796</v>
      </c>
      <c r="B321" s="5" t="s">
        <v>497</v>
      </c>
      <c r="C321" s="5" t="s">
        <v>593</v>
      </c>
      <c r="D321" s="5" t="s">
        <v>594</v>
      </c>
      <c r="E321" s="6" t="s">
        <v>1724</v>
      </c>
      <c r="F321" s="6"/>
      <c r="G321" s="6" t="s">
        <v>1764</v>
      </c>
      <c r="H321" s="5"/>
      <c r="I321" s="6"/>
    </row>
    <row r="322" customFormat="false" ht="23.85" hidden="false" customHeight="false" outlineLevel="0" collapsed="false">
      <c r="A322" s="5" t="s">
        <v>1796</v>
      </c>
      <c r="B322" s="5" t="s">
        <v>497</v>
      </c>
      <c r="C322" s="5" t="s">
        <v>593</v>
      </c>
      <c r="D322" s="5" t="s">
        <v>594</v>
      </c>
      <c r="E322" s="6" t="s">
        <v>1750</v>
      </c>
      <c r="F322" s="6" t="s">
        <v>1751</v>
      </c>
      <c r="G322" s="6" t="s">
        <v>1765</v>
      </c>
      <c r="H322" s="5"/>
      <c r="I322" s="6" t="s">
        <v>1753</v>
      </c>
    </row>
    <row r="323" customFormat="false" ht="35.05" hidden="false" customHeight="false" outlineLevel="0" collapsed="false">
      <c r="A323" s="5" t="s">
        <v>1796</v>
      </c>
      <c r="B323" s="5" t="s">
        <v>497</v>
      </c>
      <c r="C323" s="5" t="s">
        <v>593</v>
      </c>
      <c r="D323" s="5" t="s">
        <v>594</v>
      </c>
      <c r="E323" s="6" t="s">
        <v>1730</v>
      </c>
      <c r="F323" s="6"/>
      <c r="G323" s="6" t="s">
        <v>1766</v>
      </c>
      <c r="H323" s="5"/>
      <c r="I323" s="6"/>
    </row>
    <row r="324" customFormat="false" ht="23.85" hidden="false" customHeight="false" outlineLevel="0" collapsed="false">
      <c r="A324" s="5" t="s">
        <v>1798</v>
      </c>
      <c r="B324" s="5" t="s">
        <v>497</v>
      </c>
      <c r="C324" s="5" t="s">
        <v>599</v>
      </c>
      <c r="D324" s="5" t="s">
        <v>603</v>
      </c>
      <c r="E324" s="6" t="s">
        <v>1720</v>
      </c>
      <c r="F324" s="6" t="s">
        <v>1757</v>
      </c>
      <c r="G324" s="6" t="s">
        <v>1734</v>
      </c>
      <c r="H324" s="5"/>
      <c r="I324" s="6" t="s">
        <v>1723</v>
      </c>
    </row>
    <row r="325" customFormat="false" ht="15" hidden="false" customHeight="false" outlineLevel="0" collapsed="false">
      <c r="A325" s="5" t="s">
        <v>1798</v>
      </c>
      <c r="B325" s="5" t="s">
        <v>497</v>
      </c>
      <c r="C325" s="5" t="s">
        <v>599</v>
      </c>
      <c r="D325" s="5" t="s">
        <v>603</v>
      </c>
      <c r="E325" s="6" t="s">
        <v>1735</v>
      </c>
      <c r="F325" s="6" t="s">
        <v>877</v>
      </c>
      <c r="G325" s="6" t="s">
        <v>1741</v>
      </c>
      <c r="H325" s="5"/>
      <c r="I325" s="6" t="s">
        <v>1738</v>
      </c>
    </row>
    <row r="326" customFormat="false" ht="15" hidden="false" customHeight="false" outlineLevel="0" collapsed="false">
      <c r="A326" s="5" t="s">
        <v>1798</v>
      </c>
      <c r="B326" s="5" t="s">
        <v>497</v>
      </c>
      <c r="C326" s="5" t="s">
        <v>599</v>
      </c>
      <c r="D326" s="5" t="s">
        <v>603</v>
      </c>
      <c r="E326" s="6" t="s">
        <v>1739</v>
      </c>
      <c r="F326" s="6" t="s">
        <v>1740</v>
      </c>
      <c r="G326" s="6" t="s">
        <v>1799</v>
      </c>
      <c r="H326" s="5"/>
      <c r="I326" s="6" t="s">
        <v>1742</v>
      </c>
    </row>
    <row r="327" customFormat="false" ht="15" hidden="false" customHeight="false" outlineLevel="0" collapsed="false">
      <c r="A327" s="5" t="s">
        <v>1798</v>
      </c>
      <c r="B327" s="5" t="s">
        <v>497</v>
      </c>
      <c r="C327" s="5" t="s">
        <v>599</v>
      </c>
      <c r="D327" s="5" t="s">
        <v>603</v>
      </c>
      <c r="E327" s="6" t="s">
        <v>1743</v>
      </c>
      <c r="F327" s="6" t="s">
        <v>794</v>
      </c>
      <c r="G327" s="6" t="s">
        <v>1800</v>
      </c>
      <c r="H327" s="5"/>
      <c r="I327" s="6" t="s">
        <v>1745</v>
      </c>
    </row>
    <row r="328" customFormat="false" ht="15" hidden="false" customHeight="false" outlineLevel="0" collapsed="false">
      <c r="A328" s="5" t="s">
        <v>1798</v>
      </c>
      <c r="B328" s="5" t="s">
        <v>497</v>
      </c>
      <c r="C328" s="5" t="s">
        <v>599</v>
      </c>
      <c r="D328" s="5" t="s">
        <v>603</v>
      </c>
      <c r="E328" s="6" t="s">
        <v>1746</v>
      </c>
      <c r="F328" s="6" t="s">
        <v>800</v>
      </c>
      <c r="G328" s="6" t="s">
        <v>1741</v>
      </c>
      <c r="H328" s="5"/>
      <c r="I328" s="6" t="s">
        <v>1738</v>
      </c>
    </row>
    <row r="329" customFormat="false" ht="35.05" hidden="false" customHeight="false" outlineLevel="0" collapsed="false">
      <c r="A329" s="5" t="s">
        <v>1798</v>
      </c>
      <c r="B329" s="5" t="s">
        <v>497</v>
      </c>
      <c r="C329" s="5" t="s">
        <v>599</v>
      </c>
      <c r="D329" s="5" t="s">
        <v>603</v>
      </c>
      <c r="E329" s="6" t="s">
        <v>1724</v>
      </c>
      <c r="F329" s="6"/>
      <c r="G329" s="6" t="s">
        <v>1764</v>
      </c>
      <c r="H329" s="5"/>
      <c r="I329" s="6"/>
    </row>
    <row r="330" customFormat="false" ht="23.85" hidden="false" customHeight="false" outlineLevel="0" collapsed="false">
      <c r="A330" s="5" t="s">
        <v>1798</v>
      </c>
      <c r="B330" s="5" t="s">
        <v>497</v>
      </c>
      <c r="C330" s="5" t="s">
        <v>599</v>
      </c>
      <c r="D330" s="5" t="s">
        <v>603</v>
      </c>
      <c r="E330" s="6" t="s">
        <v>1750</v>
      </c>
      <c r="F330" s="6" t="s">
        <v>1751</v>
      </c>
      <c r="G330" s="6" t="s">
        <v>1801</v>
      </c>
      <c r="H330" s="5"/>
      <c r="I330" s="6" t="s">
        <v>1753</v>
      </c>
    </row>
    <row r="331" customFormat="false" ht="35.05" hidden="false" customHeight="false" outlineLevel="0" collapsed="false">
      <c r="A331" s="5" t="s">
        <v>1798</v>
      </c>
      <c r="B331" s="5" t="s">
        <v>497</v>
      </c>
      <c r="C331" s="5" t="s">
        <v>599</v>
      </c>
      <c r="D331" s="5" t="s">
        <v>603</v>
      </c>
      <c r="E331" s="6" t="s">
        <v>1730</v>
      </c>
      <c r="F331" s="6"/>
      <c r="G331" s="6" t="s">
        <v>1766</v>
      </c>
      <c r="H331" s="5"/>
      <c r="I331" s="6"/>
    </row>
    <row r="332" customFormat="false" ht="23.85" hidden="false" customHeight="false" outlineLevel="0" collapsed="false">
      <c r="A332" s="5" t="s">
        <v>1802</v>
      </c>
      <c r="B332" s="5" t="s">
        <v>497</v>
      </c>
      <c r="C332" s="5" t="s">
        <v>607</v>
      </c>
      <c r="D332" s="5" t="s">
        <v>608</v>
      </c>
      <c r="E332" s="6" t="s">
        <v>1720</v>
      </c>
      <c r="F332" s="6" t="s">
        <v>1757</v>
      </c>
      <c r="G332" s="6" t="s">
        <v>1734</v>
      </c>
      <c r="H332" s="5"/>
      <c r="I332" s="6" t="s">
        <v>1723</v>
      </c>
    </row>
    <row r="333" customFormat="false" ht="15" hidden="false" customHeight="false" outlineLevel="0" collapsed="false">
      <c r="A333" s="5" t="s">
        <v>1802</v>
      </c>
      <c r="B333" s="5" t="s">
        <v>497</v>
      </c>
      <c r="C333" s="5" t="s">
        <v>607</v>
      </c>
      <c r="D333" s="5" t="s">
        <v>608</v>
      </c>
      <c r="E333" s="6" t="s">
        <v>1735</v>
      </c>
      <c r="F333" s="6" t="s">
        <v>877</v>
      </c>
      <c r="G333" s="6" t="s">
        <v>1741</v>
      </c>
      <c r="H333" s="5"/>
      <c r="I333" s="6" t="s">
        <v>1738</v>
      </c>
    </row>
    <row r="334" customFormat="false" ht="15" hidden="false" customHeight="false" outlineLevel="0" collapsed="false">
      <c r="A334" s="5" t="s">
        <v>1802</v>
      </c>
      <c r="B334" s="5" t="s">
        <v>497</v>
      </c>
      <c r="C334" s="5" t="s">
        <v>607</v>
      </c>
      <c r="D334" s="5" t="s">
        <v>608</v>
      </c>
      <c r="E334" s="6" t="s">
        <v>1739</v>
      </c>
      <c r="F334" s="6" t="s">
        <v>1740</v>
      </c>
      <c r="G334" s="6" t="s">
        <v>1803</v>
      </c>
      <c r="H334" s="5"/>
      <c r="I334" s="6" t="s">
        <v>1742</v>
      </c>
    </row>
    <row r="335" customFormat="false" ht="15" hidden="false" customHeight="false" outlineLevel="0" collapsed="false">
      <c r="A335" s="5" t="s">
        <v>1802</v>
      </c>
      <c r="B335" s="5" t="s">
        <v>497</v>
      </c>
      <c r="C335" s="5" t="s">
        <v>607</v>
      </c>
      <c r="D335" s="5" t="s">
        <v>608</v>
      </c>
      <c r="E335" s="6" t="s">
        <v>1743</v>
      </c>
      <c r="F335" s="6" t="s">
        <v>794</v>
      </c>
      <c r="G335" s="6" t="s">
        <v>1804</v>
      </c>
      <c r="H335" s="5"/>
      <c r="I335" s="6" t="s">
        <v>1745</v>
      </c>
    </row>
    <row r="336" customFormat="false" ht="15" hidden="false" customHeight="false" outlineLevel="0" collapsed="false">
      <c r="A336" s="5" t="s">
        <v>1802</v>
      </c>
      <c r="B336" s="5" t="s">
        <v>497</v>
      </c>
      <c r="C336" s="5" t="s">
        <v>607</v>
      </c>
      <c r="D336" s="5" t="s">
        <v>608</v>
      </c>
      <c r="E336" s="6" t="s">
        <v>1746</v>
      </c>
      <c r="F336" s="6" t="s">
        <v>800</v>
      </c>
      <c r="G336" s="6" t="s">
        <v>1741</v>
      </c>
      <c r="H336" s="5"/>
      <c r="I336" s="6" t="s">
        <v>1738</v>
      </c>
    </row>
    <row r="337" customFormat="false" ht="35.05" hidden="false" customHeight="false" outlineLevel="0" collapsed="false">
      <c r="A337" s="5" t="s">
        <v>1802</v>
      </c>
      <c r="B337" s="5" t="s">
        <v>497</v>
      </c>
      <c r="C337" s="5" t="s">
        <v>607</v>
      </c>
      <c r="D337" s="5" t="s">
        <v>608</v>
      </c>
      <c r="E337" s="6" t="s">
        <v>1724</v>
      </c>
      <c r="F337" s="6"/>
      <c r="G337" s="6" t="s">
        <v>1764</v>
      </c>
      <c r="H337" s="5"/>
      <c r="I337" s="6"/>
    </row>
    <row r="338" customFormat="false" ht="23.85" hidden="false" customHeight="false" outlineLevel="0" collapsed="false">
      <c r="A338" s="5" t="s">
        <v>1802</v>
      </c>
      <c r="B338" s="5" t="s">
        <v>497</v>
      </c>
      <c r="C338" s="5" t="s">
        <v>607</v>
      </c>
      <c r="D338" s="5" t="s">
        <v>608</v>
      </c>
      <c r="E338" s="6" t="s">
        <v>1750</v>
      </c>
      <c r="F338" s="6" t="s">
        <v>1751</v>
      </c>
      <c r="G338" s="6" t="s">
        <v>1805</v>
      </c>
      <c r="H338" s="5"/>
      <c r="I338" s="6" t="s">
        <v>1753</v>
      </c>
    </row>
    <row r="339" customFormat="false" ht="35.05" hidden="false" customHeight="false" outlineLevel="0" collapsed="false">
      <c r="A339" s="5" t="s">
        <v>1802</v>
      </c>
      <c r="B339" s="5" t="s">
        <v>497</v>
      </c>
      <c r="C339" s="5" t="s">
        <v>607</v>
      </c>
      <c r="D339" s="5" t="s">
        <v>608</v>
      </c>
      <c r="E339" s="6" t="s">
        <v>1730</v>
      </c>
      <c r="F339" s="6"/>
      <c r="G339" s="6" t="s">
        <v>1766</v>
      </c>
      <c r="H339" s="5"/>
      <c r="I339" s="6"/>
    </row>
    <row r="340" customFormat="false" ht="23.85" hidden="false" customHeight="false" outlineLevel="0" collapsed="false">
      <c r="A340" s="5" t="s">
        <v>1806</v>
      </c>
      <c r="B340" s="5" t="s">
        <v>497</v>
      </c>
      <c r="C340" s="5" t="s">
        <v>612</v>
      </c>
      <c r="D340" s="5" t="s">
        <v>615</v>
      </c>
      <c r="E340" s="6" t="s">
        <v>1720</v>
      </c>
      <c r="F340" s="6" t="s">
        <v>1757</v>
      </c>
      <c r="G340" s="6" t="s">
        <v>1734</v>
      </c>
      <c r="H340" s="5"/>
      <c r="I340" s="6" t="s">
        <v>1723</v>
      </c>
    </row>
    <row r="341" customFormat="false" ht="15" hidden="false" customHeight="false" outlineLevel="0" collapsed="false">
      <c r="A341" s="5" t="s">
        <v>1806</v>
      </c>
      <c r="B341" s="5" t="s">
        <v>497</v>
      </c>
      <c r="C341" s="5" t="s">
        <v>612</v>
      </c>
      <c r="D341" s="5" t="s">
        <v>615</v>
      </c>
      <c r="E341" s="6" t="s">
        <v>1735</v>
      </c>
      <c r="F341" s="6" t="s">
        <v>877</v>
      </c>
      <c r="G341" s="6" t="s">
        <v>1807</v>
      </c>
      <c r="H341" s="5"/>
      <c r="I341" s="6" t="s">
        <v>1808</v>
      </c>
    </row>
    <row r="342" customFormat="false" ht="15" hidden="false" customHeight="false" outlineLevel="0" collapsed="false">
      <c r="A342" s="5" t="s">
        <v>1806</v>
      </c>
      <c r="B342" s="5" t="s">
        <v>497</v>
      </c>
      <c r="C342" s="5" t="s">
        <v>612</v>
      </c>
      <c r="D342" s="5" t="s">
        <v>615</v>
      </c>
      <c r="E342" s="6" t="s">
        <v>1746</v>
      </c>
      <c r="F342" s="6" t="s">
        <v>800</v>
      </c>
      <c r="G342" s="6" t="s">
        <v>1741</v>
      </c>
      <c r="H342" s="5"/>
      <c r="I342" s="6" t="s">
        <v>1808</v>
      </c>
    </row>
    <row r="343" customFormat="false" ht="15" hidden="false" customHeight="false" outlineLevel="0" collapsed="false">
      <c r="A343" s="5" t="s">
        <v>1806</v>
      </c>
      <c r="B343" s="5" t="s">
        <v>497</v>
      </c>
      <c r="C343" s="5" t="s">
        <v>612</v>
      </c>
      <c r="D343" s="5" t="s">
        <v>615</v>
      </c>
      <c r="E343" s="6" t="s">
        <v>1743</v>
      </c>
      <c r="F343" s="6" t="s">
        <v>794</v>
      </c>
      <c r="G343" s="6" t="s">
        <v>1741</v>
      </c>
      <c r="H343" s="5"/>
      <c r="I343" s="6" t="s">
        <v>1808</v>
      </c>
    </row>
    <row r="344" customFormat="false" ht="15" hidden="false" customHeight="false" outlineLevel="0" collapsed="false">
      <c r="A344" s="5" t="s">
        <v>1806</v>
      </c>
      <c r="B344" s="5" t="s">
        <v>497</v>
      </c>
      <c r="C344" s="5" t="s">
        <v>612</v>
      </c>
      <c r="D344" s="5" t="s">
        <v>615</v>
      </c>
      <c r="E344" s="6" t="s">
        <v>1739</v>
      </c>
      <c r="F344" s="6" t="s">
        <v>1740</v>
      </c>
      <c r="G344" s="6" t="s">
        <v>1741</v>
      </c>
      <c r="H344" s="5"/>
      <c r="I344" s="6" t="s">
        <v>1808</v>
      </c>
    </row>
    <row r="345" customFormat="false" ht="35.05" hidden="false" customHeight="false" outlineLevel="0" collapsed="false">
      <c r="A345" s="5" t="s">
        <v>1806</v>
      </c>
      <c r="B345" s="5" t="s">
        <v>497</v>
      </c>
      <c r="C345" s="5" t="s">
        <v>612</v>
      </c>
      <c r="D345" s="5" t="s">
        <v>615</v>
      </c>
      <c r="E345" s="6" t="s">
        <v>1724</v>
      </c>
      <c r="F345" s="6"/>
      <c r="G345" s="6" t="s">
        <v>1764</v>
      </c>
      <c r="H345" s="5"/>
      <c r="I345" s="6"/>
    </row>
    <row r="346" customFormat="false" ht="23.85" hidden="false" customHeight="false" outlineLevel="0" collapsed="false">
      <c r="A346" s="5" t="s">
        <v>1806</v>
      </c>
      <c r="B346" s="5" t="s">
        <v>497</v>
      </c>
      <c r="C346" s="5" t="s">
        <v>612</v>
      </c>
      <c r="D346" s="5" t="s">
        <v>615</v>
      </c>
      <c r="E346" s="6" t="s">
        <v>1750</v>
      </c>
      <c r="F346" s="6" t="s">
        <v>1751</v>
      </c>
      <c r="G346" s="6" t="s">
        <v>1801</v>
      </c>
      <c r="H346" s="5"/>
      <c r="I346" s="6" t="s">
        <v>1753</v>
      </c>
    </row>
    <row r="347" customFormat="false" ht="35.05" hidden="false" customHeight="false" outlineLevel="0" collapsed="false">
      <c r="A347" s="5" t="s">
        <v>1806</v>
      </c>
      <c r="B347" s="5" t="s">
        <v>497</v>
      </c>
      <c r="C347" s="5" t="s">
        <v>612</v>
      </c>
      <c r="D347" s="5" t="s">
        <v>615</v>
      </c>
      <c r="E347" s="6" t="s">
        <v>1730</v>
      </c>
      <c r="F347" s="6"/>
      <c r="G347" s="6" t="s">
        <v>1766</v>
      </c>
      <c r="H347" s="5"/>
      <c r="I347" s="6"/>
    </row>
    <row r="348" customFormat="false" ht="23.85" hidden="false" customHeight="false" outlineLevel="0" collapsed="false">
      <c r="A348" s="5" t="s">
        <v>1809</v>
      </c>
      <c r="B348" s="5" t="s">
        <v>497</v>
      </c>
      <c r="C348" s="5" t="s">
        <v>619</v>
      </c>
      <c r="D348" s="5" t="s">
        <v>622</v>
      </c>
      <c r="E348" s="6" t="s">
        <v>1720</v>
      </c>
      <c r="F348" s="6" t="s">
        <v>1757</v>
      </c>
      <c r="G348" s="6" t="s">
        <v>1734</v>
      </c>
      <c r="H348" s="5"/>
      <c r="I348" s="6" t="s">
        <v>1723</v>
      </c>
    </row>
    <row r="349" customFormat="false" ht="15" hidden="false" customHeight="false" outlineLevel="0" collapsed="false">
      <c r="A349" s="5" t="s">
        <v>1809</v>
      </c>
      <c r="B349" s="5" t="s">
        <v>497</v>
      </c>
      <c r="C349" s="5" t="s">
        <v>619</v>
      </c>
      <c r="D349" s="5" t="s">
        <v>622</v>
      </c>
      <c r="E349" s="6" t="s">
        <v>1735</v>
      </c>
      <c r="F349" s="6" t="s">
        <v>877</v>
      </c>
      <c r="G349" s="6" t="s">
        <v>1810</v>
      </c>
      <c r="H349" s="5"/>
      <c r="I349" s="6" t="s">
        <v>1738</v>
      </c>
    </row>
    <row r="350" customFormat="false" ht="15" hidden="false" customHeight="false" outlineLevel="0" collapsed="false">
      <c r="A350" s="5" t="s">
        <v>1809</v>
      </c>
      <c r="B350" s="5" t="s">
        <v>497</v>
      </c>
      <c r="C350" s="5" t="s">
        <v>619</v>
      </c>
      <c r="D350" s="5" t="s">
        <v>622</v>
      </c>
      <c r="E350" s="6" t="s">
        <v>1739</v>
      </c>
      <c r="F350" s="6" t="s">
        <v>1740</v>
      </c>
      <c r="G350" s="6" t="s">
        <v>1741</v>
      </c>
      <c r="H350" s="5"/>
      <c r="I350" s="6" t="s">
        <v>1742</v>
      </c>
    </row>
    <row r="351" customFormat="false" ht="15" hidden="false" customHeight="false" outlineLevel="0" collapsed="false">
      <c r="A351" s="5" t="s">
        <v>1809</v>
      </c>
      <c r="B351" s="5" t="s">
        <v>497</v>
      </c>
      <c r="C351" s="5" t="s">
        <v>619</v>
      </c>
      <c r="D351" s="5" t="s">
        <v>622</v>
      </c>
      <c r="E351" s="6" t="s">
        <v>1743</v>
      </c>
      <c r="F351" s="6" t="s">
        <v>794</v>
      </c>
      <c r="G351" s="6" t="s">
        <v>1741</v>
      </c>
      <c r="H351" s="5"/>
      <c r="I351" s="6" t="s">
        <v>1745</v>
      </c>
    </row>
    <row r="352" customFormat="false" ht="15" hidden="false" customHeight="false" outlineLevel="0" collapsed="false">
      <c r="A352" s="5" t="s">
        <v>1809</v>
      </c>
      <c r="B352" s="5" t="s">
        <v>497</v>
      </c>
      <c r="C352" s="5" t="s">
        <v>619</v>
      </c>
      <c r="D352" s="5" t="s">
        <v>622</v>
      </c>
      <c r="E352" s="6" t="s">
        <v>1746</v>
      </c>
      <c r="F352" s="6" t="s">
        <v>800</v>
      </c>
      <c r="G352" s="6" t="s">
        <v>1741</v>
      </c>
      <c r="H352" s="5"/>
      <c r="I352" s="6" t="s">
        <v>1738</v>
      </c>
    </row>
    <row r="353" customFormat="false" ht="35.05" hidden="false" customHeight="false" outlineLevel="0" collapsed="false">
      <c r="A353" s="5" t="s">
        <v>1809</v>
      </c>
      <c r="B353" s="5" t="s">
        <v>497</v>
      </c>
      <c r="C353" s="5" t="s">
        <v>619</v>
      </c>
      <c r="D353" s="5" t="s">
        <v>622</v>
      </c>
      <c r="E353" s="6" t="s">
        <v>1724</v>
      </c>
      <c r="F353" s="6"/>
      <c r="G353" s="6" t="s">
        <v>1764</v>
      </c>
      <c r="H353" s="5"/>
      <c r="I353" s="6"/>
    </row>
    <row r="354" customFormat="false" ht="23.85" hidden="false" customHeight="false" outlineLevel="0" collapsed="false">
      <c r="A354" s="5" t="s">
        <v>1809</v>
      </c>
      <c r="B354" s="5" t="s">
        <v>497</v>
      </c>
      <c r="C354" s="5" t="s">
        <v>619</v>
      </c>
      <c r="D354" s="5" t="s">
        <v>622</v>
      </c>
      <c r="E354" s="6" t="s">
        <v>1750</v>
      </c>
      <c r="F354" s="6" t="s">
        <v>1751</v>
      </c>
      <c r="G354" s="6" t="s">
        <v>1765</v>
      </c>
      <c r="H354" s="5"/>
      <c r="I354" s="6" t="s">
        <v>1753</v>
      </c>
    </row>
    <row r="355" customFormat="false" ht="35.05" hidden="false" customHeight="false" outlineLevel="0" collapsed="false">
      <c r="A355" s="5" t="s">
        <v>1809</v>
      </c>
      <c r="B355" s="5" t="s">
        <v>497</v>
      </c>
      <c r="C355" s="5" t="s">
        <v>619</v>
      </c>
      <c r="D355" s="5" t="s">
        <v>622</v>
      </c>
      <c r="E355" s="6" t="s">
        <v>1730</v>
      </c>
      <c r="F355" s="6"/>
      <c r="G355" s="6" t="s">
        <v>1766</v>
      </c>
      <c r="H355" s="5"/>
      <c r="I355" s="6"/>
    </row>
    <row r="356" customFormat="false" ht="23.85" hidden="false" customHeight="false" outlineLevel="0" collapsed="false">
      <c r="A356" s="5" t="s">
        <v>1811</v>
      </c>
      <c r="B356" s="5" t="s">
        <v>497</v>
      </c>
      <c r="C356" s="5" t="s">
        <v>626</v>
      </c>
      <c r="D356" s="5" t="s">
        <v>628</v>
      </c>
      <c r="E356" s="6" t="s">
        <v>1720</v>
      </c>
      <c r="F356" s="6" t="s">
        <v>1757</v>
      </c>
      <c r="G356" s="6" t="s">
        <v>1734</v>
      </c>
      <c r="H356" s="5"/>
      <c r="I356" s="6" t="s">
        <v>1723</v>
      </c>
    </row>
    <row r="357" customFormat="false" ht="15" hidden="false" customHeight="false" outlineLevel="0" collapsed="false">
      <c r="A357" s="5" t="s">
        <v>1811</v>
      </c>
      <c r="B357" s="5" t="s">
        <v>497</v>
      </c>
      <c r="C357" s="5" t="s">
        <v>626</v>
      </c>
      <c r="D357" s="5" t="s">
        <v>628</v>
      </c>
      <c r="E357" s="6" t="s">
        <v>1735</v>
      </c>
      <c r="F357" s="6" t="s">
        <v>877</v>
      </c>
      <c r="G357" s="6" t="s">
        <v>1812</v>
      </c>
      <c r="H357" s="5"/>
      <c r="I357" s="6" t="s">
        <v>1738</v>
      </c>
    </row>
    <row r="358" customFormat="false" ht="15" hidden="false" customHeight="false" outlineLevel="0" collapsed="false">
      <c r="A358" s="5" t="s">
        <v>1811</v>
      </c>
      <c r="B358" s="5" t="s">
        <v>497</v>
      </c>
      <c r="C358" s="5" t="s">
        <v>626</v>
      </c>
      <c r="D358" s="5" t="s">
        <v>628</v>
      </c>
      <c r="E358" s="6" t="s">
        <v>1739</v>
      </c>
      <c r="F358" s="6" t="s">
        <v>1740</v>
      </c>
      <c r="G358" s="6" t="s">
        <v>1741</v>
      </c>
      <c r="H358" s="5"/>
      <c r="I358" s="6" t="s">
        <v>1742</v>
      </c>
    </row>
    <row r="359" customFormat="false" ht="15" hidden="false" customHeight="false" outlineLevel="0" collapsed="false">
      <c r="A359" s="5" t="s">
        <v>1811</v>
      </c>
      <c r="B359" s="5" t="s">
        <v>497</v>
      </c>
      <c r="C359" s="5" t="s">
        <v>626</v>
      </c>
      <c r="D359" s="5" t="s">
        <v>628</v>
      </c>
      <c r="E359" s="6" t="s">
        <v>1743</v>
      </c>
      <c r="F359" s="6" t="s">
        <v>794</v>
      </c>
      <c r="G359" s="6" t="s">
        <v>1813</v>
      </c>
      <c r="H359" s="5"/>
      <c r="I359" s="6" t="s">
        <v>1745</v>
      </c>
    </row>
    <row r="360" customFormat="false" ht="15" hidden="false" customHeight="false" outlineLevel="0" collapsed="false">
      <c r="A360" s="5" t="s">
        <v>1811</v>
      </c>
      <c r="B360" s="5" t="s">
        <v>497</v>
      </c>
      <c r="C360" s="5" t="s">
        <v>626</v>
      </c>
      <c r="D360" s="5" t="s">
        <v>628</v>
      </c>
      <c r="E360" s="6" t="s">
        <v>1746</v>
      </c>
      <c r="F360" s="6" t="s">
        <v>800</v>
      </c>
      <c r="G360" s="6" t="s">
        <v>1741</v>
      </c>
      <c r="H360" s="5"/>
      <c r="I360" s="6" t="s">
        <v>1738</v>
      </c>
    </row>
    <row r="361" customFormat="false" ht="35.05" hidden="false" customHeight="false" outlineLevel="0" collapsed="false">
      <c r="A361" s="5" t="s">
        <v>1811</v>
      </c>
      <c r="B361" s="5" t="s">
        <v>497</v>
      </c>
      <c r="C361" s="5" t="s">
        <v>626</v>
      </c>
      <c r="D361" s="5" t="s">
        <v>628</v>
      </c>
      <c r="E361" s="6" t="s">
        <v>1724</v>
      </c>
      <c r="F361" s="6"/>
      <c r="G361" s="6" t="s">
        <v>1764</v>
      </c>
      <c r="H361" s="5"/>
      <c r="I361" s="6"/>
    </row>
    <row r="362" customFormat="false" ht="23.85" hidden="false" customHeight="false" outlineLevel="0" collapsed="false">
      <c r="A362" s="5" t="s">
        <v>1811</v>
      </c>
      <c r="B362" s="5" t="s">
        <v>497</v>
      </c>
      <c r="C362" s="5" t="s">
        <v>626</v>
      </c>
      <c r="D362" s="5" t="s">
        <v>628</v>
      </c>
      <c r="E362" s="6" t="s">
        <v>1750</v>
      </c>
      <c r="F362" s="6" t="s">
        <v>1751</v>
      </c>
      <c r="G362" s="6" t="s">
        <v>1765</v>
      </c>
      <c r="H362" s="5"/>
      <c r="I362" s="6" t="s">
        <v>1753</v>
      </c>
    </row>
    <row r="363" customFormat="false" ht="35.05" hidden="false" customHeight="false" outlineLevel="0" collapsed="false">
      <c r="A363" s="5" t="s">
        <v>1811</v>
      </c>
      <c r="B363" s="5" t="s">
        <v>497</v>
      </c>
      <c r="C363" s="5" t="s">
        <v>626</v>
      </c>
      <c r="D363" s="5" t="s">
        <v>628</v>
      </c>
      <c r="E363" s="6" t="s">
        <v>1730</v>
      </c>
      <c r="F363" s="6"/>
      <c r="G363" s="6" t="s">
        <v>1766</v>
      </c>
      <c r="H363" s="5"/>
      <c r="I363" s="6"/>
    </row>
    <row r="364" customFormat="false" ht="23.85" hidden="false" customHeight="false" outlineLevel="0" collapsed="false">
      <c r="A364" s="5" t="s">
        <v>1814</v>
      </c>
      <c r="B364" s="5" t="s">
        <v>497</v>
      </c>
      <c r="C364" s="5" t="s">
        <v>632</v>
      </c>
      <c r="D364" s="5" t="s">
        <v>633</v>
      </c>
      <c r="E364" s="6" t="s">
        <v>1720</v>
      </c>
      <c r="F364" s="6" t="s">
        <v>1757</v>
      </c>
      <c r="G364" s="6" t="s">
        <v>1734</v>
      </c>
      <c r="H364" s="5"/>
      <c r="I364" s="6" t="s">
        <v>1723</v>
      </c>
    </row>
    <row r="365" customFormat="false" ht="15" hidden="false" customHeight="false" outlineLevel="0" collapsed="false">
      <c r="A365" s="5" t="s">
        <v>1814</v>
      </c>
      <c r="B365" s="5" t="s">
        <v>497</v>
      </c>
      <c r="C365" s="5" t="s">
        <v>632</v>
      </c>
      <c r="D365" s="5" t="s">
        <v>633</v>
      </c>
      <c r="E365" s="6" t="s">
        <v>1735</v>
      </c>
      <c r="F365" s="6" t="s">
        <v>877</v>
      </c>
      <c r="G365" s="6" t="s">
        <v>1815</v>
      </c>
      <c r="H365" s="5"/>
      <c r="I365" s="6" t="s">
        <v>1738</v>
      </c>
    </row>
    <row r="366" customFormat="false" ht="15" hidden="false" customHeight="false" outlineLevel="0" collapsed="false">
      <c r="A366" s="5" t="s">
        <v>1814</v>
      </c>
      <c r="B366" s="5" t="s">
        <v>497</v>
      </c>
      <c r="C366" s="5" t="s">
        <v>632</v>
      </c>
      <c r="D366" s="5" t="s">
        <v>633</v>
      </c>
      <c r="E366" s="6" t="s">
        <v>1739</v>
      </c>
      <c r="F366" s="6" t="s">
        <v>1740</v>
      </c>
      <c r="G366" s="6" t="s">
        <v>1741</v>
      </c>
      <c r="H366" s="5"/>
      <c r="I366" s="6" t="s">
        <v>1742</v>
      </c>
    </row>
    <row r="367" customFormat="false" ht="15" hidden="false" customHeight="false" outlineLevel="0" collapsed="false">
      <c r="A367" s="5" t="s">
        <v>1814</v>
      </c>
      <c r="B367" s="5" t="s">
        <v>497</v>
      </c>
      <c r="C367" s="5" t="s">
        <v>632</v>
      </c>
      <c r="D367" s="5" t="s">
        <v>633</v>
      </c>
      <c r="E367" s="6" t="s">
        <v>1743</v>
      </c>
      <c r="F367" s="6" t="s">
        <v>794</v>
      </c>
      <c r="G367" s="6" t="s">
        <v>1741</v>
      </c>
      <c r="H367" s="5"/>
      <c r="I367" s="6" t="s">
        <v>1745</v>
      </c>
    </row>
    <row r="368" customFormat="false" ht="15" hidden="false" customHeight="false" outlineLevel="0" collapsed="false">
      <c r="A368" s="5" t="s">
        <v>1814</v>
      </c>
      <c r="B368" s="5" t="s">
        <v>497</v>
      </c>
      <c r="C368" s="5" t="s">
        <v>632</v>
      </c>
      <c r="D368" s="5" t="s">
        <v>633</v>
      </c>
      <c r="E368" s="6" t="s">
        <v>1746</v>
      </c>
      <c r="F368" s="6" t="s">
        <v>800</v>
      </c>
      <c r="G368" s="6" t="s">
        <v>1741</v>
      </c>
      <c r="H368" s="5"/>
      <c r="I368" s="6" t="s">
        <v>1738</v>
      </c>
    </row>
    <row r="369" customFormat="false" ht="35.05" hidden="false" customHeight="false" outlineLevel="0" collapsed="false">
      <c r="A369" s="5" t="s">
        <v>1814</v>
      </c>
      <c r="B369" s="5" t="s">
        <v>497</v>
      </c>
      <c r="C369" s="5" t="s">
        <v>632</v>
      </c>
      <c r="D369" s="5" t="s">
        <v>633</v>
      </c>
      <c r="E369" s="6" t="s">
        <v>1724</v>
      </c>
      <c r="F369" s="6"/>
      <c r="G369" s="6" t="s">
        <v>1764</v>
      </c>
      <c r="H369" s="5"/>
      <c r="I369" s="6"/>
    </row>
    <row r="370" customFormat="false" ht="23.85" hidden="false" customHeight="false" outlineLevel="0" collapsed="false">
      <c r="A370" s="5" t="s">
        <v>1814</v>
      </c>
      <c r="B370" s="5" t="s">
        <v>497</v>
      </c>
      <c r="C370" s="5" t="s">
        <v>632</v>
      </c>
      <c r="D370" s="5" t="s">
        <v>633</v>
      </c>
      <c r="E370" s="6" t="s">
        <v>1750</v>
      </c>
      <c r="F370" s="6" t="s">
        <v>1751</v>
      </c>
      <c r="G370" s="6" t="s">
        <v>1765</v>
      </c>
      <c r="H370" s="5"/>
      <c r="I370" s="6" t="s">
        <v>1753</v>
      </c>
    </row>
    <row r="371" customFormat="false" ht="35.05" hidden="false" customHeight="false" outlineLevel="0" collapsed="false">
      <c r="A371" s="5" t="s">
        <v>1814</v>
      </c>
      <c r="B371" s="5" t="s">
        <v>497</v>
      </c>
      <c r="C371" s="5" t="s">
        <v>632</v>
      </c>
      <c r="D371" s="5" t="s">
        <v>633</v>
      </c>
      <c r="E371" s="6" t="s">
        <v>1730</v>
      </c>
      <c r="F371" s="6"/>
      <c r="G371" s="6" t="s">
        <v>1766</v>
      </c>
      <c r="H371" s="5"/>
      <c r="I371" s="6"/>
    </row>
    <row r="372" customFormat="false" ht="23.85" hidden="false" customHeight="false" outlineLevel="0" collapsed="false">
      <c r="A372" s="5" t="s">
        <v>1816</v>
      </c>
      <c r="B372" s="5" t="s">
        <v>497</v>
      </c>
      <c r="C372" s="5" t="s">
        <v>638</v>
      </c>
      <c r="D372" s="5" t="s">
        <v>639</v>
      </c>
      <c r="E372" s="6" t="s">
        <v>1720</v>
      </c>
      <c r="F372" s="6" t="s">
        <v>1757</v>
      </c>
      <c r="G372" s="6" t="s">
        <v>1734</v>
      </c>
      <c r="H372" s="5"/>
      <c r="I372" s="6" t="s">
        <v>1723</v>
      </c>
    </row>
    <row r="373" customFormat="false" ht="15" hidden="false" customHeight="false" outlineLevel="0" collapsed="false">
      <c r="A373" s="5" t="s">
        <v>1816</v>
      </c>
      <c r="B373" s="5" t="s">
        <v>497</v>
      </c>
      <c r="C373" s="5" t="s">
        <v>638</v>
      </c>
      <c r="D373" s="5" t="s">
        <v>639</v>
      </c>
      <c r="E373" s="6" t="s">
        <v>1735</v>
      </c>
      <c r="F373" s="6" t="s">
        <v>877</v>
      </c>
      <c r="G373" s="6" t="s">
        <v>1817</v>
      </c>
      <c r="H373" s="5"/>
      <c r="I373" s="6" t="s">
        <v>1738</v>
      </c>
    </row>
    <row r="374" customFormat="false" ht="15" hidden="false" customHeight="false" outlineLevel="0" collapsed="false">
      <c r="A374" s="5" t="s">
        <v>1816</v>
      </c>
      <c r="B374" s="5" t="s">
        <v>497</v>
      </c>
      <c r="C374" s="5" t="s">
        <v>638</v>
      </c>
      <c r="D374" s="5" t="s">
        <v>639</v>
      </c>
      <c r="E374" s="6" t="s">
        <v>1739</v>
      </c>
      <c r="F374" s="6" t="s">
        <v>1740</v>
      </c>
      <c r="G374" s="6" t="s">
        <v>1741</v>
      </c>
      <c r="H374" s="5"/>
      <c r="I374" s="6" t="s">
        <v>1742</v>
      </c>
    </row>
    <row r="375" customFormat="false" ht="15" hidden="false" customHeight="false" outlineLevel="0" collapsed="false">
      <c r="A375" s="5" t="s">
        <v>1816</v>
      </c>
      <c r="B375" s="5" t="s">
        <v>497</v>
      </c>
      <c r="C375" s="5" t="s">
        <v>638</v>
      </c>
      <c r="D375" s="5" t="s">
        <v>639</v>
      </c>
      <c r="E375" s="6" t="s">
        <v>1743</v>
      </c>
      <c r="F375" s="6" t="s">
        <v>794</v>
      </c>
      <c r="G375" s="6" t="s">
        <v>1741</v>
      </c>
      <c r="H375" s="5"/>
      <c r="I375" s="6" t="s">
        <v>1745</v>
      </c>
    </row>
    <row r="376" customFormat="false" ht="15" hidden="false" customHeight="false" outlineLevel="0" collapsed="false">
      <c r="A376" s="5" t="s">
        <v>1816</v>
      </c>
      <c r="B376" s="5" t="s">
        <v>497</v>
      </c>
      <c r="C376" s="5" t="s">
        <v>638</v>
      </c>
      <c r="D376" s="5" t="s">
        <v>639</v>
      </c>
      <c r="E376" s="6" t="s">
        <v>1746</v>
      </c>
      <c r="F376" s="6" t="s">
        <v>800</v>
      </c>
      <c r="G376" s="6" t="s">
        <v>1741</v>
      </c>
      <c r="H376" s="5"/>
      <c r="I376" s="6" t="s">
        <v>1738</v>
      </c>
    </row>
    <row r="377" customFormat="false" ht="35.05" hidden="false" customHeight="false" outlineLevel="0" collapsed="false">
      <c r="A377" s="5" t="s">
        <v>1816</v>
      </c>
      <c r="B377" s="5" t="s">
        <v>497</v>
      </c>
      <c r="C377" s="5" t="s">
        <v>638</v>
      </c>
      <c r="D377" s="5" t="s">
        <v>639</v>
      </c>
      <c r="E377" s="6" t="s">
        <v>1724</v>
      </c>
      <c r="F377" s="6"/>
      <c r="G377" s="6" t="s">
        <v>1764</v>
      </c>
      <c r="H377" s="5"/>
      <c r="I377" s="6"/>
    </row>
    <row r="378" customFormat="false" ht="23.85" hidden="false" customHeight="false" outlineLevel="0" collapsed="false">
      <c r="A378" s="5" t="s">
        <v>1816</v>
      </c>
      <c r="B378" s="5" t="s">
        <v>497</v>
      </c>
      <c r="C378" s="5" t="s">
        <v>638</v>
      </c>
      <c r="D378" s="5" t="s">
        <v>639</v>
      </c>
      <c r="E378" s="6" t="s">
        <v>1750</v>
      </c>
      <c r="F378" s="6" t="s">
        <v>1751</v>
      </c>
      <c r="G378" s="6" t="s">
        <v>1765</v>
      </c>
      <c r="H378" s="5"/>
      <c r="I378" s="6" t="s">
        <v>1753</v>
      </c>
    </row>
    <row r="379" customFormat="false" ht="35.05" hidden="false" customHeight="false" outlineLevel="0" collapsed="false">
      <c r="A379" s="5" t="s">
        <v>1816</v>
      </c>
      <c r="B379" s="5" t="s">
        <v>497</v>
      </c>
      <c r="C379" s="5" t="s">
        <v>638</v>
      </c>
      <c r="D379" s="5" t="s">
        <v>639</v>
      </c>
      <c r="E379" s="6" t="s">
        <v>1730</v>
      </c>
      <c r="F379" s="6"/>
      <c r="G379" s="6" t="s">
        <v>1766</v>
      </c>
      <c r="H379" s="5"/>
      <c r="I379" s="6"/>
    </row>
    <row r="380" customFormat="false" ht="23.85" hidden="false" customHeight="false" outlineLevel="0" collapsed="false">
      <c r="A380" s="5" t="s">
        <v>1818</v>
      </c>
      <c r="B380" s="5" t="s">
        <v>497</v>
      </c>
      <c r="C380" s="5" t="s">
        <v>644</v>
      </c>
      <c r="D380" s="5" t="s">
        <v>647</v>
      </c>
      <c r="E380" s="6" t="s">
        <v>1720</v>
      </c>
      <c r="F380" s="6" t="s">
        <v>1757</v>
      </c>
      <c r="G380" s="6" t="s">
        <v>1819</v>
      </c>
      <c r="H380" s="5"/>
      <c r="I380" s="6" t="s">
        <v>1723</v>
      </c>
    </row>
    <row r="381" customFormat="false" ht="15" hidden="false" customHeight="false" outlineLevel="0" collapsed="false">
      <c r="A381" s="5" t="s">
        <v>1818</v>
      </c>
      <c r="B381" s="5" t="s">
        <v>497</v>
      </c>
      <c r="C381" s="5" t="s">
        <v>644</v>
      </c>
      <c r="D381" s="5" t="s">
        <v>647</v>
      </c>
      <c r="E381" s="6" t="s">
        <v>1735</v>
      </c>
      <c r="F381" s="6" t="s">
        <v>877</v>
      </c>
      <c r="G381" s="6" t="s">
        <v>1820</v>
      </c>
      <c r="H381" s="5"/>
      <c r="I381" s="6" t="s">
        <v>1808</v>
      </c>
    </row>
    <row r="382" customFormat="false" ht="15" hidden="false" customHeight="false" outlineLevel="0" collapsed="false">
      <c r="A382" s="5" t="s">
        <v>1818</v>
      </c>
      <c r="B382" s="5" t="s">
        <v>497</v>
      </c>
      <c r="C382" s="5" t="s">
        <v>644</v>
      </c>
      <c r="D382" s="5" t="s">
        <v>647</v>
      </c>
      <c r="E382" s="6" t="s">
        <v>1746</v>
      </c>
      <c r="F382" s="6" t="s">
        <v>800</v>
      </c>
      <c r="G382" s="6" t="s">
        <v>1789</v>
      </c>
      <c r="H382" s="5"/>
      <c r="I382" s="6" t="s">
        <v>1808</v>
      </c>
    </row>
    <row r="383" customFormat="false" ht="15" hidden="false" customHeight="false" outlineLevel="0" collapsed="false">
      <c r="A383" s="5" t="s">
        <v>1818</v>
      </c>
      <c r="B383" s="5" t="s">
        <v>497</v>
      </c>
      <c r="C383" s="5" t="s">
        <v>644</v>
      </c>
      <c r="D383" s="5" t="s">
        <v>647</v>
      </c>
      <c r="E383" s="6" t="s">
        <v>1743</v>
      </c>
      <c r="F383" s="6" t="s">
        <v>794</v>
      </c>
      <c r="G383" s="6" t="s">
        <v>1821</v>
      </c>
      <c r="H383" s="5"/>
      <c r="I383" s="6" t="s">
        <v>1808</v>
      </c>
    </row>
    <row r="384" customFormat="false" ht="15" hidden="false" customHeight="false" outlineLevel="0" collapsed="false">
      <c r="A384" s="5" t="s">
        <v>1818</v>
      </c>
      <c r="B384" s="5" t="s">
        <v>497</v>
      </c>
      <c r="C384" s="5" t="s">
        <v>644</v>
      </c>
      <c r="D384" s="5" t="s">
        <v>647</v>
      </c>
      <c r="E384" s="6" t="s">
        <v>1739</v>
      </c>
      <c r="F384" s="6" t="s">
        <v>1740</v>
      </c>
      <c r="G384" s="6" t="s">
        <v>1778</v>
      </c>
      <c r="H384" s="5"/>
      <c r="I384" s="6" t="s">
        <v>1808</v>
      </c>
    </row>
    <row r="385" customFormat="false" ht="35.05" hidden="false" customHeight="false" outlineLevel="0" collapsed="false">
      <c r="A385" s="5" t="s">
        <v>1818</v>
      </c>
      <c r="B385" s="5" t="s">
        <v>497</v>
      </c>
      <c r="C385" s="5" t="s">
        <v>644</v>
      </c>
      <c r="D385" s="5" t="s">
        <v>647</v>
      </c>
      <c r="E385" s="6" t="s">
        <v>1724</v>
      </c>
      <c r="F385" s="6"/>
      <c r="G385" s="6" t="s">
        <v>1764</v>
      </c>
      <c r="H385" s="5"/>
      <c r="I385" s="6"/>
    </row>
    <row r="386" customFormat="false" ht="23.85" hidden="false" customHeight="false" outlineLevel="0" collapsed="false">
      <c r="A386" s="5" t="s">
        <v>1818</v>
      </c>
      <c r="B386" s="5" t="s">
        <v>497</v>
      </c>
      <c r="C386" s="5" t="s">
        <v>644</v>
      </c>
      <c r="D386" s="5" t="s">
        <v>647</v>
      </c>
      <c r="E386" s="6" t="s">
        <v>1750</v>
      </c>
      <c r="F386" s="6" t="s">
        <v>1751</v>
      </c>
      <c r="G386" s="6" t="s">
        <v>1765</v>
      </c>
      <c r="H386" s="5"/>
      <c r="I386" s="6" t="s">
        <v>1753</v>
      </c>
    </row>
    <row r="387" customFormat="false" ht="35.05" hidden="false" customHeight="false" outlineLevel="0" collapsed="false">
      <c r="A387" s="5" t="s">
        <v>1818</v>
      </c>
      <c r="B387" s="5" t="s">
        <v>497</v>
      </c>
      <c r="C387" s="5" t="s">
        <v>644</v>
      </c>
      <c r="D387" s="5" t="s">
        <v>647</v>
      </c>
      <c r="E387" s="6" t="s">
        <v>1730</v>
      </c>
      <c r="F387" s="6"/>
      <c r="G387" s="6" t="s">
        <v>1766</v>
      </c>
      <c r="H387" s="5"/>
      <c r="I387" s="6"/>
    </row>
    <row r="388" customFormat="false" ht="23.85" hidden="false" customHeight="false" outlineLevel="0" collapsed="false">
      <c r="A388" s="5" t="s">
        <v>1822</v>
      </c>
      <c r="B388" s="5" t="s">
        <v>497</v>
      </c>
      <c r="C388" s="5" t="s">
        <v>651</v>
      </c>
      <c r="D388" s="5" t="s">
        <v>655</v>
      </c>
      <c r="E388" s="6" t="s">
        <v>1720</v>
      </c>
      <c r="F388" s="6" t="s">
        <v>1757</v>
      </c>
      <c r="G388" s="6" t="s">
        <v>1734</v>
      </c>
      <c r="H388" s="5"/>
      <c r="I388" s="6" t="s">
        <v>1723</v>
      </c>
    </row>
    <row r="389" customFormat="false" ht="15" hidden="false" customHeight="false" outlineLevel="0" collapsed="false">
      <c r="A389" s="5" t="s">
        <v>1822</v>
      </c>
      <c r="B389" s="5" t="s">
        <v>497</v>
      </c>
      <c r="C389" s="5" t="s">
        <v>651</v>
      </c>
      <c r="D389" s="5" t="s">
        <v>655</v>
      </c>
      <c r="E389" s="6" t="s">
        <v>1735</v>
      </c>
      <c r="F389" s="6" t="s">
        <v>877</v>
      </c>
      <c r="G389" s="6" t="s">
        <v>1823</v>
      </c>
      <c r="H389" s="5"/>
      <c r="I389" s="6" t="s">
        <v>1769</v>
      </c>
    </row>
    <row r="390" customFormat="false" ht="15" hidden="false" customHeight="false" outlineLevel="0" collapsed="false">
      <c r="A390" s="5" t="s">
        <v>1822</v>
      </c>
      <c r="B390" s="5" t="s">
        <v>497</v>
      </c>
      <c r="C390" s="5" t="s">
        <v>651</v>
      </c>
      <c r="D390" s="5" t="s">
        <v>655</v>
      </c>
      <c r="E390" s="6" t="s">
        <v>1746</v>
      </c>
      <c r="F390" s="6" t="s">
        <v>800</v>
      </c>
      <c r="G390" s="6" t="s">
        <v>1824</v>
      </c>
      <c r="H390" s="5"/>
      <c r="I390" s="6" t="s">
        <v>1769</v>
      </c>
    </row>
    <row r="391" customFormat="false" ht="15" hidden="false" customHeight="false" outlineLevel="0" collapsed="false">
      <c r="A391" s="5" t="s">
        <v>1822</v>
      </c>
      <c r="B391" s="5" t="s">
        <v>497</v>
      </c>
      <c r="C391" s="5" t="s">
        <v>651</v>
      </c>
      <c r="D391" s="5" t="s">
        <v>655</v>
      </c>
      <c r="E391" s="6" t="s">
        <v>1743</v>
      </c>
      <c r="F391" s="6" t="s">
        <v>794</v>
      </c>
      <c r="G391" s="6" t="s">
        <v>1825</v>
      </c>
      <c r="H391" s="5"/>
      <c r="I391" s="6" t="s">
        <v>1769</v>
      </c>
    </row>
    <row r="392" customFormat="false" ht="15" hidden="false" customHeight="false" outlineLevel="0" collapsed="false">
      <c r="A392" s="5" t="s">
        <v>1822</v>
      </c>
      <c r="B392" s="5" t="s">
        <v>497</v>
      </c>
      <c r="C392" s="5" t="s">
        <v>651</v>
      </c>
      <c r="D392" s="5" t="s">
        <v>655</v>
      </c>
      <c r="E392" s="6" t="s">
        <v>1739</v>
      </c>
      <c r="F392" s="6" t="s">
        <v>1740</v>
      </c>
      <c r="G392" s="6" t="s">
        <v>1826</v>
      </c>
      <c r="H392" s="5"/>
      <c r="I392" s="6" t="s">
        <v>1769</v>
      </c>
    </row>
    <row r="393" customFormat="false" ht="35.05" hidden="false" customHeight="false" outlineLevel="0" collapsed="false">
      <c r="A393" s="5" t="s">
        <v>1822</v>
      </c>
      <c r="B393" s="5" t="s">
        <v>497</v>
      </c>
      <c r="C393" s="5" t="s">
        <v>651</v>
      </c>
      <c r="D393" s="5" t="s">
        <v>655</v>
      </c>
      <c r="E393" s="6" t="s">
        <v>1724</v>
      </c>
      <c r="F393" s="6"/>
      <c r="G393" s="6" t="s">
        <v>1764</v>
      </c>
      <c r="H393" s="5"/>
      <c r="I393" s="6"/>
    </row>
    <row r="394" customFormat="false" ht="23.85" hidden="false" customHeight="false" outlineLevel="0" collapsed="false">
      <c r="A394" s="5" t="s">
        <v>1822</v>
      </c>
      <c r="B394" s="5" t="s">
        <v>497</v>
      </c>
      <c r="C394" s="5" t="s">
        <v>651</v>
      </c>
      <c r="D394" s="5" t="s">
        <v>655</v>
      </c>
      <c r="E394" s="6" t="s">
        <v>1750</v>
      </c>
      <c r="F394" s="6" t="s">
        <v>1751</v>
      </c>
      <c r="G394" s="6" t="s">
        <v>1765</v>
      </c>
      <c r="H394" s="5"/>
      <c r="I394" s="6" t="s">
        <v>1753</v>
      </c>
    </row>
    <row r="395" customFormat="false" ht="35.05" hidden="false" customHeight="false" outlineLevel="0" collapsed="false">
      <c r="A395" s="5" t="s">
        <v>1822</v>
      </c>
      <c r="B395" s="5" t="s">
        <v>497</v>
      </c>
      <c r="C395" s="5" t="s">
        <v>651</v>
      </c>
      <c r="D395" s="5" t="s">
        <v>655</v>
      </c>
      <c r="E395" s="6" t="s">
        <v>1730</v>
      </c>
      <c r="F395" s="6"/>
      <c r="G395" s="6" t="s">
        <v>1766</v>
      </c>
      <c r="H395" s="5"/>
      <c r="I395" s="6"/>
    </row>
    <row r="396" customFormat="false" ht="23.85" hidden="false" customHeight="false" outlineLevel="0" collapsed="false">
      <c r="A396" s="5" t="s">
        <v>1827</v>
      </c>
      <c r="B396" s="5" t="s">
        <v>497</v>
      </c>
      <c r="C396" s="5" t="s">
        <v>660</v>
      </c>
      <c r="D396" s="5" t="s">
        <v>661</v>
      </c>
      <c r="E396" s="6" t="s">
        <v>1720</v>
      </c>
      <c r="F396" s="6" t="s">
        <v>1757</v>
      </c>
      <c r="G396" s="6" t="s">
        <v>1734</v>
      </c>
      <c r="H396" s="5"/>
      <c r="I396" s="6" t="s">
        <v>1723</v>
      </c>
    </row>
    <row r="397" customFormat="false" ht="15" hidden="false" customHeight="false" outlineLevel="0" collapsed="false">
      <c r="A397" s="5" t="s">
        <v>1827</v>
      </c>
      <c r="B397" s="5" t="s">
        <v>497</v>
      </c>
      <c r="C397" s="5" t="s">
        <v>660</v>
      </c>
      <c r="D397" s="5" t="s">
        <v>661</v>
      </c>
      <c r="E397" s="6" t="s">
        <v>1735</v>
      </c>
      <c r="F397" s="6" t="s">
        <v>877</v>
      </c>
      <c r="G397" s="6" t="s">
        <v>1768</v>
      </c>
      <c r="H397" s="5"/>
      <c r="I397" s="6" t="s">
        <v>1769</v>
      </c>
    </row>
    <row r="398" customFormat="false" ht="15" hidden="false" customHeight="false" outlineLevel="0" collapsed="false">
      <c r="A398" s="5" t="s">
        <v>1827</v>
      </c>
      <c r="B398" s="5" t="s">
        <v>497</v>
      </c>
      <c r="C398" s="5" t="s">
        <v>660</v>
      </c>
      <c r="D398" s="5" t="s">
        <v>661</v>
      </c>
      <c r="E398" s="6" t="s">
        <v>1746</v>
      </c>
      <c r="F398" s="6" t="s">
        <v>800</v>
      </c>
      <c r="G398" s="6" t="s">
        <v>1824</v>
      </c>
      <c r="H398" s="5"/>
      <c r="I398" s="6" t="s">
        <v>1769</v>
      </c>
    </row>
    <row r="399" customFormat="false" ht="15" hidden="false" customHeight="false" outlineLevel="0" collapsed="false">
      <c r="A399" s="5" t="s">
        <v>1827</v>
      </c>
      <c r="B399" s="5" t="s">
        <v>497</v>
      </c>
      <c r="C399" s="5" t="s">
        <v>660</v>
      </c>
      <c r="D399" s="5" t="s">
        <v>661</v>
      </c>
      <c r="E399" s="6" t="s">
        <v>1743</v>
      </c>
      <c r="F399" s="6" t="s">
        <v>794</v>
      </c>
      <c r="G399" s="6" t="s">
        <v>1778</v>
      </c>
      <c r="H399" s="5"/>
      <c r="I399" s="6" t="s">
        <v>1769</v>
      </c>
    </row>
    <row r="400" customFormat="false" ht="15" hidden="false" customHeight="false" outlineLevel="0" collapsed="false">
      <c r="A400" s="5" t="s">
        <v>1827</v>
      </c>
      <c r="B400" s="5" t="s">
        <v>497</v>
      </c>
      <c r="C400" s="5" t="s">
        <v>660</v>
      </c>
      <c r="D400" s="5" t="s">
        <v>661</v>
      </c>
      <c r="E400" s="6" t="s">
        <v>1739</v>
      </c>
      <c r="F400" s="6" t="s">
        <v>1740</v>
      </c>
      <c r="G400" s="6" t="s">
        <v>1828</v>
      </c>
      <c r="H400" s="5"/>
      <c r="I400" s="6" t="s">
        <v>1769</v>
      </c>
    </row>
    <row r="401" customFormat="false" ht="35.05" hidden="false" customHeight="false" outlineLevel="0" collapsed="false">
      <c r="A401" s="5" t="s">
        <v>1827</v>
      </c>
      <c r="B401" s="5" t="s">
        <v>497</v>
      </c>
      <c r="C401" s="5" t="s">
        <v>660</v>
      </c>
      <c r="D401" s="5" t="s">
        <v>661</v>
      </c>
      <c r="E401" s="6" t="s">
        <v>1724</v>
      </c>
      <c r="F401" s="6"/>
      <c r="G401" s="6" t="s">
        <v>1764</v>
      </c>
      <c r="H401" s="5"/>
      <c r="I401" s="6"/>
    </row>
    <row r="402" customFormat="false" ht="23.85" hidden="false" customHeight="false" outlineLevel="0" collapsed="false">
      <c r="A402" s="5" t="s">
        <v>1827</v>
      </c>
      <c r="B402" s="5" t="s">
        <v>497</v>
      </c>
      <c r="C402" s="5" t="s">
        <v>660</v>
      </c>
      <c r="D402" s="5" t="s">
        <v>661</v>
      </c>
      <c r="E402" s="6" t="s">
        <v>1750</v>
      </c>
      <c r="F402" s="6" t="s">
        <v>1751</v>
      </c>
      <c r="G402" s="6" t="s">
        <v>1765</v>
      </c>
      <c r="H402" s="5"/>
      <c r="I402" s="6" t="s">
        <v>1753</v>
      </c>
    </row>
    <row r="403" customFormat="false" ht="35.05" hidden="false" customHeight="false" outlineLevel="0" collapsed="false">
      <c r="A403" s="5" t="s">
        <v>1827</v>
      </c>
      <c r="B403" s="5" t="s">
        <v>497</v>
      </c>
      <c r="C403" s="5" t="s">
        <v>660</v>
      </c>
      <c r="D403" s="5" t="s">
        <v>661</v>
      </c>
      <c r="E403" s="6" t="s">
        <v>1730</v>
      </c>
      <c r="F403" s="6"/>
      <c r="G403" s="6" t="s">
        <v>1766</v>
      </c>
      <c r="H403" s="5"/>
      <c r="I403" s="6"/>
    </row>
    <row r="404" customFormat="false" ht="15" hidden="false" customHeight="false" outlineLevel="0" collapsed="false">
      <c r="A404" s="5" t="s">
        <v>1829</v>
      </c>
      <c r="B404" s="5" t="s">
        <v>497</v>
      </c>
      <c r="C404" s="5" t="s">
        <v>666</v>
      </c>
      <c r="D404" s="5" t="s">
        <v>669</v>
      </c>
      <c r="E404" s="6" t="s">
        <v>1720</v>
      </c>
      <c r="F404" s="6"/>
      <c r="G404" s="6" t="s">
        <v>1722</v>
      </c>
      <c r="H404" s="5"/>
      <c r="I404" s="6" t="s">
        <v>1723</v>
      </c>
    </row>
    <row r="405" customFormat="false" ht="15" hidden="false" customHeight="false" outlineLevel="0" collapsed="false">
      <c r="A405" s="5" t="s">
        <v>1829</v>
      </c>
      <c r="B405" s="5" t="s">
        <v>497</v>
      </c>
      <c r="C405" s="5" t="s">
        <v>666</v>
      </c>
      <c r="D405" s="5" t="s">
        <v>669</v>
      </c>
      <c r="E405" s="6" t="s">
        <v>1735</v>
      </c>
      <c r="F405" s="6" t="s">
        <v>1736</v>
      </c>
      <c r="G405" s="6" t="s">
        <v>1830</v>
      </c>
      <c r="H405" s="5"/>
      <c r="I405" s="6" t="s">
        <v>1769</v>
      </c>
    </row>
    <row r="406" customFormat="false" ht="15" hidden="false" customHeight="false" outlineLevel="0" collapsed="false">
      <c r="A406" s="5" t="s">
        <v>1829</v>
      </c>
      <c r="B406" s="5" t="s">
        <v>497</v>
      </c>
      <c r="C406" s="5" t="s">
        <v>666</v>
      </c>
      <c r="D406" s="5" t="s">
        <v>669</v>
      </c>
      <c r="E406" s="6" t="s">
        <v>1746</v>
      </c>
      <c r="F406" s="6" t="s">
        <v>1747</v>
      </c>
      <c r="G406" s="6" t="s">
        <v>1774</v>
      </c>
      <c r="H406" s="5"/>
      <c r="I406" s="6" t="s">
        <v>1769</v>
      </c>
    </row>
    <row r="407" customFormat="false" ht="15" hidden="false" customHeight="false" outlineLevel="0" collapsed="false">
      <c r="A407" s="5" t="s">
        <v>1829</v>
      </c>
      <c r="B407" s="5" t="s">
        <v>497</v>
      </c>
      <c r="C407" s="5" t="s">
        <v>666</v>
      </c>
      <c r="D407" s="5" t="s">
        <v>669</v>
      </c>
      <c r="E407" s="6" t="s">
        <v>1743</v>
      </c>
      <c r="F407" s="6" t="s">
        <v>1744</v>
      </c>
      <c r="G407" s="6" t="s">
        <v>1831</v>
      </c>
      <c r="H407" s="5"/>
      <c r="I407" s="6" t="s">
        <v>1769</v>
      </c>
    </row>
    <row r="408" customFormat="false" ht="15" hidden="false" customHeight="false" outlineLevel="0" collapsed="false">
      <c r="A408" s="5" t="s">
        <v>1829</v>
      </c>
      <c r="B408" s="5" t="s">
        <v>497</v>
      </c>
      <c r="C408" s="5" t="s">
        <v>666</v>
      </c>
      <c r="D408" s="5" t="s">
        <v>669</v>
      </c>
      <c r="E408" s="6" t="s">
        <v>1739</v>
      </c>
      <c r="F408" s="6" t="s">
        <v>1740</v>
      </c>
      <c r="G408" s="6" t="s">
        <v>1832</v>
      </c>
      <c r="H408" s="5"/>
      <c r="I408" s="6" t="s">
        <v>1769</v>
      </c>
    </row>
    <row r="409" customFormat="false" ht="35.05" hidden="false" customHeight="false" outlineLevel="0" collapsed="false">
      <c r="A409" s="5" t="s">
        <v>1829</v>
      </c>
      <c r="B409" s="5" t="s">
        <v>497</v>
      </c>
      <c r="C409" s="5" t="s">
        <v>666</v>
      </c>
      <c r="D409" s="5" t="s">
        <v>669</v>
      </c>
      <c r="E409" s="6" t="s">
        <v>1724</v>
      </c>
      <c r="F409" s="6"/>
      <c r="G409" s="6" t="s">
        <v>1764</v>
      </c>
      <c r="H409" s="5"/>
      <c r="I409" s="6"/>
    </row>
    <row r="410" customFormat="false" ht="23.85" hidden="false" customHeight="false" outlineLevel="0" collapsed="false">
      <c r="A410" s="5" t="s">
        <v>1833</v>
      </c>
      <c r="B410" s="5" t="s">
        <v>497</v>
      </c>
      <c r="C410" s="5" t="s">
        <v>674</v>
      </c>
      <c r="D410" s="5" t="s">
        <v>677</v>
      </c>
      <c r="E410" s="6" t="s">
        <v>1720</v>
      </c>
      <c r="F410" s="6" t="s">
        <v>1757</v>
      </c>
      <c r="G410" s="6" t="s">
        <v>1734</v>
      </c>
      <c r="H410" s="5"/>
      <c r="I410" s="6" t="s">
        <v>1723</v>
      </c>
    </row>
    <row r="411" customFormat="false" ht="15" hidden="false" customHeight="false" outlineLevel="0" collapsed="false">
      <c r="A411" s="5" t="s">
        <v>1833</v>
      </c>
      <c r="B411" s="5" t="s">
        <v>497</v>
      </c>
      <c r="C411" s="5" t="s">
        <v>674</v>
      </c>
      <c r="D411" s="5" t="s">
        <v>677</v>
      </c>
      <c r="E411" s="6" t="s">
        <v>1735</v>
      </c>
      <c r="F411" s="6" t="s">
        <v>1736</v>
      </c>
      <c r="G411" s="6" t="s">
        <v>1834</v>
      </c>
      <c r="H411" s="5"/>
      <c r="I411" s="6" t="s">
        <v>1769</v>
      </c>
    </row>
    <row r="412" customFormat="false" ht="15" hidden="false" customHeight="false" outlineLevel="0" collapsed="false">
      <c r="A412" s="5" t="s">
        <v>1833</v>
      </c>
      <c r="B412" s="5" t="s">
        <v>497</v>
      </c>
      <c r="C412" s="5" t="s">
        <v>674</v>
      </c>
      <c r="D412" s="5" t="s">
        <v>677</v>
      </c>
      <c r="E412" s="6" t="s">
        <v>1746</v>
      </c>
      <c r="F412" s="6" t="s">
        <v>1747</v>
      </c>
      <c r="G412" s="6" t="s">
        <v>1774</v>
      </c>
      <c r="H412" s="5"/>
      <c r="I412" s="6" t="s">
        <v>1769</v>
      </c>
    </row>
    <row r="413" customFormat="false" ht="15" hidden="false" customHeight="false" outlineLevel="0" collapsed="false">
      <c r="A413" s="5" t="s">
        <v>1833</v>
      </c>
      <c r="B413" s="5" t="s">
        <v>497</v>
      </c>
      <c r="C413" s="5" t="s">
        <v>674</v>
      </c>
      <c r="D413" s="5" t="s">
        <v>677</v>
      </c>
      <c r="E413" s="6" t="s">
        <v>1743</v>
      </c>
      <c r="F413" s="6" t="s">
        <v>1744</v>
      </c>
      <c r="G413" s="6" t="s">
        <v>1778</v>
      </c>
      <c r="H413" s="5"/>
      <c r="I413" s="6" t="s">
        <v>1769</v>
      </c>
    </row>
    <row r="414" customFormat="false" ht="15" hidden="false" customHeight="false" outlineLevel="0" collapsed="false">
      <c r="A414" s="5" t="s">
        <v>1833</v>
      </c>
      <c r="B414" s="5" t="s">
        <v>497</v>
      </c>
      <c r="C414" s="5" t="s">
        <v>674</v>
      </c>
      <c r="D414" s="5" t="s">
        <v>677</v>
      </c>
      <c r="E414" s="6" t="s">
        <v>1739</v>
      </c>
      <c r="F414" s="6" t="s">
        <v>1835</v>
      </c>
      <c r="G414" s="6" t="s">
        <v>1824</v>
      </c>
      <c r="H414" s="5"/>
      <c r="I414" s="6" t="s">
        <v>1769</v>
      </c>
    </row>
    <row r="415" customFormat="false" ht="35.05" hidden="false" customHeight="false" outlineLevel="0" collapsed="false">
      <c r="A415" s="5" t="s">
        <v>1833</v>
      </c>
      <c r="B415" s="5" t="s">
        <v>497</v>
      </c>
      <c r="C415" s="5" t="s">
        <v>674</v>
      </c>
      <c r="D415" s="5" t="s">
        <v>677</v>
      </c>
      <c r="E415" s="6" t="s">
        <v>1724</v>
      </c>
      <c r="F415" s="6"/>
      <c r="G415" s="6" t="s">
        <v>1764</v>
      </c>
      <c r="H415" s="5"/>
      <c r="I415" s="6"/>
    </row>
    <row r="416" customFormat="false" ht="23.85" hidden="false" customHeight="false" outlineLevel="0" collapsed="false">
      <c r="A416" s="5" t="s">
        <v>1833</v>
      </c>
      <c r="B416" s="5" t="s">
        <v>497</v>
      </c>
      <c r="C416" s="5" t="s">
        <v>674</v>
      </c>
      <c r="D416" s="5" t="s">
        <v>677</v>
      </c>
      <c r="E416" s="6" t="s">
        <v>1750</v>
      </c>
      <c r="F416" s="6" t="s">
        <v>1751</v>
      </c>
      <c r="G416" s="6" t="s">
        <v>1765</v>
      </c>
      <c r="H416" s="5"/>
      <c r="I416" s="6" t="s">
        <v>1753</v>
      </c>
    </row>
    <row r="417" customFormat="false" ht="35.05" hidden="false" customHeight="false" outlineLevel="0" collapsed="false">
      <c r="A417" s="5" t="s">
        <v>1833</v>
      </c>
      <c r="B417" s="5" t="s">
        <v>497</v>
      </c>
      <c r="C417" s="5" t="s">
        <v>674</v>
      </c>
      <c r="D417" s="5" t="s">
        <v>677</v>
      </c>
      <c r="E417" s="6" t="s">
        <v>1730</v>
      </c>
      <c r="F417" s="6"/>
      <c r="G417" s="6" t="s">
        <v>1766</v>
      </c>
      <c r="H417" s="5"/>
      <c r="I417" s="6"/>
    </row>
    <row r="418" customFormat="false" ht="23.85" hidden="false" customHeight="false" outlineLevel="0" collapsed="false">
      <c r="A418" s="5" t="s">
        <v>1836</v>
      </c>
      <c r="B418" s="5" t="s">
        <v>497</v>
      </c>
      <c r="C418" s="5" t="s">
        <v>682</v>
      </c>
      <c r="D418" s="5" t="s">
        <v>683</v>
      </c>
      <c r="E418" s="6" t="s">
        <v>1720</v>
      </c>
      <c r="F418" s="6" t="s">
        <v>1757</v>
      </c>
      <c r="G418" s="6" t="s">
        <v>1734</v>
      </c>
      <c r="H418" s="5"/>
      <c r="I418" s="6" t="s">
        <v>1723</v>
      </c>
    </row>
    <row r="419" customFormat="false" ht="15" hidden="false" customHeight="false" outlineLevel="0" collapsed="false">
      <c r="A419" s="5" t="s">
        <v>1836</v>
      </c>
      <c r="B419" s="5" t="s">
        <v>497</v>
      </c>
      <c r="C419" s="5" t="s">
        <v>682</v>
      </c>
      <c r="D419" s="5" t="s">
        <v>683</v>
      </c>
      <c r="E419" s="6" t="s">
        <v>1735</v>
      </c>
      <c r="F419" s="6" t="s">
        <v>1736</v>
      </c>
      <c r="G419" s="6" t="s">
        <v>1837</v>
      </c>
      <c r="H419" s="5"/>
      <c r="I419" s="6" t="s">
        <v>1769</v>
      </c>
    </row>
    <row r="420" customFormat="false" ht="15" hidden="false" customHeight="false" outlineLevel="0" collapsed="false">
      <c r="A420" s="5" t="s">
        <v>1836</v>
      </c>
      <c r="B420" s="5" t="s">
        <v>497</v>
      </c>
      <c r="C420" s="5" t="s">
        <v>682</v>
      </c>
      <c r="D420" s="5" t="s">
        <v>683</v>
      </c>
      <c r="E420" s="6" t="s">
        <v>1746</v>
      </c>
      <c r="F420" s="6" t="s">
        <v>1747</v>
      </c>
      <c r="G420" s="6" t="s">
        <v>1776</v>
      </c>
      <c r="H420" s="5"/>
      <c r="I420" s="6" t="s">
        <v>1769</v>
      </c>
    </row>
    <row r="421" customFormat="false" ht="15" hidden="false" customHeight="false" outlineLevel="0" collapsed="false">
      <c r="A421" s="5" t="s">
        <v>1836</v>
      </c>
      <c r="B421" s="5" t="s">
        <v>497</v>
      </c>
      <c r="C421" s="5" t="s">
        <v>682</v>
      </c>
      <c r="D421" s="5" t="s">
        <v>683</v>
      </c>
      <c r="E421" s="6" t="s">
        <v>1743</v>
      </c>
      <c r="F421" s="6" t="s">
        <v>1744</v>
      </c>
      <c r="G421" s="6" t="s">
        <v>1828</v>
      </c>
      <c r="H421" s="5"/>
      <c r="I421" s="6" t="s">
        <v>1769</v>
      </c>
    </row>
    <row r="422" customFormat="false" ht="15" hidden="false" customHeight="false" outlineLevel="0" collapsed="false">
      <c r="A422" s="5" t="s">
        <v>1836</v>
      </c>
      <c r="B422" s="5" t="s">
        <v>497</v>
      </c>
      <c r="C422" s="5" t="s">
        <v>682</v>
      </c>
      <c r="D422" s="5" t="s">
        <v>683</v>
      </c>
      <c r="E422" s="6" t="s">
        <v>1739</v>
      </c>
      <c r="F422" s="6" t="s">
        <v>1740</v>
      </c>
      <c r="G422" s="6" t="s">
        <v>1838</v>
      </c>
      <c r="H422" s="5"/>
      <c r="I422" s="6" t="s">
        <v>1769</v>
      </c>
    </row>
    <row r="423" customFormat="false" ht="35.05" hidden="false" customHeight="false" outlineLevel="0" collapsed="false">
      <c r="A423" s="5" t="s">
        <v>1836</v>
      </c>
      <c r="B423" s="5" t="s">
        <v>497</v>
      </c>
      <c r="C423" s="5" t="s">
        <v>682</v>
      </c>
      <c r="D423" s="5" t="s">
        <v>683</v>
      </c>
      <c r="E423" s="6" t="s">
        <v>1724</v>
      </c>
      <c r="F423" s="6"/>
      <c r="G423" s="6" t="s">
        <v>1764</v>
      </c>
      <c r="H423" s="5"/>
      <c r="I423" s="6"/>
    </row>
    <row r="424" customFormat="false" ht="23.85" hidden="false" customHeight="false" outlineLevel="0" collapsed="false">
      <c r="A424" s="5" t="s">
        <v>1836</v>
      </c>
      <c r="B424" s="5" t="s">
        <v>497</v>
      </c>
      <c r="C424" s="5" t="s">
        <v>682</v>
      </c>
      <c r="D424" s="5" t="s">
        <v>683</v>
      </c>
      <c r="E424" s="6" t="s">
        <v>1750</v>
      </c>
      <c r="F424" s="6" t="s">
        <v>1751</v>
      </c>
      <c r="G424" s="6" t="s">
        <v>1765</v>
      </c>
      <c r="H424" s="5"/>
      <c r="I424" s="6" t="s">
        <v>1753</v>
      </c>
    </row>
    <row r="425" customFormat="false" ht="35.05" hidden="false" customHeight="false" outlineLevel="0" collapsed="false">
      <c r="A425" s="5" t="s">
        <v>1836</v>
      </c>
      <c r="B425" s="5" t="s">
        <v>497</v>
      </c>
      <c r="C425" s="5" t="s">
        <v>682</v>
      </c>
      <c r="D425" s="5" t="s">
        <v>683</v>
      </c>
      <c r="E425" s="6" t="s">
        <v>1730</v>
      </c>
      <c r="F425" s="6"/>
      <c r="G425" s="6" t="s">
        <v>1766</v>
      </c>
      <c r="H425" s="5"/>
      <c r="I425" s="6"/>
    </row>
    <row r="426" customFormat="false" ht="23.85" hidden="false" customHeight="false" outlineLevel="0" collapsed="false">
      <c r="A426" s="5" t="s">
        <v>1839</v>
      </c>
      <c r="B426" s="5" t="s">
        <v>497</v>
      </c>
      <c r="C426" s="5" t="s">
        <v>687</v>
      </c>
      <c r="D426" s="5" t="s">
        <v>688</v>
      </c>
      <c r="E426" s="6" t="s">
        <v>1720</v>
      </c>
      <c r="F426" s="6" t="s">
        <v>1757</v>
      </c>
      <c r="G426" s="6" t="s">
        <v>1734</v>
      </c>
      <c r="H426" s="5"/>
      <c r="I426" s="6" t="s">
        <v>1723</v>
      </c>
    </row>
    <row r="427" customFormat="false" ht="15" hidden="false" customHeight="false" outlineLevel="0" collapsed="false">
      <c r="A427" s="5" t="s">
        <v>1839</v>
      </c>
      <c r="B427" s="5" t="s">
        <v>497</v>
      </c>
      <c r="C427" s="5" t="s">
        <v>687</v>
      </c>
      <c r="D427" s="5" t="s">
        <v>688</v>
      </c>
      <c r="E427" s="6" t="s">
        <v>1735</v>
      </c>
      <c r="F427" s="6" t="s">
        <v>1736</v>
      </c>
      <c r="G427" s="6" t="s">
        <v>1840</v>
      </c>
      <c r="H427" s="5"/>
      <c r="I427" s="6" t="s">
        <v>1760</v>
      </c>
    </row>
    <row r="428" customFormat="false" ht="15" hidden="false" customHeight="false" outlineLevel="0" collapsed="false">
      <c r="A428" s="5" t="s">
        <v>1839</v>
      </c>
      <c r="B428" s="5" t="s">
        <v>497</v>
      </c>
      <c r="C428" s="5" t="s">
        <v>687</v>
      </c>
      <c r="D428" s="5" t="s">
        <v>688</v>
      </c>
      <c r="E428" s="6" t="s">
        <v>1746</v>
      </c>
      <c r="F428" s="6" t="s">
        <v>1747</v>
      </c>
      <c r="G428" s="6" t="s">
        <v>1763</v>
      </c>
      <c r="H428" s="5"/>
      <c r="I428" s="6" t="s">
        <v>1760</v>
      </c>
    </row>
    <row r="429" customFormat="false" ht="15" hidden="false" customHeight="false" outlineLevel="0" collapsed="false">
      <c r="A429" s="5" t="s">
        <v>1839</v>
      </c>
      <c r="B429" s="5" t="s">
        <v>497</v>
      </c>
      <c r="C429" s="5" t="s">
        <v>687</v>
      </c>
      <c r="D429" s="5" t="s">
        <v>688</v>
      </c>
      <c r="E429" s="6" t="s">
        <v>1743</v>
      </c>
      <c r="F429" s="6" t="s">
        <v>1744</v>
      </c>
      <c r="G429" s="6" t="s">
        <v>1803</v>
      </c>
      <c r="H429" s="5"/>
      <c r="I429" s="6" t="s">
        <v>1760</v>
      </c>
    </row>
    <row r="430" customFormat="false" ht="15" hidden="false" customHeight="false" outlineLevel="0" collapsed="false">
      <c r="A430" s="5" t="s">
        <v>1839</v>
      </c>
      <c r="B430" s="5" t="s">
        <v>497</v>
      </c>
      <c r="C430" s="5" t="s">
        <v>687</v>
      </c>
      <c r="D430" s="5" t="s">
        <v>688</v>
      </c>
      <c r="E430" s="6" t="s">
        <v>1739</v>
      </c>
      <c r="F430" s="6" t="s">
        <v>1740</v>
      </c>
      <c r="G430" s="6" t="s">
        <v>1775</v>
      </c>
      <c r="H430" s="5"/>
      <c r="I430" s="6" t="s">
        <v>1760</v>
      </c>
    </row>
    <row r="431" customFormat="false" ht="35.05" hidden="false" customHeight="false" outlineLevel="0" collapsed="false">
      <c r="A431" s="5" t="s">
        <v>1839</v>
      </c>
      <c r="B431" s="5" t="s">
        <v>497</v>
      </c>
      <c r="C431" s="5" t="s">
        <v>687</v>
      </c>
      <c r="D431" s="5" t="s">
        <v>688</v>
      </c>
      <c r="E431" s="6" t="s">
        <v>1724</v>
      </c>
      <c r="F431" s="6"/>
      <c r="G431" s="6" t="s">
        <v>1764</v>
      </c>
      <c r="H431" s="5"/>
      <c r="I431" s="6"/>
    </row>
    <row r="432" customFormat="false" ht="23.85" hidden="false" customHeight="false" outlineLevel="0" collapsed="false">
      <c r="A432" s="5" t="s">
        <v>1839</v>
      </c>
      <c r="B432" s="5" t="s">
        <v>497</v>
      </c>
      <c r="C432" s="5" t="s">
        <v>687</v>
      </c>
      <c r="D432" s="5" t="s">
        <v>688</v>
      </c>
      <c r="E432" s="6" t="s">
        <v>1750</v>
      </c>
      <c r="F432" s="6" t="s">
        <v>1751</v>
      </c>
      <c r="G432" s="6" t="s">
        <v>1765</v>
      </c>
      <c r="H432" s="5"/>
      <c r="I432" s="6" t="s">
        <v>1753</v>
      </c>
    </row>
    <row r="433" customFormat="false" ht="35.05" hidden="false" customHeight="false" outlineLevel="0" collapsed="false">
      <c r="A433" s="5" t="s">
        <v>1839</v>
      </c>
      <c r="B433" s="5" t="s">
        <v>497</v>
      </c>
      <c r="C433" s="5" t="s">
        <v>687</v>
      </c>
      <c r="D433" s="5" t="s">
        <v>688</v>
      </c>
      <c r="E433" s="6" t="s">
        <v>1730</v>
      </c>
      <c r="F433" s="6"/>
      <c r="G433" s="6" t="s">
        <v>1766</v>
      </c>
      <c r="H433" s="5"/>
      <c r="I433" s="6"/>
    </row>
    <row r="434" customFormat="false" ht="23.85" hidden="false" customHeight="false" outlineLevel="0" collapsed="false">
      <c r="A434" s="5" t="s">
        <v>1841</v>
      </c>
      <c r="B434" s="5" t="s">
        <v>497</v>
      </c>
      <c r="C434" s="5" t="s">
        <v>692</v>
      </c>
      <c r="D434" s="5" t="s">
        <v>693</v>
      </c>
      <c r="E434" s="6" t="s">
        <v>1720</v>
      </c>
      <c r="F434" s="6" t="s">
        <v>1757</v>
      </c>
      <c r="G434" s="6" t="s">
        <v>1734</v>
      </c>
      <c r="H434" s="5"/>
      <c r="I434" s="6" t="s">
        <v>1723</v>
      </c>
    </row>
    <row r="435" customFormat="false" ht="15" hidden="false" customHeight="false" outlineLevel="0" collapsed="false">
      <c r="A435" s="5" t="s">
        <v>1841</v>
      </c>
      <c r="B435" s="5" t="s">
        <v>497</v>
      </c>
      <c r="C435" s="5" t="s">
        <v>692</v>
      </c>
      <c r="D435" s="5" t="s">
        <v>693</v>
      </c>
      <c r="E435" s="6" t="s">
        <v>1735</v>
      </c>
      <c r="F435" s="6" t="s">
        <v>1736</v>
      </c>
      <c r="G435" s="6" t="s">
        <v>1842</v>
      </c>
      <c r="H435" s="5"/>
      <c r="I435" s="6" t="s">
        <v>1808</v>
      </c>
    </row>
    <row r="436" customFormat="false" ht="15" hidden="false" customHeight="false" outlineLevel="0" collapsed="false">
      <c r="A436" s="5" t="s">
        <v>1841</v>
      </c>
      <c r="B436" s="5" t="s">
        <v>497</v>
      </c>
      <c r="C436" s="5" t="s">
        <v>692</v>
      </c>
      <c r="D436" s="5" t="s">
        <v>693</v>
      </c>
      <c r="E436" s="6" t="s">
        <v>1746</v>
      </c>
      <c r="F436" s="6" t="s">
        <v>1747</v>
      </c>
      <c r="G436" s="6" t="s">
        <v>1824</v>
      </c>
      <c r="H436" s="5"/>
      <c r="I436" s="6" t="s">
        <v>1808</v>
      </c>
    </row>
    <row r="437" customFormat="false" ht="15" hidden="false" customHeight="false" outlineLevel="0" collapsed="false">
      <c r="A437" s="5" t="s">
        <v>1841</v>
      </c>
      <c r="B437" s="5" t="s">
        <v>497</v>
      </c>
      <c r="C437" s="5" t="s">
        <v>692</v>
      </c>
      <c r="D437" s="5" t="s">
        <v>693</v>
      </c>
      <c r="E437" s="6" t="s">
        <v>1743</v>
      </c>
      <c r="F437" s="6" t="s">
        <v>1744</v>
      </c>
      <c r="G437" s="6" t="s">
        <v>1843</v>
      </c>
      <c r="H437" s="5"/>
      <c r="I437" s="6" t="s">
        <v>1808</v>
      </c>
    </row>
    <row r="438" customFormat="false" ht="15" hidden="false" customHeight="false" outlineLevel="0" collapsed="false">
      <c r="A438" s="5" t="s">
        <v>1841</v>
      </c>
      <c r="B438" s="5" t="s">
        <v>497</v>
      </c>
      <c r="C438" s="5" t="s">
        <v>692</v>
      </c>
      <c r="D438" s="5" t="s">
        <v>693</v>
      </c>
      <c r="E438" s="6" t="s">
        <v>1739</v>
      </c>
      <c r="F438" s="6" t="s">
        <v>1740</v>
      </c>
      <c r="G438" s="6" t="s">
        <v>1844</v>
      </c>
      <c r="H438" s="5"/>
      <c r="I438" s="6" t="s">
        <v>1808</v>
      </c>
    </row>
    <row r="439" customFormat="false" ht="35.05" hidden="false" customHeight="false" outlineLevel="0" collapsed="false">
      <c r="A439" s="5" t="s">
        <v>1841</v>
      </c>
      <c r="B439" s="5" t="s">
        <v>497</v>
      </c>
      <c r="C439" s="5" t="s">
        <v>692</v>
      </c>
      <c r="D439" s="5" t="s">
        <v>693</v>
      </c>
      <c r="E439" s="6" t="s">
        <v>1724</v>
      </c>
      <c r="F439" s="6"/>
      <c r="G439" s="6" t="s">
        <v>1764</v>
      </c>
      <c r="H439" s="5"/>
      <c r="I439" s="6"/>
    </row>
    <row r="440" customFormat="false" ht="23.85" hidden="false" customHeight="false" outlineLevel="0" collapsed="false">
      <c r="A440" s="5" t="s">
        <v>1841</v>
      </c>
      <c r="B440" s="5" t="s">
        <v>497</v>
      </c>
      <c r="C440" s="5" t="s">
        <v>692</v>
      </c>
      <c r="D440" s="5" t="s">
        <v>693</v>
      </c>
      <c r="E440" s="6" t="s">
        <v>1750</v>
      </c>
      <c r="F440" s="6" t="s">
        <v>1751</v>
      </c>
      <c r="G440" s="6" t="s">
        <v>1752</v>
      </c>
      <c r="H440" s="5"/>
      <c r="I440" s="6" t="s">
        <v>1753</v>
      </c>
    </row>
    <row r="441" customFormat="false" ht="35.05" hidden="false" customHeight="false" outlineLevel="0" collapsed="false">
      <c r="A441" s="5" t="s">
        <v>1841</v>
      </c>
      <c r="B441" s="5" t="s">
        <v>497</v>
      </c>
      <c r="C441" s="5" t="s">
        <v>692</v>
      </c>
      <c r="D441" s="5" t="s">
        <v>693</v>
      </c>
      <c r="E441" s="6" t="s">
        <v>1730</v>
      </c>
      <c r="F441" s="6"/>
      <c r="G441" s="6" t="s">
        <v>1766</v>
      </c>
      <c r="H441" s="5"/>
      <c r="I441" s="6"/>
    </row>
    <row r="442" customFormat="false" ht="23.85" hidden="false" customHeight="false" outlineLevel="0" collapsed="false">
      <c r="A442" s="5" t="s">
        <v>1845</v>
      </c>
      <c r="B442" s="5" t="s">
        <v>497</v>
      </c>
      <c r="C442" s="5" t="s">
        <v>698</v>
      </c>
      <c r="D442" s="5" t="s">
        <v>700</v>
      </c>
      <c r="E442" s="6" t="s">
        <v>1720</v>
      </c>
      <c r="F442" s="6" t="s">
        <v>1757</v>
      </c>
      <c r="G442" s="6" t="s">
        <v>1734</v>
      </c>
      <c r="H442" s="5"/>
      <c r="I442" s="6" t="s">
        <v>1723</v>
      </c>
    </row>
    <row r="443" customFormat="false" ht="15" hidden="false" customHeight="false" outlineLevel="0" collapsed="false">
      <c r="A443" s="5" t="s">
        <v>1845</v>
      </c>
      <c r="B443" s="5" t="s">
        <v>497</v>
      </c>
      <c r="C443" s="5" t="s">
        <v>698</v>
      </c>
      <c r="D443" s="5" t="s">
        <v>700</v>
      </c>
      <c r="E443" s="6" t="s">
        <v>1735</v>
      </c>
      <c r="F443" s="6" t="s">
        <v>1736</v>
      </c>
      <c r="G443" s="6" t="s">
        <v>1846</v>
      </c>
      <c r="H443" s="5"/>
      <c r="I443" s="6" t="s">
        <v>1808</v>
      </c>
    </row>
    <row r="444" customFormat="false" ht="15" hidden="false" customHeight="false" outlineLevel="0" collapsed="false">
      <c r="A444" s="5" t="s">
        <v>1845</v>
      </c>
      <c r="B444" s="5" t="s">
        <v>497</v>
      </c>
      <c r="C444" s="5" t="s">
        <v>698</v>
      </c>
      <c r="D444" s="5" t="s">
        <v>700</v>
      </c>
      <c r="E444" s="6" t="s">
        <v>1746</v>
      </c>
      <c r="F444" s="6" t="s">
        <v>1747</v>
      </c>
      <c r="G444" s="6" t="s">
        <v>1838</v>
      </c>
      <c r="H444" s="5"/>
      <c r="I444" s="6" t="s">
        <v>1808</v>
      </c>
    </row>
    <row r="445" customFormat="false" ht="15" hidden="false" customHeight="false" outlineLevel="0" collapsed="false">
      <c r="A445" s="5" t="s">
        <v>1845</v>
      </c>
      <c r="B445" s="5" t="s">
        <v>497</v>
      </c>
      <c r="C445" s="5" t="s">
        <v>698</v>
      </c>
      <c r="D445" s="5" t="s">
        <v>700</v>
      </c>
      <c r="E445" s="6" t="s">
        <v>1743</v>
      </c>
      <c r="F445" s="6" t="s">
        <v>1744</v>
      </c>
      <c r="G445" s="6" t="s">
        <v>1799</v>
      </c>
      <c r="H445" s="5"/>
      <c r="I445" s="6" t="s">
        <v>1808</v>
      </c>
    </row>
    <row r="446" customFormat="false" ht="15" hidden="false" customHeight="false" outlineLevel="0" collapsed="false">
      <c r="A446" s="5" t="s">
        <v>1845</v>
      </c>
      <c r="B446" s="5" t="s">
        <v>497</v>
      </c>
      <c r="C446" s="5" t="s">
        <v>698</v>
      </c>
      <c r="D446" s="5" t="s">
        <v>700</v>
      </c>
      <c r="E446" s="6" t="s">
        <v>1739</v>
      </c>
      <c r="F446" s="6" t="s">
        <v>1740</v>
      </c>
      <c r="G446" s="6" t="s">
        <v>1831</v>
      </c>
      <c r="H446" s="5"/>
      <c r="I446" s="6" t="s">
        <v>1808</v>
      </c>
    </row>
    <row r="447" customFormat="false" ht="35.05" hidden="false" customHeight="false" outlineLevel="0" collapsed="false">
      <c r="A447" s="5" t="s">
        <v>1845</v>
      </c>
      <c r="B447" s="5" t="s">
        <v>497</v>
      </c>
      <c r="C447" s="5" t="s">
        <v>698</v>
      </c>
      <c r="D447" s="5" t="s">
        <v>700</v>
      </c>
      <c r="E447" s="6" t="s">
        <v>1724</v>
      </c>
      <c r="F447" s="6"/>
      <c r="G447" s="6" t="s">
        <v>1764</v>
      </c>
      <c r="H447" s="5"/>
      <c r="I447" s="6"/>
    </row>
    <row r="448" customFormat="false" ht="23.85" hidden="false" customHeight="false" outlineLevel="0" collapsed="false">
      <c r="A448" s="5" t="s">
        <v>1845</v>
      </c>
      <c r="B448" s="5" t="s">
        <v>497</v>
      </c>
      <c r="C448" s="5" t="s">
        <v>698</v>
      </c>
      <c r="D448" s="5" t="s">
        <v>700</v>
      </c>
      <c r="E448" s="6" t="s">
        <v>1750</v>
      </c>
      <c r="F448" s="6" t="s">
        <v>1751</v>
      </c>
      <c r="G448" s="6" t="s">
        <v>1765</v>
      </c>
      <c r="H448" s="5"/>
      <c r="I448" s="6" t="s">
        <v>1753</v>
      </c>
    </row>
    <row r="449" customFormat="false" ht="35.05" hidden="false" customHeight="false" outlineLevel="0" collapsed="false">
      <c r="A449" s="5" t="s">
        <v>1845</v>
      </c>
      <c r="B449" s="5" t="s">
        <v>497</v>
      </c>
      <c r="C449" s="5" t="s">
        <v>698</v>
      </c>
      <c r="D449" s="5" t="s">
        <v>700</v>
      </c>
      <c r="E449" s="6" t="s">
        <v>1730</v>
      </c>
      <c r="F449" s="6"/>
      <c r="G449" s="6" t="s">
        <v>1766</v>
      </c>
      <c r="H449" s="5"/>
      <c r="I449" s="6"/>
    </row>
    <row r="450" customFormat="false" ht="23.85" hidden="false" customHeight="false" outlineLevel="0" collapsed="false">
      <c r="A450" s="5" t="s">
        <v>1847</v>
      </c>
      <c r="B450" s="5" t="s">
        <v>497</v>
      </c>
      <c r="C450" s="5" t="s">
        <v>704</v>
      </c>
      <c r="D450" s="5" t="s">
        <v>705</v>
      </c>
      <c r="E450" s="6" t="s">
        <v>1720</v>
      </c>
      <c r="F450" s="6" t="s">
        <v>1757</v>
      </c>
      <c r="G450" s="6" t="s">
        <v>1734</v>
      </c>
      <c r="H450" s="5"/>
      <c r="I450" s="6" t="s">
        <v>1723</v>
      </c>
    </row>
    <row r="451" customFormat="false" ht="15" hidden="false" customHeight="false" outlineLevel="0" collapsed="false">
      <c r="A451" s="5" t="s">
        <v>1847</v>
      </c>
      <c r="B451" s="5" t="s">
        <v>497</v>
      </c>
      <c r="C451" s="5" t="s">
        <v>704</v>
      </c>
      <c r="D451" s="5" t="s">
        <v>705</v>
      </c>
      <c r="E451" s="6" t="s">
        <v>1735</v>
      </c>
      <c r="F451" s="6" t="s">
        <v>1736</v>
      </c>
      <c r="G451" s="6" t="s">
        <v>1848</v>
      </c>
      <c r="H451" s="5"/>
      <c r="I451" s="6" t="s">
        <v>1760</v>
      </c>
    </row>
    <row r="452" customFormat="false" ht="15" hidden="false" customHeight="false" outlineLevel="0" collapsed="false">
      <c r="A452" s="5" t="s">
        <v>1847</v>
      </c>
      <c r="B452" s="5" t="s">
        <v>497</v>
      </c>
      <c r="C452" s="5" t="s">
        <v>704</v>
      </c>
      <c r="D452" s="5" t="s">
        <v>705</v>
      </c>
      <c r="E452" s="6" t="s">
        <v>1746</v>
      </c>
      <c r="F452" s="6" t="s">
        <v>1747</v>
      </c>
      <c r="G452" s="6" t="s">
        <v>1849</v>
      </c>
      <c r="H452" s="5"/>
      <c r="I452" s="6" t="s">
        <v>1760</v>
      </c>
    </row>
    <row r="453" customFormat="false" ht="15" hidden="false" customHeight="false" outlineLevel="0" collapsed="false">
      <c r="A453" s="5" t="s">
        <v>1847</v>
      </c>
      <c r="B453" s="5" t="s">
        <v>497</v>
      </c>
      <c r="C453" s="5" t="s">
        <v>704</v>
      </c>
      <c r="D453" s="5" t="s">
        <v>705</v>
      </c>
      <c r="E453" s="6" t="s">
        <v>1743</v>
      </c>
      <c r="F453" s="6" t="s">
        <v>1744</v>
      </c>
      <c r="G453" s="6" t="s">
        <v>1812</v>
      </c>
      <c r="H453" s="5"/>
      <c r="I453" s="6" t="s">
        <v>1760</v>
      </c>
    </row>
    <row r="454" customFormat="false" ht="15" hidden="false" customHeight="false" outlineLevel="0" collapsed="false">
      <c r="A454" s="5" t="s">
        <v>1847</v>
      </c>
      <c r="B454" s="5" t="s">
        <v>497</v>
      </c>
      <c r="C454" s="5" t="s">
        <v>704</v>
      </c>
      <c r="D454" s="5" t="s">
        <v>705</v>
      </c>
      <c r="E454" s="6" t="s">
        <v>1739</v>
      </c>
      <c r="F454" s="6" t="s">
        <v>1740</v>
      </c>
      <c r="G454" s="6" t="s">
        <v>1850</v>
      </c>
      <c r="H454" s="5"/>
      <c r="I454" s="6" t="s">
        <v>1760</v>
      </c>
    </row>
    <row r="455" customFormat="false" ht="35.05" hidden="false" customHeight="false" outlineLevel="0" collapsed="false">
      <c r="A455" s="5" t="s">
        <v>1847</v>
      </c>
      <c r="B455" s="5" t="s">
        <v>497</v>
      </c>
      <c r="C455" s="5" t="s">
        <v>704</v>
      </c>
      <c r="D455" s="5" t="s">
        <v>705</v>
      </c>
      <c r="E455" s="6" t="s">
        <v>1724</v>
      </c>
      <c r="F455" s="6"/>
      <c r="G455" s="6" t="s">
        <v>1764</v>
      </c>
      <c r="H455" s="5"/>
      <c r="I455" s="6"/>
    </row>
    <row r="456" customFormat="false" ht="23.85" hidden="false" customHeight="false" outlineLevel="0" collapsed="false">
      <c r="A456" s="5" t="s">
        <v>1847</v>
      </c>
      <c r="B456" s="5" t="s">
        <v>497</v>
      </c>
      <c r="C456" s="5" t="s">
        <v>704</v>
      </c>
      <c r="D456" s="5" t="s">
        <v>705</v>
      </c>
      <c r="E456" s="6" t="s">
        <v>1750</v>
      </c>
      <c r="F456" s="6" t="s">
        <v>1751</v>
      </c>
      <c r="G456" s="6" t="s">
        <v>1765</v>
      </c>
      <c r="H456" s="5"/>
      <c r="I456" s="6" t="s">
        <v>1753</v>
      </c>
    </row>
    <row r="457" customFormat="false" ht="35.05" hidden="false" customHeight="false" outlineLevel="0" collapsed="false">
      <c r="A457" s="5" t="s">
        <v>1847</v>
      </c>
      <c r="B457" s="5" t="s">
        <v>497</v>
      </c>
      <c r="C457" s="5" t="s">
        <v>704</v>
      </c>
      <c r="D457" s="5" t="s">
        <v>705</v>
      </c>
      <c r="E457" s="6" t="s">
        <v>1730</v>
      </c>
      <c r="F457" s="6"/>
      <c r="G457" s="6" t="s">
        <v>1766</v>
      </c>
      <c r="H457" s="5"/>
      <c r="I457" s="6"/>
    </row>
    <row r="458" customFormat="false" ht="23.85" hidden="false" customHeight="false" outlineLevel="0" collapsed="false">
      <c r="A458" s="5" t="s">
        <v>1851</v>
      </c>
      <c r="B458" s="5" t="s">
        <v>497</v>
      </c>
      <c r="C458" s="5" t="s">
        <v>709</v>
      </c>
      <c r="D458" s="5" t="s">
        <v>710</v>
      </c>
      <c r="E458" s="6" t="s">
        <v>1720</v>
      </c>
      <c r="F458" s="6" t="s">
        <v>1757</v>
      </c>
      <c r="G458" s="6" t="s">
        <v>1734</v>
      </c>
      <c r="H458" s="5"/>
      <c r="I458" s="6" t="s">
        <v>1723</v>
      </c>
    </row>
    <row r="459" customFormat="false" ht="15" hidden="false" customHeight="false" outlineLevel="0" collapsed="false">
      <c r="A459" s="5" t="s">
        <v>1851</v>
      </c>
      <c r="B459" s="5" t="s">
        <v>497</v>
      </c>
      <c r="C459" s="5" t="s">
        <v>709</v>
      </c>
      <c r="D459" s="5" t="s">
        <v>710</v>
      </c>
      <c r="E459" s="6" t="s">
        <v>1735</v>
      </c>
      <c r="F459" s="6" t="s">
        <v>1736</v>
      </c>
      <c r="G459" s="6" t="s">
        <v>1852</v>
      </c>
      <c r="H459" s="5"/>
      <c r="I459" s="6" t="s">
        <v>1769</v>
      </c>
    </row>
    <row r="460" customFormat="false" ht="15" hidden="false" customHeight="false" outlineLevel="0" collapsed="false">
      <c r="A460" s="5" t="s">
        <v>1851</v>
      </c>
      <c r="B460" s="5" t="s">
        <v>497</v>
      </c>
      <c r="C460" s="5" t="s">
        <v>709</v>
      </c>
      <c r="D460" s="5" t="s">
        <v>710</v>
      </c>
      <c r="E460" s="6" t="s">
        <v>1746</v>
      </c>
      <c r="F460" s="6" t="s">
        <v>1747</v>
      </c>
      <c r="G460" s="6" t="s">
        <v>1838</v>
      </c>
      <c r="H460" s="5"/>
      <c r="I460" s="6" t="s">
        <v>1769</v>
      </c>
    </row>
    <row r="461" customFormat="false" ht="15" hidden="false" customHeight="false" outlineLevel="0" collapsed="false">
      <c r="A461" s="5" t="s">
        <v>1851</v>
      </c>
      <c r="B461" s="5" t="s">
        <v>497</v>
      </c>
      <c r="C461" s="5" t="s">
        <v>709</v>
      </c>
      <c r="D461" s="5" t="s">
        <v>710</v>
      </c>
      <c r="E461" s="6" t="s">
        <v>1743</v>
      </c>
      <c r="F461" s="6" t="s">
        <v>1744</v>
      </c>
      <c r="G461" s="6" t="s">
        <v>1812</v>
      </c>
      <c r="H461" s="5"/>
      <c r="I461" s="6" t="s">
        <v>1769</v>
      </c>
    </row>
    <row r="462" customFormat="false" ht="15" hidden="false" customHeight="false" outlineLevel="0" collapsed="false">
      <c r="A462" s="5" t="s">
        <v>1851</v>
      </c>
      <c r="B462" s="5" t="s">
        <v>497</v>
      </c>
      <c r="C462" s="5" t="s">
        <v>709</v>
      </c>
      <c r="D462" s="5" t="s">
        <v>710</v>
      </c>
      <c r="E462" s="6" t="s">
        <v>1739</v>
      </c>
      <c r="F462" s="6" t="s">
        <v>1740</v>
      </c>
      <c r="G462" s="6" t="s">
        <v>1826</v>
      </c>
      <c r="H462" s="5"/>
      <c r="I462" s="6" t="s">
        <v>1769</v>
      </c>
    </row>
    <row r="463" customFormat="false" ht="35.05" hidden="false" customHeight="false" outlineLevel="0" collapsed="false">
      <c r="A463" s="5" t="s">
        <v>1851</v>
      </c>
      <c r="B463" s="5" t="s">
        <v>497</v>
      </c>
      <c r="C463" s="5" t="s">
        <v>709</v>
      </c>
      <c r="D463" s="5" t="s">
        <v>710</v>
      </c>
      <c r="E463" s="6" t="s">
        <v>1724</v>
      </c>
      <c r="F463" s="6"/>
      <c r="G463" s="6" t="s">
        <v>1764</v>
      </c>
      <c r="H463" s="5"/>
      <c r="I463" s="6"/>
    </row>
    <row r="464" customFormat="false" ht="23.85" hidden="false" customHeight="false" outlineLevel="0" collapsed="false">
      <c r="A464" s="5" t="s">
        <v>1851</v>
      </c>
      <c r="B464" s="5" t="s">
        <v>497</v>
      </c>
      <c r="C464" s="5" t="s">
        <v>709</v>
      </c>
      <c r="D464" s="5" t="s">
        <v>710</v>
      </c>
      <c r="E464" s="6" t="s">
        <v>1750</v>
      </c>
      <c r="F464" s="6" t="s">
        <v>1751</v>
      </c>
      <c r="G464" s="6" t="s">
        <v>1765</v>
      </c>
      <c r="H464" s="5"/>
      <c r="I464" s="6" t="s">
        <v>1753</v>
      </c>
    </row>
    <row r="465" customFormat="false" ht="35.05" hidden="false" customHeight="false" outlineLevel="0" collapsed="false">
      <c r="A465" s="5" t="s">
        <v>1851</v>
      </c>
      <c r="B465" s="5" t="s">
        <v>497</v>
      </c>
      <c r="C465" s="5" t="s">
        <v>709</v>
      </c>
      <c r="D465" s="5" t="s">
        <v>710</v>
      </c>
      <c r="E465" s="6" t="s">
        <v>1730</v>
      </c>
      <c r="F465" s="6"/>
      <c r="G465" s="6" t="s">
        <v>1766</v>
      </c>
      <c r="H465" s="5"/>
      <c r="I465" s="6"/>
    </row>
    <row r="466" customFormat="false" ht="23.85" hidden="false" customHeight="false" outlineLevel="0" collapsed="false">
      <c r="A466" s="5" t="s">
        <v>1853</v>
      </c>
      <c r="B466" s="5" t="s">
        <v>497</v>
      </c>
      <c r="C466" s="5" t="s">
        <v>714</v>
      </c>
      <c r="D466" s="5" t="s">
        <v>715</v>
      </c>
      <c r="E466" s="6" t="s">
        <v>1720</v>
      </c>
      <c r="F466" s="6" t="s">
        <v>1757</v>
      </c>
      <c r="G466" s="6" t="s">
        <v>1734</v>
      </c>
      <c r="H466" s="5"/>
      <c r="I466" s="6" t="s">
        <v>1723</v>
      </c>
    </row>
    <row r="467" customFormat="false" ht="15" hidden="false" customHeight="false" outlineLevel="0" collapsed="false">
      <c r="A467" s="5" t="s">
        <v>1853</v>
      </c>
      <c r="B467" s="5" t="s">
        <v>497</v>
      </c>
      <c r="C467" s="5" t="s">
        <v>714</v>
      </c>
      <c r="D467" s="5" t="s">
        <v>715</v>
      </c>
      <c r="E467" s="6" t="s">
        <v>1735</v>
      </c>
      <c r="F467" s="6" t="s">
        <v>1736</v>
      </c>
      <c r="G467" s="6" t="s">
        <v>1834</v>
      </c>
      <c r="H467" s="5"/>
      <c r="I467" s="6" t="s">
        <v>1769</v>
      </c>
    </row>
    <row r="468" customFormat="false" ht="15" hidden="false" customHeight="false" outlineLevel="0" collapsed="false">
      <c r="A468" s="5" t="s">
        <v>1853</v>
      </c>
      <c r="B468" s="5" t="s">
        <v>497</v>
      </c>
      <c r="C468" s="5" t="s">
        <v>714</v>
      </c>
      <c r="D468" s="5" t="s">
        <v>715</v>
      </c>
      <c r="E468" s="6" t="s">
        <v>1746</v>
      </c>
      <c r="F468" s="6" t="s">
        <v>1747</v>
      </c>
      <c r="G468" s="6" t="s">
        <v>1838</v>
      </c>
      <c r="H468" s="5"/>
      <c r="I468" s="6" t="s">
        <v>1769</v>
      </c>
    </row>
    <row r="469" customFormat="false" ht="15" hidden="false" customHeight="false" outlineLevel="0" collapsed="false">
      <c r="A469" s="5" t="s">
        <v>1853</v>
      </c>
      <c r="B469" s="5" t="s">
        <v>497</v>
      </c>
      <c r="C469" s="5" t="s">
        <v>714</v>
      </c>
      <c r="D469" s="5" t="s">
        <v>715</v>
      </c>
      <c r="E469" s="6" t="s">
        <v>1743</v>
      </c>
      <c r="F469" s="6" t="s">
        <v>1744</v>
      </c>
      <c r="G469" s="6" t="s">
        <v>1812</v>
      </c>
      <c r="H469" s="5"/>
      <c r="I469" s="6" t="s">
        <v>1769</v>
      </c>
    </row>
    <row r="470" customFormat="false" ht="15" hidden="false" customHeight="false" outlineLevel="0" collapsed="false">
      <c r="A470" s="5" t="s">
        <v>1853</v>
      </c>
      <c r="B470" s="5" t="s">
        <v>497</v>
      </c>
      <c r="C470" s="5" t="s">
        <v>714</v>
      </c>
      <c r="D470" s="5" t="s">
        <v>715</v>
      </c>
      <c r="E470" s="6" t="s">
        <v>1739</v>
      </c>
      <c r="F470" s="6" t="s">
        <v>1740</v>
      </c>
      <c r="G470" s="6" t="s">
        <v>1854</v>
      </c>
      <c r="H470" s="5"/>
      <c r="I470" s="6" t="s">
        <v>1769</v>
      </c>
    </row>
    <row r="471" customFormat="false" ht="35.05" hidden="false" customHeight="false" outlineLevel="0" collapsed="false">
      <c r="A471" s="5" t="s">
        <v>1853</v>
      </c>
      <c r="B471" s="5" t="s">
        <v>497</v>
      </c>
      <c r="C471" s="5" t="s">
        <v>714</v>
      </c>
      <c r="D471" s="5" t="s">
        <v>715</v>
      </c>
      <c r="E471" s="6" t="s">
        <v>1724</v>
      </c>
      <c r="F471" s="6"/>
      <c r="G471" s="6" t="s">
        <v>1764</v>
      </c>
      <c r="H471" s="5"/>
      <c r="I471" s="6"/>
    </row>
    <row r="472" customFormat="false" ht="23.85" hidden="false" customHeight="false" outlineLevel="0" collapsed="false">
      <c r="A472" s="5" t="s">
        <v>1853</v>
      </c>
      <c r="B472" s="5" t="s">
        <v>497</v>
      </c>
      <c r="C472" s="5" t="s">
        <v>714</v>
      </c>
      <c r="D472" s="5" t="s">
        <v>715</v>
      </c>
      <c r="E472" s="6" t="s">
        <v>1750</v>
      </c>
      <c r="F472" s="6" t="s">
        <v>1751</v>
      </c>
      <c r="G472" s="6" t="s">
        <v>1765</v>
      </c>
      <c r="H472" s="5"/>
      <c r="I472" s="6" t="s">
        <v>1753</v>
      </c>
    </row>
    <row r="473" customFormat="false" ht="35.05" hidden="false" customHeight="false" outlineLevel="0" collapsed="false">
      <c r="A473" s="5" t="s">
        <v>1853</v>
      </c>
      <c r="B473" s="5" t="s">
        <v>497</v>
      </c>
      <c r="C473" s="5" t="s">
        <v>714</v>
      </c>
      <c r="D473" s="5" t="s">
        <v>715</v>
      </c>
      <c r="E473" s="6" t="s">
        <v>1730</v>
      </c>
      <c r="F473" s="6"/>
      <c r="G473" s="6" t="s">
        <v>1766</v>
      </c>
      <c r="H473" s="5"/>
      <c r="I473" s="6"/>
    </row>
    <row r="474" customFormat="false" ht="23.85" hidden="false" customHeight="false" outlineLevel="0" collapsed="false">
      <c r="A474" s="5" t="s">
        <v>1855</v>
      </c>
      <c r="B474" s="5" t="s">
        <v>497</v>
      </c>
      <c r="C474" s="5" t="s">
        <v>720</v>
      </c>
      <c r="D474" s="5" t="s">
        <v>723</v>
      </c>
      <c r="E474" s="6" t="s">
        <v>1720</v>
      </c>
      <c r="F474" s="6" t="s">
        <v>1757</v>
      </c>
      <c r="G474" s="6" t="s">
        <v>1734</v>
      </c>
      <c r="H474" s="5"/>
      <c r="I474" s="6" t="s">
        <v>1723</v>
      </c>
    </row>
    <row r="475" customFormat="false" ht="15" hidden="false" customHeight="false" outlineLevel="0" collapsed="false">
      <c r="A475" s="5" t="s">
        <v>1855</v>
      </c>
      <c r="B475" s="5" t="s">
        <v>497</v>
      </c>
      <c r="C475" s="5" t="s">
        <v>720</v>
      </c>
      <c r="D475" s="5" t="s">
        <v>723</v>
      </c>
      <c r="E475" s="6" t="s">
        <v>1735</v>
      </c>
      <c r="F475" s="6" t="s">
        <v>877</v>
      </c>
      <c r="G475" s="6" t="s">
        <v>1856</v>
      </c>
      <c r="H475" s="5"/>
      <c r="I475" s="6" t="s">
        <v>1760</v>
      </c>
    </row>
    <row r="476" customFormat="false" ht="15" hidden="false" customHeight="false" outlineLevel="0" collapsed="false">
      <c r="A476" s="5" t="s">
        <v>1855</v>
      </c>
      <c r="B476" s="5" t="s">
        <v>497</v>
      </c>
      <c r="C476" s="5" t="s">
        <v>720</v>
      </c>
      <c r="D476" s="5" t="s">
        <v>723</v>
      </c>
      <c r="E476" s="6" t="s">
        <v>1746</v>
      </c>
      <c r="F476" s="6" t="s">
        <v>800</v>
      </c>
      <c r="G476" s="6" t="s">
        <v>1843</v>
      </c>
      <c r="H476" s="5"/>
      <c r="I476" s="6" t="s">
        <v>1760</v>
      </c>
    </row>
    <row r="477" customFormat="false" ht="15" hidden="false" customHeight="false" outlineLevel="0" collapsed="false">
      <c r="A477" s="5" t="s">
        <v>1855</v>
      </c>
      <c r="B477" s="5" t="s">
        <v>497</v>
      </c>
      <c r="C477" s="5" t="s">
        <v>720</v>
      </c>
      <c r="D477" s="5" t="s">
        <v>723</v>
      </c>
      <c r="E477" s="6" t="s">
        <v>1743</v>
      </c>
      <c r="F477" s="6" t="s">
        <v>794</v>
      </c>
      <c r="G477" s="6" t="s">
        <v>1857</v>
      </c>
      <c r="H477" s="5"/>
      <c r="I477" s="6" t="s">
        <v>1760</v>
      </c>
    </row>
    <row r="478" customFormat="false" ht="15" hidden="false" customHeight="false" outlineLevel="0" collapsed="false">
      <c r="A478" s="5" t="s">
        <v>1855</v>
      </c>
      <c r="B478" s="5" t="s">
        <v>497</v>
      </c>
      <c r="C478" s="5" t="s">
        <v>720</v>
      </c>
      <c r="D478" s="5" t="s">
        <v>723</v>
      </c>
      <c r="E478" s="6" t="s">
        <v>1739</v>
      </c>
      <c r="F478" s="6" t="s">
        <v>1740</v>
      </c>
      <c r="G478" s="6" t="s">
        <v>1803</v>
      </c>
      <c r="H478" s="5"/>
      <c r="I478" s="6" t="s">
        <v>1760</v>
      </c>
    </row>
    <row r="479" customFormat="false" ht="35.05" hidden="false" customHeight="false" outlineLevel="0" collapsed="false">
      <c r="A479" s="5" t="s">
        <v>1855</v>
      </c>
      <c r="B479" s="5" t="s">
        <v>497</v>
      </c>
      <c r="C479" s="5" t="s">
        <v>720</v>
      </c>
      <c r="D479" s="5" t="s">
        <v>723</v>
      </c>
      <c r="E479" s="6" t="s">
        <v>1724</v>
      </c>
      <c r="F479" s="6"/>
      <c r="G479" s="6" t="s">
        <v>1764</v>
      </c>
      <c r="H479" s="5"/>
      <c r="I479" s="6"/>
    </row>
    <row r="480" customFormat="false" ht="23.85" hidden="false" customHeight="false" outlineLevel="0" collapsed="false">
      <c r="A480" s="5" t="s">
        <v>1855</v>
      </c>
      <c r="B480" s="5" t="s">
        <v>497</v>
      </c>
      <c r="C480" s="5" t="s">
        <v>720</v>
      </c>
      <c r="D480" s="5" t="s">
        <v>723</v>
      </c>
      <c r="E480" s="6" t="s">
        <v>1750</v>
      </c>
      <c r="F480" s="6" t="s">
        <v>1751</v>
      </c>
      <c r="G480" s="6" t="s">
        <v>1765</v>
      </c>
      <c r="H480" s="5"/>
      <c r="I480" s="6" t="s">
        <v>1753</v>
      </c>
    </row>
    <row r="481" customFormat="false" ht="35.05" hidden="false" customHeight="false" outlineLevel="0" collapsed="false">
      <c r="A481" s="5" t="s">
        <v>1855</v>
      </c>
      <c r="B481" s="5" t="s">
        <v>497</v>
      </c>
      <c r="C481" s="5" t="s">
        <v>720</v>
      </c>
      <c r="D481" s="5" t="s">
        <v>723</v>
      </c>
      <c r="E481" s="6" t="s">
        <v>1730</v>
      </c>
      <c r="F481" s="6"/>
      <c r="G481" s="6" t="s">
        <v>1766</v>
      </c>
      <c r="H481" s="5"/>
      <c r="I481" s="6"/>
    </row>
    <row r="482" customFormat="false" ht="23.85" hidden="false" customHeight="false" outlineLevel="0" collapsed="false">
      <c r="A482" s="5" t="s">
        <v>1858</v>
      </c>
      <c r="B482" s="5" t="s">
        <v>497</v>
      </c>
      <c r="C482" s="5" t="s">
        <v>727</v>
      </c>
      <c r="D482" s="5" t="s">
        <v>728</v>
      </c>
      <c r="E482" s="6" t="s">
        <v>1720</v>
      </c>
      <c r="F482" s="6" t="s">
        <v>1757</v>
      </c>
      <c r="G482" s="6" t="s">
        <v>1734</v>
      </c>
      <c r="H482" s="5"/>
      <c r="I482" s="6" t="s">
        <v>1723</v>
      </c>
    </row>
    <row r="483" customFormat="false" ht="15" hidden="false" customHeight="false" outlineLevel="0" collapsed="false">
      <c r="A483" s="5" t="s">
        <v>1858</v>
      </c>
      <c r="B483" s="5" t="s">
        <v>497</v>
      </c>
      <c r="C483" s="5" t="s">
        <v>727</v>
      </c>
      <c r="D483" s="5" t="s">
        <v>728</v>
      </c>
      <c r="E483" s="6" t="s">
        <v>1743</v>
      </c>
      <c r="F483" s="6" t="s">
        <v>794</v>
      </c>
      <c r="G483" s="6" t="s">
        <v>1859</v>
      </c>
      <c r="H483" s="5"/>
      <c r="I483" s="6" t="s">
        <v>1745</v>
      </c>
    </row>
    <row r="484" customFormat="false" ht="15" hidden="false" customHeight="false" outlineLevel="0" collapsed="false">
      <c r="A484" s="5" t="s">
        <v>1858</v>
      </c>
      <c r="B484" s="5" t="s">
        <v>497</v>
      </c>
      <c r="C484" s="5" t="s">
        <v>727</v>
      </c>
      <c r="D484" s="5" t="s">
        <v>728</v>
      </c>
      <c r="E484" s="6" t="s">
        <v>1735</v>
      </c>
      <c r="F484" s="6" t="s">
        <v>877</v>
      </c>
      <c r="G484" s="6" t="s">
        <v>1860</v>
      </c>
      <c r="H484" s="5"/>
      <c r="I484" s="6" t="s">
        <v>1861</v>
      </c>
    </row>
    <row r="485" customFormat="false" ht="15" hidden="false" customHeight="false" outlineLevel="0" collapsed="false">
      <c r="A485" s="5" t="s">
        <v>1858</v>
      </c>
      <c r="B485" s="5" t="s">
        <v>497</v>
      </c>
      <c r="C485" s="5" t="s">
        <v>727</v>
      </c>
      <c r="D485" s="5" t="s">
        <v>728</v>
      </c>
      <c r="E485" s="6" t="s">
        <v>1746</v>
      </c>
      <c r="F485" s="6" t="s">
        <v>800</v>
      </c>
      <c r="G485" s="6" t="s">
        <v>1789</v>
      </c>
      <c r="H485" s="5"/>
      <c r="I485" s="6" t="s">
        <v>1808</v>
      </c>
    </row>
    <row r="486" customFormat="false" ht="15" hidden="false" customHeight="false" outlineLevel="0" collapsed="false">
      <c r="A486" s="5" t="s">
        <v>1858</v>
      </c>
      <c r="B486" s="5" t="s">
        <v>497</v>
      </c>
      <c r="C486" s="5" t="s">
        <v>727</v>
      </c>
      <c r="D486" s="5" t="s">
        <v>728</v>
      </c>
      <c r="E486" s="6" t="s">
        <v>1739</v>
      </c>
      <c r="F486" s="6" t="s">
        <v>1740</v>
      </c>
      <c r="G486" s="6" t="s">
        <v>1789</v>
      </c>
      <c r="H486" s="5"/>
      <c r="I486" s="6" t="s">
        <v>1808</v>
      </c>
    </row>
    <row r="487" customFormat="false" ht="35.05" hidden="false" customHeight="false" outlineLevel="0" collapsed="false">
      <c r="A487" s="5" t="s">
        <v>1858</v>
      </c>
      <c r="B487" s="5" t="s">
        <v>497</v>
      </c>
      <c r="C487" s="5" t="s">
        <v>727</v>
      </c>
      <c r="D487" s="5" t="s">
        <v>728</v>
      </c>
      <c r="E487" s="6" t="s">
        <v>1724</v>
      </c>
      <c r="F487" s="6"/>
      <c r="G487" s="6" t="s">
        <v>1764</v>
      </c>
      <c r="H487" s="5"/>
      <c r="I487" s="6"/>
    </row>
    <row r="488" customFormat="false" ht="23.85" hidden="false" customHeight="false" outlineLevel="0" collapsed="false">
      <c r="A488" s="5" t="s">
        <v>1858</v>
      </c>
      <c r="B488" s="5" t="s">
        <v>497</v>
      </c>
      <c r="C488" s="5" t="s">
        <v>727</v>
      </c>
      <c r="D488" s="5" t="s">
        <v>728</v>
      </c>
      <c r="E488" s="6" t="s">
        <v>1750</v>
      </c>
      <c r="F488" s="6" t="s">
        <v>1751</v>
      </c>
      <c r="G488" s="6" t="s">
        <v>1765</v>
      </c>
      <c r="H488" s="5"/>
      <c r="I488" s="6" t="s">
        <v>1753</v>
      </c>
    </row>
    <row r="489" customFormat="false" ht="35.05" hidden="false" customHeight="false" outlineLevel="0" collapsed="false">
      <c r="A489" s="5" t="s">
        <v>1858</v>
      </c>
      <c r="B489" s="5" t="s">
        <v>497</v>
      </c>
      <c r="C489" s="5" t="s">
        <v>727</v>
      </c>
      <c r="D489" s="5" t="s">
        <v>728</v>
      </c>
      <c r="E489" s="6" t="s">
        <v>1730</v>
      </c>
      <c r="F489" s="6"/>
      <c r="G489" s="6" t="s">
        <v>1766</v>
      </c>
      <c r="H489" s="5"/>
      <c r="I489" s="6"/>
    </row>
    <row r="490" customFormat="false" ht="23.85" hidden="false" customHeight="false" outlineLevel="0" collapsed="false">
      <c r="A490" s="5" t="s">
        <v>1862</v>
      </c>
      <c r="B490" s="5" t="s">
        <v>497</v>
      </c>
      <c r="C490" s="5" t="s">
        <v>732</v>
      </c>
      <c r="D490" s="5" t="s">
        <v>733</v>
      </c>
      <c r="E490" s="6" t="s">
        <v>1720</v>
      </c>
      <c r="F490" s="6" t="s">
        <v>1757</v>
      </c>
      <c r="G490" s="6" t="s">
        <v>1734</v>
      </c>
      <c r="H490" s="5"/>
      <c r="I490" s="6" t="s">
        <v>1723</v>
      </c>
    </row>
    <row r="491" customFormat="false" ht="15" hidden="false" customHeight="false" outlineLevel="0" collapsed="false">
      <c r="A491" s="5" t="s">
        <v>1862</v>
      </c>
      <c r="B491" s="5" t="s">
        <v>497</v>
      </c>
      <c r="C491" s="5" t="s">
        <v>732</v>
      </c>
      <c r="D491" s="5" t="s">
        <v>733</v>
      </c>
      <c r="E491" s="6" t="s">
        <v>1735</v>
      </c>
      <c r="F491" s="6" t="s">
        <v>877</v>
      </c>
      <c r="G491" s="6" t="s">
        <v>1863</v>
      </c>
      <c r="H491" s="5"/>
      <c r="I491" s="6" t="s">
        <v>1769</v>
      </c>
    </row>
    <row r="492" customFormat="false" ht="15" hidden="false" customHeight="false" outlineLevel="0" collapsed="false">
      <c r="A492" s="5" t="s">
        <v>1862</v>
      </c>
      <c r="B492" s="5" t="s">
        <v>497</v>
      </c>
      <c r="C492" s="5" t="s">
        <v>732</v>
      </c>
      <c r="D492" s="5" t="s">
        <v>733</v>
      </c>
      <c r="E492" s="6" t="s">
        <v>1746</v>
      </c>
      <c r="F492" s="6" t="s">
        <v>800</v>
      </c>
      <c r="G492" s="6" t="s">
        <v>1854</v>
      </c>
      <c r="H492" s="5"/>
      <c r="I492" s="6" t="s">
        <v>1769</v>
      </c>
    </row>
    <row r="493" customFormat="false" ht="15" hidden="false" customHeight="false" outlineLevel="0" collapsed="false">
      <c r="A493" s="5" t="s">
        <v>1862</v>
      </c>
      <c r="B493" s="5" t="s">
        <v>497</v>
      </c>
      <c r="C493" s="5" t="s">
        <v>732</v>
      </c>
      <c r="D493" s="5" t="s">
        <v>733</v>
      </c>
      <c r="E493" s="6" t="s">
        <v>1743</v>
      </c>
      <c r="F493" s="6" t="s">
        <v>794</v>
      </c>
      <c r="G493" s="6" t="s">
        <v>1789</v>
      </c>
      <c r="H493" s="5"/>
      <c r="I493" s="6" t="s">
        <v>1769</v>
      </c>
    </row>
    <row r="494" customFormat="false" ht="15" hidden="false" customHeight="false" outlineLevel="0" collapsed="false">
      <c r="A494" s="5" t="s">
        <v>1862</v>
      </c>
      <c r="B494" s="5" t="s">
        <v>497</v>
      </c>
      <c r="C494" s="5" t="s">
        <v>732</v>
      </c>
      <c r="D494" s="5" t="s">
        <v>733</v>
      </c>
      <c r="E494" s="6" t="s">
        <v>1739</v>
      </c>
      <c r="F494" s="6" t="s">
        <v>1740</v>
      </c>
      <c r="G494" s="6" t="s">
        <v>1763</v>
      </c>
      <c r="H494" s="5"/>
      <c r="I494" s="6" t="s">
        <v>1769</v>
      </c>
    </row>
    <row r="495" customFormat="false" ht="35.05" hidden="false" customHeight="false" outlineLevel="0" collapsed="false">
      <c r="A495" s="5" t="s">
        <v>1862</v>
      </c>
      <c r="B495" s="5" t="s">
        <v>497</v>
      </c>
      <c r="C495" s="5" t="s">
        <v>732</v>
      </c>
      <c r="D495" s="5" t="s">
        <v>733</v>
      </c>
      <c r="E495" s="6" t="s">
        <v>1724</v>
      </c>
      <c r="F495" s="6"/>
      <c r="G495" s="6" t="s">
        <v>1764</v>
      </c>
      <c r="H495" s="5"/>
      <c r="I495" s="6"/>
    </row>
    <row r="496" customFormat="false" ht="23.85" hidden="false" customHeight="false" outlineLevel="0" collapsed="false">
      <c r="A496" s="5" t="s">
        <v>1862</v>
      </c>
      <c r="B496" s="5" t="s">
        <v>497</v>
      </c>
      <c r="C496" s="5" t="s">
        <v>732</v>
      </c>
      <c r="D496" s="5" t="s">
        <v>733</v>
      </c>
      <c r="E496" s="6" t="s">
        <v>1750</v>
      </c>
      <c r="F496" s="6" t="s">
        <v>1751</v>
      </c>
      <c r="G496" s="6" t="s">
        <v>1765</v>
      </c>
      <c r="H496" s="5"/>
      <c r="I496" s="6" t="s">
        <v>1753</v>
      </c>
    </row>
    <row r="497" customFormat="false" ht="35.05" hidden="false" customHeight="false" outlineLevel="0" collapsed="false">
      <c r="A497" s="5" t="s">
        <v>1862</v>
      </c>
      <c r="B497" s="5" t="s">
        <v>497</v>
      </c>
      <c r="C497" s="5" t="s">
        <v>732</v>
      </c>
      <c r="D497" s="5" t="s">
        <v>733</v>
      </c>
      <c r="E497" s="6" t="s">
        <v>1730</v>
      </c>
      <c r="F497" s="6"/>
      <c r="G497" s="6" t="s">
        <v>1766</v>
      </c>
      <c r="H497" s="5"/>
      <c r="I497" s="6"/>
    </row>
    <row r="498" customFormat="false" ht="23.85" hidden="false" customHeight="false" outlineLevel="0" collapsed="false">
      <c r="A498" s="5" t="s">
        <v>1864</v>
      </c>
      <c r="B498" s="5" t="s">
        <v>497</v>
      </c>
      <c r="C498" s="5" t="s">
        <v>737</v>
      </c>
      <c r="D498" s="5" t="s">
        <v>740</v>
      </c>
      <c r="E498" s="6" t="s">
        <v>1720</v>
      </c>
      <c r="F498" s="6" t="s">
        <v>1757</v>
      </c>
      <c r="G498" s="6" t="s">
        <v>1734</v>
      </c>
      <c r="H498" s="5"/>
      <c r="I498" s="6" t="s">
        <v>1723</v>
      </c>
    </row>
    <row r="499" customFormat="false" ht="15" hidden="false" customHeight="false" outlineLevel="0" collapsed="false">
      <c r="A499" s="5" t="s">
        <v>1864</v>
      </c>
      <c r="B499" s="5" t="s">
        <v>497</v>
      </c>
      <c r="C499" s="5" t="s">
        <v>737</v>
      </c>
      <c r="D499" s="5" t="s">
        <v>740</v>
      </c>
      <c r="E499" s="6" t="s">
        <v>1735</v>
      </c>
      <c r="F499" s="6" t="s">
        <v>1736</v>
      </c>
      <c r="G499" s="6" t="s">
        <v>1741</v>
      </c>
      <c r="H499" s="5"/>
      <c r="I499" s="6" t="s">
        <v>1738</v>
      </c>
    </row>
    <row r="500" customFormat="false" ht="15" hidden="false" customHeight="false" outlineLevel="0" collapsed="false">
      <c r="A500" s="5" t="s">
        <v>1864</v>
      </c>
      <c r="B500" s="5" t="s">
        <v>497</v>
      </c>
      <c r="C500" s="5" t="s">
        <v>737</v>
      </c>
      <c r="D500" s="5" t="s">
        <v>740</v>
      </c>
      <c r="E500" s="6" t="s">
        <v>1739</v>
      </c>
      <c r="F500" s="6" t="s">
        <v>1740</v>
      </c>
      <c r="G500" s="6" t="s">
        <v>1741</v>
      </c>
      <c r="H500" s="5"/>
      <c r="I500" s="6" t="s">
        <v>1742</v>
      </c>
    </row>
    <row r="501" customFormat="false" ht="15" hidden="false" customHeight="false" outlineLevel="0" collapsed="false">
      <c r="A501" s="5" t="s">
        <v>1864</v>
      </c>
      <c r="B501" s="5" t="s">
        <v>497</v>
      </c>
      <c r="C501" s="5" t="s">
        <v>737</v>
      </c>
      <c r="D501" s="5" t="s">
        <v>740</v>
      </c>
      <c r="E501" s="6" t="s">
        <v>1743</v>
      </c>
      <c r="F501" s="6" t="s">
        <v>1744</v>
      </c>
      <c r="G501" s="6" t="s">
        <v>1741</v>
      </c>
      <c r="H501" s="5"/>
      <c r="I501" s="6" t="s">
        <v>1745</v>
      </c>
    </row>
    <row r="502" customFormat="false" ht="15" hidden="false" customHeight="false" outlineLevel="0" collapsed="false">
      <c r="A502" s="5" t="s">
        <v>1864</v>
      </c>
      <c r="B502" s="5" t="s">
        <v>497</v>
      </c>
      <c r="C502" s="5" t="s">
        <v>737</v>
      </c>
      <c r="D502" s="5" t="s">
        <v>740</v>
      </c>
      <c r="E502" s="6" t="s">
        <v>1865</v>
      </c>
      <c r="F502" s="6"/>
      <c r="G502" s="6" t="s">
        <v>1866</v>
      </c>
      <c r="H502" s="5"/>
      <c r="I502" s="6" t="s">
        <v>1738</v>
      </c>
    </row>
    <row r="503" customFormat="false" ht="15" hidden="false" customHeight="false" outlineLevel="0" collapsed="false">
      <c r="A503" s="5" t="s">
        <v>1864</v>
      </c>
      <c r="B503" s="5" t="s">
        <v>497</v>
      </c>
      <c r="C503" s="5" t="s">
        <v>737</v>
      </c>
      <c r="D503" s="5" t="s">
        <v>740</v>
      </c>
      <c r="E503" s="6" t="s">
        <v>1746</v>
      </c>
      <c r="F503" s="6" t="s">
        <v>1747</v>
      </c>
      <c r="G503" s="6" t="s">
        <v>1741</v>
      </c>
      <c r="H503" s="5"/>
      <c r="I503" s="6" t="s">
        <v>1738</v>
      </c>
    </row>
    <row r="504" customFormat="false" ht="35.05" hidden="false" customHeight="false" outlineLevel="0" collapsed="false">
      <c r="A504" s="5" t="s">
        <v>1864</v>
      </c>
      <c r="B504" s="5" t="s">
        <v>497</v>
      </c>
      <c r="C504" s="5" t="s">
        <v>737</v>
      </c>
      <c r="D504" s="5" t="s">
        <v>740</v>
      </c>
      <c r="E504" s="6" t="s">
        <v>1724</v>
      </c>
      <c r="F504" s="6"/>
      <c r="G504" s="6" t="s">
        <v>1764</v>
      </c>
      <c r="H504" s="5"/>
      <c r="I504" s="6"/>
    </row>
    <row r="505" customFormat="false" ht="23.85" hidden="false" customHeight="false" outlineLevel="0" collapsed="false">
      <c r="A505" s="5" t="s">
        <v>1864</v>
      </c>
      <c r="B505" s="5" t="s">
        <v>497</v>
      </c>
      <c r="C505" s="5" t="s">
        <v>737</v>
      </c>
      <c r="D505" s="5" t="s">
        <v>740</v>
      </c>
      <c r="E505" s="6" t="s">
        <v>1750</v>
      </c>
      <c r="F505" s="6" t="s">
        <v>1751</v>
      </c>
      <c r="G505" s="6" t="s">
        <v>1765</v>
      </c>
      <c r="H505" s="5"/>
      <c r="I505" s="6" t="s">
        <v>1753</v>
      </c>
    </row>
    <row r="506" customFormat="false" ht="35.05" hidden="false" customHeight="false" outlineLevel="0" collapsed="false">
      <c r="A506" s="5" t="s">
        <v>1864</v>
      </c>
      <c r="B506" s="5" t="s">
        <v>497</v>
      </c>
      <c r="C506" s="5" t="s">
        <v>737</v>
      </c>
      <c r="D506" s="5" t="s">
        <v>740</v>
      </c>
      <c r="E506" s="6" t="s">
        <v>1730</v>
      </c>
      <c r="F506" s="6"/>
      <c r="G506" s="6" t="s">
        <v>1766</v>
      </c>
      <c r="H506" s="5"/>
      <c r="I506" s="6"/>
    </row>
    <row r="507" customFormat="false" ht="23.85" hidden="false" customHeight="false" outlineLevel="0" collapsed="false">
      <c r="A507" s="5" t="s">
        <v>1867</v>
      </c>
      <c r="B507" s="5" t="s">
        <v>497</v>
      </c>
      <c r="C507" s="5" t="s">
        <v>744</v>
      </c>
      <c r="D507" s="5" t="s">
        <v>745</v>
      </c>
      <c r="E507" s="6" t="s">
        <v>1720</v>
      </c>
      <c r="F507" s="6" t="s">
        <v>1757</v>
      </c>
      <c r="G507" s="6" t="s">
        <v>1734</v>
      </c>
      <c r="H507" s="5"/>
      <c r="I507" s="6" t="s">
        <v>1723</v>
      </c>
    </row>
    <row r="508" customFormat="false" ht="15" hidden="false" customHeight="false" outlineLevel="0" collapsed="false">
      <c r="A508" s="5" t="s">
        <v>1867</v>
      </c>
      <c r="B508" s="5" t="s">
        <v>497</v>
      </c>
      <c r="C508" s="5" t="s">
        <v>744</v>
      </c>
      <c r="D508" s="5" t="s">
        <v>745</v>
      </c>
      <c r="E508" s="6" t="s">
        <v>1735</v>
      </c>
      <c r="F508" s="6" t="s">
        <v>1736</v>
      </c>
      <c r="G508" s="6" t="s">
        <v>1868</v>
      </c>
      <c r="H508" s="5"/>
      <c r="I508" s="6" t="s">
        <v>1738</v>
      </c>
    </row>
    <row r="509" customFormat="false" ht="15" hidden="false" customHeight="false" outlineLevel="0" collapsed="false">
      <c r="A509" s="5" t="s">
        <v>1867</v>
      </c>
      <c r="B509" s="5" t="s">
        <v>497</v>
      </c>
      <c r="C509" s="5" t="s">
        <v>744</v>
      </c>
      <c r="D509" s="5" t="s">
        <v>745</v>
      </c>
      <c r="E509" s="6" t="s">
        <v>1739</v>
      </c>
      <c r="F509" s="6" t="s">
        <v>1740</v>
      </c>
      <c r="G509" s="6" t="s">
        <v>1741</v>
      </c>
      <c r="H509" s="5"/>
      <c r="I509" s="6" t="s">
        <v>1742</v>
      </c>
    </row>
    <row r="510" customFormat="false" ht="15" hidden="false" customHeight="false" outlineLevel="0" collapsed="false">
      <c r="A510" s="5" t="s">
        <v>1867</v>
      </c>
      <c r="B510" s="5" t="s">
        <v>497</v>
      </c>
      <c r="C510" s="5" t="s">
        <v>744</v>
      </c>
      <c r="D510" s="5" t="s">
        <v>745</v>
      </c>
      <c r="E510" s="6" t="s">
        <v>1743</v>
      </c>
      <c r="F510" s="6" t="s">
        <v>1744</v>
      </c>
      <c r="G510" s="6" t="s">
        <v>1741</v>
      </c>
      <c r="H510" s="5"/>
      <c r="I510" s="6" t="s">
        <v>1745</v>
      </c>
    </row>
    <row r="511" customFormat="false" ht="15" hidden="false" customHeight="false" outlineLevel="0" collapsed="false">
      <c r="A511" s="5" t="s">
        <v>1867</v>
      </c>
      <c r="B511" s="5" t="s">
        <v>497</v>
      </c>
      <c r="C511" s="5" t="s">
        <v>744</v>
      </c>
      <c r="D511" s="5" t="s">
        <v>745</v>
      </c>
      <c r="E511" s="6" t="s">
        <v>1746</v>
      </c>
      <c r="F511" s="6" t="s">
        <v>1747</v>
      </c>
      <c r="G511" s="6" t="s">
        <v>1741</v>
      </c>
      <c r="H511" s="5"/>
      <c r="I511" s="6" t="s">
        <v>1738</v>
      </c>
    </row>
    <row r="512" customFormat="false" ht="15" hidden="false" customHeight="false" outlineLevel="0" collapsed="false">
      <c r="A512" s="5" t="s">
        <v>1867</v>
      </c>
      <c r="B512" s="5" t="s">
        <v>497</v>
      </c>
      <c r="C512" s="5" t="s">
        <v>744</v>
      </c>
      <c r="D512" s="5" t="s">
        <v>745</v>
      </c>
      <c r="E512" s="6" t="s">
        <v>1865</v>
      </c>
      <c r="F512" s="6"/>
      <c r="G512" s="6" t="s">
        <v>1869</v>
      </c>
      <c r="H512" s="5"/>
      <c r="I512" s="6" t="s">
        <v>1738</v>
      </c>
    </row>
    <row r="513" customFormat="false" ht="35.05" hidden="false" customHeight="false" outlineLevel="0" collapsed="false">
      <c r="A513" s="5" t="s">
        <v>1867</v>
      </c>
      <c r="B513" s="5" t="s">
        <v>497</v>
      </c>
      <c r="C513" s="5" t="s">
        <v>744</v>
      </c>
      <c r="D513" s="5" t="s">
        <v>745</v>
      </c>
      <c r="E513" s="6" t="s">
        <v>1724</v>
      </c>
      <c r="F513" s="6"/>
      <c r="G513" s="6" t="s">
        <v>1764</v>
      </c>
      <c r="H513" s="5"/>
      <c r="I513" s="6"/>
    </row>
    <row r="514" customFormat="false" ht="23.85" hidden="false" customHeight="false" outlineLevel="0" collapsed="false">
      <c r="A514" s="5" t="s">
        <v>1867</v>
      </c>
      <c r="B514" s="5" t="s">
        <v>497</v>
      </c>
      <c r="C514" s="5" t="s">
        <v>744</v>
      </c>
      <c r="D514" s="5" t="s">
        <v>745</v>
      </c>
      <c r="E514" s="6" t="s">
        <v>1750</v>
      </c>
      <c r="F514" s="6" t="s">
        <v>1751</v>
      </c>
      <c r="G514" s="6" t="s">
        <v>1765</v>
      </c>
      <c r="H514" s="5"/>
      <c r="I514" s="6" t="s">
        <v>1753</v>
      </c>
    </row>
    <row r="515" customFormat="false" ht="35.05" hidden="false" customHeight="false" outlineLevel="0" collapsed="false">
      <c r="A515" s="5" t="s">
        <v>1867</v>
      </c>
      <c r="B515" s="5" t="s">
        <v>497</v>
      </c>
      <c r="C515" s="5" t="s">
        <v>744</v>
      </c>
      <c r="D515" s="5" t="s">
        <v>745</v>
      </c>
      <c r="E515" s="6" t="s">
        <v>1730</v>
      </c>
      <c r="F515" s="6"/>
      <c r="G515" s="6" t="s">
        <v>1766</v>
      </c>
      <c r="H515" s="5"/>
      <c r="I515" s="6"/>
    </row>
    <row r="516" customFormat="false" ht="23.85" hidden="false" customHeight="false" outlineLevel="0" collapsed="false">
      <c r="A516" s="5" t="s">
        <v>1870</v>
      </c>
      <c r="B516" s="5" t="s">
        <v>497</v>
      </c>
      <c r="C516" s="5" t="s">
        <v>749</v>
      </c>
      <c r="D516" s="5" t="s">
        <v>750</v>
      </c>
      <c r="E516" s="6" t="s">
        <v>1720</v>
      </c>
      <c r="F516" s="6" t="s">
        <v>1757</v>
      </c>
      <c r="G516" s="6" t="s">
        <v>1734</v>
      </c>
      <c r="H516" s="5"/>
      <c r="I516" s="6" t="s">
        <v>1723</v>
      </c>
    </row>
    <row r="517" customFormat="false" ht="15" hidden="false" customHeight="false" outlineLevel="0" collapsed="false">
      <c r="A517" s="5" t="s">
        <v>1870</v>
      </c>
      <c r="B517" s="5" t="s">
        <v>497</v>
      </c>
      <c r="C517" s="5" t="s">
        <v>749</v>
      </c>
      <c r="D517" s="5" t="s">
        <v>750</v>
      </c>
      <c r="E517" s="6" t="s">
        <v>1735</v>
      </c>
      <c r="F517" s="6" t="s">
        <v>1736</v>
      </c>
      <c r="G517" s="6" t="s">
        <v>1871</v>
      </c>
      <c r="H517" s="5"/>
      <c r="I517" s="6" t="s">
        <v>1738</v>
      </c>
    </row>
    <row r="518" customFormat="false" ht="15" hidden="false" customHeight="false" outlineLevel="0" collapsed="false">
      <c r="A518" s="5" t="s">
        <v>1870</v>
      </c>
      <c r="B518" s="5" t="s">
        <v>497</v>
      </c>
      <c r="C518" s="5" t="s">
        <v>749</v>
      </c>
      <c r="D518" s="5" t="s">
        <v>750</v>
      </c>
      <c r="E518" s="6" t="s">
        <v>1743</v>
      </c>
      <c r="F518" s="6" t="s">
        <v>1744</v>
      </c>
      <c r="G518" s="6" t="s">
        <v>1741</v>
      </c>
      <c r="H518" s="5"/>
      <c r="I518" s="6" t="s">
        <v>1745</v>
      </c>
    </row>
    <row r="519" customFormat="false" ht="15" hidden="false" customHeight="false" outlineLevel="0" collapsed="false">
      <c r="A519" s="5" t="s">
        <v>1870</v>
      </c>
      <c r="B519" s="5" t="s">
        <v>497</v>
      </c>
      <c r="C519" s="5" t="s">
        <v>749</v>
      </c>
      <c r="D519" s="5" t="s">
        <v>750</v>
      </c>
      <c r="E519" s="6" t="s">
        <v>1865</v>
      </c>
      <c r="F519" s="6"/>
      <c r="G519" s="6" t="s">
        <v>1872</v>
      </c>
      <c r="H519" s="5"/>
      <c r="I519" s="6" t="s">
        <v>1738</v>
      </c>
    </row>
    <row r="520" customFormat="false" ht="15" hidden="false" customHeight="false" outlineLevel="0" collapsed="false">
      <c r="A520" s="5" t="s">
        <v>1870</v>
      </c>
      <c r="B520" s="5" t="s">
        <v>497</v>
      </c>
      <c r="C520" s="5" t="s">
        <v>749</v>
      </c>
      <c r="D520" s="5" t="s">
        <v>750</v>
      </c>
      <c r="E520" s="6" t="s">
        <v>1746</v>
      </c>
      <c r="F520" s="6" t="s">
        <v>1747</v>
      </c>
      <c r="G520" s="6" t="s">
        <v>1741</v>
      </c>
      <c r="H520" s="5"/>
      <c r="I520" s="6" t="s">
        <v>1738</v>
      </c>
    </row>
    <row r="521" customFormat="false" ht="15" hidden="false" customHeight="false" outlineLevel="0" collapsed="false">
      <c r="A521" s="5" t="s">
        <v>1870</v>
      </c>
      <c r="B521" s="5" t="s">
        <v>497</v>
      </c>
      <c r="C521" s="5" t="s">
        <v>749</v>
      </c>
      <c r="D521" s="5" t="s">
        <v>750</v>
      </c>
      <c r="E521" s="6" t="s">
        <v>1739</v>
      </c>
      <c r="F521" s="6" t="s">
        <v>1740</v>
      </c>
      <c r="G521" s="6" t="s">
        <v>1741</v>
      </c>
      <c r="H521" s="5"/>
      <c r="I521" s="6" t="s">
        <v>1769</v>
      </c>
    </row>
    <row r="522" customFormat="false" ht="35.05" hidden="false" customHeight="false" outlineLevel="0" collapsed="false">
      <c r="A522" s="5" t="s">
        <v>1870</v>
      </c>
      <c r="B522" s="5" t="s">
        <v>497</v>
      </c>
      <c r="C522" s="5" t="s">
        <v>749</v>
      </c>
      <c r="D522" s="5" t="s">
        <v>750</v>
      </c>
      <c r="E522" s="6" t="s">
        <v>1724</v>
      </c>
      <c r="F522" s="6"/>
      <c r="G522" s="6" t="s">
        <v>1764</v>
      </c>
      <c r="H522" s="5"/>
      <c r="I522" s="6"/>
    </row>
    <row r="523" customFormat="false" ht="23.85" hidden="false" customHeight="false" outlineLevel="0" collapsed="false">
      <c r="A523" s="5" t="s">
        <v>1870</v>
      </c>
      <c r="B523" s="5" t="s">
        <v>497</v>
      </c>
      <c r="C523" s="5" t="s">
        <v>749</v>
      </c>
      <c r="D523" s="5" t="s">
        <v>750</v>
      </c>
      <c r="E523" s="6" t="s">
        <v>1750</v>
      </c>
      <c r="F523" s="6" t="s">
        <v>1751</v>
      </c>
      <c r="G523" s="6" t="s">
        <v>1765</v>
      </c>
      <c r="H523" s="5"/>
      <c r="I523" s="6" t="s">
        <v>1753</v>
      </c>
    </row>
    <row r="524" customFormat="false" ht="35.05" hidden="false" customHeight="false" outlineLevel="0" collapsed="false">
      <c r="A524" s="5" t="s">
        <v>1870</v>
      </c>
      <c r="B524" s="5" t="s">
        <v>497</v>
      </c>
      <c r="C524" s="5" t="s">
        <v>749</v>
      </c>
      <c r="D524" s="5" t="s">
        <v>750</v>
      </c>
      <c r="E524" s="6" t="s">
        <v>1730</v>
      </c>
      <c r="F524" s="6"/>
      <c r="G524" s="6" t="s">
        <v>1766</v>
      </c>
      <c r="H524" s="5"/>
      <c r="I524" s="6"/>
    </row>
    <row r="525" customFormat="false" ht="23.85" hidden="false" customHeight="false" outlineLevel="0" collapsed="false">
      <c r="A525" s="5" t="s">
        <v>1873</v>
      </c>
      <c r="B525" s="5" t="s">
        <v>497</v>
      </c>
      <c r="C525" s="5" t="s">
        <v>754</v>
      </c>
      <c r="D525" s="5" t="s">
        <v>755</v>
      </c>
      <c r="E525" s="6" t="s">
        <v>1720</v>
      </c>
      <c r="F525" s="6" t="s">
        <v>1757</v>
      </c>
      <c r="G525" s="6" t="s">
        <v>1734</v>
      </c>
      <c r="H525" s="5"/>
      <c r="I525" s="6" t="s">
        <v>1723</v>
      </c>
    </row>
    <row r="526" customFormat="false" ht="15" hidden="false" customHeight="false" outlineLevel="0" collapsed="false">
      <c r="A526" s="5" t="s">
        <v>1873</v>
      </c>
      <c r="B526" s="5" t="s">
        <v>497</v>
      </c>
      <c r="C526" s="5" t="s">
        <v>754</v>
      </c>
      <c r="D526" s="5" t="s">
        <v>755</v>
      </c>
      <c r="E526" s="6" t="s">
        <v>1735</v>
      </c>
      <c r="F526" s="6" t="s">
        <v>1736</v>
      </c>
      <c r="G526" s="6" t="s">
        <v>1799</v>
      </c>
      <c r="H526" s="5"/>
      <c r="I526" s="6" t="s">
        <v>1738</v>
      </c>
    </row>
    <row r="527" customFormat="false" ht="15" hidden="false" customHeight="false" outlineLevel="0" collapsed="false">
      <c r="A527" s="5" t="s">
        <v>1873</v>
      </c>
      <c r="B527" s="5" t="s">
        <v>497</v>
      </c>
      <c r="C527" s="5" t="s">
        <v>754</v>
      </c>
      <c r="D527" s="5" t="s">
        <v>755</v>
      </c>
      <c r="E527" s="6" t="s">
        <v>1739</v>
      </c>
      <c r="F527" s="6" t="s">
        <v>1740</v>
      </c>
      <c r="G527" s="6" t="s">
        <v>1741</v>
      </c>
      <c r="H527" s="5"/>
      <c r="I527" s="6" t="s">
        <v>1742</v>
      </c>
    </row>
    <row r="528" customFormat="false" ht="15" hidden="false" customHeight="false" outlineLevel="0" collapsed="false">
      <c r="A528" s="5" t="s">
        <v>1873</v>
      </c>
      <c r="B528" s="5" t="s">
        <v>497</v>
      </c>
      <c r="C528" s="5" t="s">
        <v>754</v>
      </c>
      <c r="D528" s="5" t="s">
        <v>755</v>
      </c>
      <c r="E528" s="6" t="s">
        <v>1743</v>
      </c>
      <c r="F528" s="6" t="s">
        <v>1744</v>
      </c>
      <c r="G528" s="6" t="s">
        <v>1741</v>
      </c>
      <c r="H528" s="5"/>
      <c r="I528" s="6" t="s">
        <v>1745</v>
      </c>
    </row>
    <row r="529" customFormat="false" ht="15" hidden="false" customHeight="false" outlineLevel="0" collapsed="false">
      <c r="A529" s="5" t="s">
        <v>1873</v>
      </c>
      <c r="B529" s="5" t="s">
        <v>497</v>
      </c>
      <c r="C529" s="5" t="s">
        <v>754</v>
      </c>
      <c r="D529" s="5" t="s">
        <v>755</v>
      </c>
      <c r="E529" s="6" t="s">
        <v>1865</v>
      </c>
      <c r="F529" s="6"/>
      <c r="G529" s="6" t="s">
        <v>1874</v>
      </c>
      <c r="H529" s="5"/>
      <c r="I529" s="6" t="s">
        <v>1738</v>
      </c>
    </row>
    <row r="530" customFormat="false" ht="15" hidden="false" customHeight="false" outlineLevel="0" collapsed="false">
      <c r="A530" s="5" t="s">
        <v>1873</v>
      </c>
      <c r="B530" s="5" t="s">
        <v>497</v>
      </c>
      <c r="C530" s="5" t="s">
        <v>754</v>
      </c>
      <c r="D530" s="5" t="s">
        <v>755</v>
      </c>
      <c r="E530" s="6" t="s">
        <v>1746</v>
      </c>
      <c r="F530" s="6" t="s">
        <v>1747</v>
      </c>
      <c r="G530" s="6" t="s">
        <v>1741</v>
      </c>
      <c r="H530" s="5"/>
      <c r="I530" s="6" t="s">
        <v>1738</v>
      </c>
    </row>
    <row r="531" customFormat="false" ht="35.05" hidden="false" customHeight="false" outlineLevel="0" collapsed="false">
      <c r="A531" s="5" t="s">
        <v>1873</v>
      </c>
      <c r="B531" s="5" t="s">
        <v>497</v>
      </c>
      <c r="C531" s="5" t="s">
        <v>754</v>
      </c>
      <c r="D531" s="5" t="s">
        <v>755</v>
      </c>
      <c r="E531" s="6" t="s">
        <v>1724</v>
      </c>
      <c r="F531" s="6"/>
      <c r="G531" s="6" t="s">
        <v>1764</v>
      </c>
      <c r="H531" s="5"/>
      <c r="I531" s="6"/>
    </row>
    <row r="532" customFormat="false" ht="23.85" hidden="false" customHeight="false" outlineLevel="0" collapsed="false">
      <c r="A532" s="5" t="s">
        <v>1873</v>
      </c>
      <c r="B532" s="5" t="s">
        <v>497</v>
      </c>
      <c r="C532" s="5" t="s">
        <v>754</v>
      </c>
      <c r="D532" s="5" t="s">
        <v>755</v>
      </c>
      <c r="E532" s="6" t="s">
        <v>1750</v>
      </c>
      <c r="F532" s="6" t="s">
        <v>1751</v>
      </c>
      <c r="G532" s="6" t="s">
        <v>1765</v>
      </c>
      <c r="H532" s="5"/>
      <c r="I532" s="6" t="s">
        <v>1753</v>
      </c>
    </row>
    <row r="533" customFormat="false" ht="35.05" hidden="false" customHeight="false" outlineLevel="0" collapsed="false">
      <c r="A533" s="5" t="s">
        <v>1873</v>
      </c>
      <c r="B533" s="5" t="s">
        <v>497</v>
      </c>
      <c r="C533" s="5" t="s">
        <v>754</v>
      </c>
      <c r="D533" s="5" t="s">
        <v>755</v>
      </c>
      <c r="E533" s="6" t="s">
        <v>1730</v>
      </c>
      <c r="F533" s="6"/>
      <c r="G533" s="6" t="s">
        <v>1766</v>
      </c>
      <c r="H533" s="5"/>
      <c r="I533" s="6"/>
    </row>
    <row r="534" customFormat="false" ht="23.85" hidden="false" customHeight="false" outlineLevel="0" collapsed="false">
      <c r="A534" s="5" t="s">
        <v>1875</v>
      </c>
      <c r="B534" s="5" t="s">
        <v>497</v>
      </c>
      <c r="C534" s="5" t="s">
        <v>759</v>
      </c>
      <c r="D534" s="5" t="s">
        <v>760</v>
      </c>
      <c r="E534" s="6" t="s">
        <v>1720</v>
      </c>
      <c r="F534" s="6" t="s">
        <v>1757</v>
      </c>
      <c r="G534" s="6" t="s">
        <v>1734</v>
      </c>
      <c r="H534" s="5"/>
      <c r="I534" s="6" t="s">
        <v>1723</v>
      </c>
    </row>
    <row r="535" customFormat="false" ht="15" hidden="false" customHeight="false" outlineLevel="0" collapsed="false">
      <c r="A535" s="5" t="s">
        <v>1875</v>
      </c>
      <c r="B535" s="5" t="s">
        <v>497</v>
      </c>
      <c r="C535" s="5" t="s">
        <v>759</v>
      </c>
      <c r="D535" s="5" t="s">
        <v>760</v>
      </c>
      <c r="E535" s="6" t="s">
        <v>1735</v>
      </c>
      <c r="F535" s="6" t="s">
        <v>1736</v>
      </c>
      <c r="G535" s="6" t="s">
        <v>1876</v>
      </c>
      <c r="H535" s="5"/>
      <c r="I535" s="6" t="s">
        <v>1738</v>
      </c>
    </row>
    <row r="536" customFormat="false" ht="15" hidden="false" customHeight="false" outlineLevel="0" collapsed="false">
      <c r="A536" s="5" t="s">
        <v>1875</v>
      </c>
      <c r="B536" s="5" t="s">
        <v>497</v>
      </c>
      <c r="C536" s="5" t="s">
        <v>759</v>
      </c>
      <c r="D536" s="5" t="s">
        <v>760</v>
      </c>
      <c r="E536" s="6" t="s">
        <v>1739</v>
      </c>
      <c r="F536" s="6" t="s">
        <v>1740</v>
      </c>
      <c r="G536" s="6" t="s">
        <v>1838</v>
      </c>
      <c r="H536" s="5"/>
      <c r="I536" s="6" t="s">
        <v>1742</v>
      </c>
    </row>
    <row r="537" customFormat="false" ht="15" hidden="false" customHeight="false" outlineLevel="0" collapsed="false">
      <c r="A537" s="5" t="s">
        <v>1875</v>
      </c>
      <c r="B537" s="5" t="s">
        <v>497</v>
      </c>
      <c r="C537" s="5" t="s">
        <v>759</v>
      </c>
      <c r="D537" s="5" t="s">
        <v>760</v>
      </c>
      <c r="E537" s="6" t="s">
        <v>1743</v>
      </c>
      <c r="F537" s="6" t="s">
        <v>1744</v>
      </c>
      <c r="G537" s="6" t="s">
        <v>1741</v>
      </c>
      <c r="H537" s="5"/>
      <c r="I537" s="6" t="s">
        <v>1745</v>
      </c>
    </row>
    <row r="538" customFormat="false" ht="15" hidden="false" customHeight="false" outlineLevel="0" collapsed="false">
      <c r="A538" s="5" t="s">
        <v>1875</v>
      </c>
      <c r="B538" s="5" t="s">
        <v>497</v>
      </c>
      <c r="C538" s="5" t="s">
        <v>759</v>
      </c>
      <c r="D538" s="5" t="s">
        <v>760</v>
      </c>
      <c r="E538" s="6" t="s">
        <v>1865</v>
      </c>
      <c r="F538" s="6"/>
      <c r="G538" s="6" t="s">
        <v>1877</v>
      </c>
      <c r="H538" s="5"/>
      <c r="I538" s="6" t="s">
        <v>1738</v>
      </c>
    </row>
    <row r="539" customFormat="false" ht="15" hidden="false" customHeight="false" outlineLevel="0" collapsed="false">
      <c r="A539" s="5" t="s">
        <v>1875</v>
      </c>
      <c r="B539" s="5" t="s">
        <v>497</v>
      </c>
      <c r="C539" s="5" t="s">
        <v>759</v>
      </c>
      <c r="D539" s="5" t="s">
        <v>760</v>
      </c>
      <c r="E539" s="6" t="s">
        <v>1746</v>
      </c>
      <c r="F539" s="6" t="s">
        <v>1747</v>
      </c>
      <c r="G539" s="6" t="s">
        <v>1741</v>
      </c>
      <c r="H539" s="5"/>
      <c r="I539" s="6" t="s">
        <v>1738</v>
      </c>
    </row>
    <row r="540" customFormat="false" ht="35.05" hidden="false" customHeight="false" outlineLevel="0" collapsed="false">
      <c r="A540" s="5" t="s">
        <v>1875</v>
      </c>
      <c r="B540" s="5" t="s">
        <v>497</v>
      </c>
      <c r="C540" s="5" t="s">
        <v>759</v>
      </c>
      <c r="D540" s="5" t="s">
        <v>760</v>
      </c>
      <c r="E540" s="6" t="s">
        <v>1724</v>
      </c>
      <c r="F540" s="6"/>
      <c r="G540" s="6" t="s">
        <v>1764</v>
      </c>
      <c r="H540" s="5"/>
      <c r="I540" s="6"/>
    </row>
    <row r="541" customFormat="false" ht="23.85" hidden="false" customHeight="false" outlineLevel="0" collapsed="false">
      <c r="A541" s="5" t="s">
        <v>1875</v>
      </c>
      <c r="B541" s="5" t="s">
        <v>497</v>
      </c>
      <c r="C541" s="5" t="s">
        <v>759</v>
      </c>
      <c r="D541" s="5" t="s">
        <v>760</v>
      </c>
      <c r="E541" s="6" t="s">
        <v>1750</v>
      </c>
      <c r="F541" s="6" t="s">
        <v>1751</v>
      </c>
      <c r="G541" s="6" t="s">
        <v>1765</v>
      </c>
      <c r="H541" s="5"/>
      <c r="I541" s="6" t="s">
        <v>1753</v>
      </c>
    </row>
    <row r="542" customFormat="false" ht="35.05" hidden="false" customHeight="false" outlineLevel="0" collapsed="false">
      <c r="A542" s="5" t="s">
        <v>1875</v>
      </c>
      <c r="B542" s="5" t="s">
        <v>497</v>
      </c>
      <c r="C542" s="5" t="s">
        <v>759</v>
      </c>
      <c r="D542" s="5" t="s">
        <v>760</v>
      </c>
      <c r="E542" s="6" t="s">
        <v>1730</v>
      </c>
      <c r="F542" s="6"/>
      <c r="G542" s="6" t="s">
        <v>1766</v>
      </c>
      <c r="H542" s="5"/>
      <c r="I542" s="6"/>
    </row>
    <row r="543" customFormat="false" ht="23.85" hidden="false" customHeight="false" outlineLevel="0" collapsed="false">
      <c r="A543" s="5" t="s">
        <v>1878</v>
      </c>
      <c r="B543" s="5" t="s">
        <v>497</v>
      </c>
      <c r="C543" s="5" t="s">
        <v>764</v>
      </c>
      <c r="D543" s="5" t="s">
        <v>765</v>
      </c>
      <c r="E543" s="6" t="s">
        <v>1720</v>
      </c>
      <c r="F543" s="6" t="s">
        <v>1757</v>
      </c>
      <c r="G543" s="6" t="s">
        <v>1734</v>
      </c>
      <c r="H543" s="5"/>
      <c r="I543" s="6" t="s">
        <v>1723</v>
      </c>
    </row>
    <row r="544" customFormat="false" ht="15" hidden="false" customHeight="false" outlineLevel="0" collapsed="false">
      <c r="A544" s="5" t="s">
        <v>1878</v>
      </c>
      <c r="B544" s="5" t="s">
        <v>497</v>
      </c>
      <c r="C544" s="5" t="s">
        <v>764</v>
      </c>
      <c r="D544" s="5" t="s">
        <v>765</v>
      </c>
      <c r="E544" s="6" t="s">
        <v>1735</v>
      </c>
      <c r="F544" s="6" t="s">
        <v>1736</v>
      </c>
      <c r="G544" s="6" t="s">
        <v>1879</v>
      </c>
      <c r="H544" s="5"/>
      <c r="I544" s="6" t="s">
        <v>1738</v>
      </c>
    </row>
    <row r="545" customFormat="false" ht="15" hidden="false" customHeight="false" outlineLevel="0" collapsed="false">
      <c r="A545" s="5" t="s">
        <v>1878</v>
      </c>
      <c r="B545" s="5" t="s">
        <v>497</v>
      </c>
      <c r="C545" s="5" t="s">
        <v>764</v>
      </c>
      <c r="D545" s="5" t="s">
        <v>765</v>
      </c>
      <c r="E545" s="6" t="s">
        <v>1739</v>
      </c>
      <c r="F545" s="6" t="s">
        <v>1740</v>
      </c>
      <c r="G545" s="6" t="s">
        <v>1838</v>
      </c>
      <c r="H545" s="5"/>
      <c r="I545" s="6" t="s">
        <v>1742</v>
      </c>
    </row>
    <row r="546" customFormat="false" ht="15" hidden="false" customHeight="false" outlineLevel="0" collapsed="false">
      <c r="A546" s="5" t="s">
        <v>1878</v>
      </c>
      <c r="B546" s="5" t="s">
        <v>497</v>
      </c>
      <c r="C546" s="5" t="s">
        <v>764</v>
      </c>
      <c r="D546" s="5" t="s">
        <v>765</v>
      </c>
      <c r="E546" s="6" t="s">
        <v>1743</v>
      </c>
      <c r="F546" s="6" t="s">
        <v>1744</v>
      </c>
      <c r="G546" s="6" t="s">
        <v>1741</v>
      </c>
      <c r="H546" s="5"/>
      <c r="I546" s="6" t="s">
        <v>1745</v>
      </c>
    </row>
    <row r="547" customFormat="false" ht="15" hidden="false" customHeight="false" outlineLevel="0" collapsed="false">
      <c r="A547" s="5" t="s">
        <v>1878</v>
      </c>
      <c r="B547" s="5" t="s">
        <v>497</v>
      </c>
      <c r="C547" s="5" t="s">
        <v>764</v>
      </c>
      <c r="D547" s="5" t="s">
        <v>765</v>
      </c>
      <c r="E547" s="6" t="s">
        <v>1865</v>
      </c>
      <c r="F547" s="6"/>
      <c r="G547" s="6" t="s">
        <v>1880</v>
      </c>
      <c r="H547" s="5"/>
      <c r="I547" s="6" t="s">
        <v>1738</v>
      </c>
    </row>
    <row r="548" customFormat="false" ht="15" hidden="false" customHeight="false" outlineLevel="0" collapsed="false">
      <c r="A548" s="5" t="s">
        <v>1878</v>
      </c>
      <c r="B548" s="5" t="s">
        <v>497</v>
      </c>
      <c r="C548" s="5" t="s">
        <v>764</v>
      </c>
      <c r="D548" s="5" t="s">
        <v>765</v>
      </c>
      <c r="E548" s="6" t="s">
        <v>1746</v>
      </c>
      <c r="F548" s="6" t="s">
        <v>1747</v>
      </c>
      <c r="G548" s="6" t="s">
        <v>1741</v>
      </c>
      <c r="H548" s="5"/>
      <c r="I548" s="6" t="s">
        <v>1738</v>
      </c>
    </row>
    <row r="549" customFormat="false" ht="35.05" hidden="false" customHeight="false" outlineLevel="0" collapsed="false">
      <c r="A549" s="5" t="s">
        <v>1878</v>
      </c>
      <c r="B549" s="5" t="s">
        <v>497</v>
      </c>
      <c r="C549" s="5" t="s">
        <v>764</v>
      </c>
      <c r="D549" s="5" t="s">
        <v>765</v>
      </c>
      <c r="E549" s="6" t="s">
        <v>1724</v>
      </c>
      <c r="F549" s="6"/>
      <c r="G549" s="6" t="s">
        <v>1764</v>
      </c>
      <c r="H549" s="5"/>
      <c r="I549" s="6"/>
    </row>
    <row r="550" customFormat="false" ht="23.85" hidden="false" customHeight="false" outlineLevel="0" collapsed="false">
      <c r="A550" s="5" t="s">
        <v>1878</v>
      </c>
      <c r="B550" s="5" t="s">
        <v>497</v>
      </c>
      <c r="C550" s="5" t="s">
        <v>764</v>
      </c>
      <c r="D550" s="5" t="s">
        <v>765</v>
      </c>
      <c r="E550" s="6" t="s">
        <v>1750</v>
      </c>
      <c r="F550" s="6" t="s">
        <v>1751</v>
      </c>
      <c r="G550" s="6" t="s">
        <v>1805</v>
      </c>
      <c r="H550" s="5"/>
      <c r="I550" s="6" t="s">
        <v>1753</v>
      </c>
    </row>
    <row r="551" customFormat="false" ht="35.05" hidden="false" customHeight="false" outlineLevel="0" collapsed="false">
      <c r="A551" s="5" t="s">
        <v>1878</v>
      </c>
      <c r="B551" s="5" t="s">
        <v>497</v>
      </c>
      <c r="C551" s="5" t="s">
        <v>764</v>
      </c>
      <c r="D551" s="5" t="s">
        <v>765</v>
      </c>
      <c r="E551" s="6" t="s">
        <v>1730</v>
      </c>
      <c r="F551" s="6"/>
      <c r="G551" s="6" t="s">
        <v>1766</v>
      </c>
      <c r="H551" s="5"/>
      <c r="I551" s="6"/>
    </row>
    <row r="552" customFormat="false" ht="23.85" hidden="false" customHeight="false" outlineLevel="0" collapsed="false">
      <c r="A552" s="5" t="s">
        <v>1881</v>
      </c>
      <c r="B552" s="5" t="s">
        <v>497</v>
      </c>
      <c r="C552" s="5" t="s">
        <v>769</v>
      </c>
      <c r="D552" s="5" t="s">
        <v>770</v>
      </c>
      <c r="E552" s="6" t="s">
        <v>1720</v>
      </c>
      <c r="F552" s="6" t="s">
        <v>1757</v>
      </c>
      <c r="G552" s="6" t="s">
        <v>1734</v>
      </c>
      <c r="H552" s="5"/>
      <c r="I552" s="6" t="s">
        <v>1723</v>
      </c>
    </row>
    <row r="553" customFormat="false" ht="15" hidden="false" customHeight="false" outlineLevel="0" collapsed="false">
      <c r="A553" s="5" t="s">
        <v>1881</v>
      </c>
      <c r="B553" s="5" t="s">
        <v>497</v>
      </c>
      <c r="C553" s="5" t="s">
        <v>769</v>
      </c>
      <c r="D553" s="5" t="s">
        <v>770</v>
      </c>
      <c r="E553" s="6" t="s">
        <v>1735</v>
      </c>
      <c r="F553" s="6" t="s">
        <v>1736</v>
      </c>
      <c r="G553" s="6" t="s">
        <v>1882</v>
      </c>
      <c r="H553" s="5"/>
      <c r="I553" s="6" t="s">
        <v>1738</v>
      </c>
    </row>
    <row r="554" customFormat="false" ht="15" hidden="false" customHeight="false" outlineLevel="0" collapsed="false">
      <c r="A554" s="5" t="s">
        <v>1881</v>
      </c>
      <c r="B554" s="5" t="s">
        <v>497</v>
      </c>
      <c r="C554" s="5" t="s">
        <v>769</v>
      </c>
      <c r="D554" s="5" t="s">
        <v>770</v>
      </c>
      <c r="E554" s="6" t="s">
        <v>1739</v>
      </c>
      <c r="F554" s="6" t="s">
        <v>1740</v>
      </c>
      <c r="G554" s="6" t="s">
        <v>1774</v>
      </c>
      <c r="H554" s="5"/>
      <c r="I554" s="6" t="s">
        <v>1742</v>
      </c>
    </row>
    <row r="555" customFormat="false" ht="15" hidden="false" customHeight="false" outlineLevel="0" collapsed="false">
      <c r="A555" s="5" t="s">
        <v>1881</v>
      </c>
      <c r="B555" s="5" t="s">
        <v>497</v>
      </c>
      <c r="C555" s="5" t="s">
        <v>769</v>
      </c>
      <c r="D555" s="5" t="s">
        <v>770</v>
      </c>
      <c r="E555" s="6" t="s">
        <v>1743</v>
      </c>
      <c r="F555" s="6" t="s">
        <v>1744</v>
      </c>
      <c r="G555" s="6" t="s">
        <v>1741</v>
      </c>
      <c r="H555" s="5"/>
      <c r="I555" s="6" t="s">
        <v>1745</v>
      </c>
    </row>
    <row r="556" customFormat="false" ht="15" hidden="false" customHeight="false" outlineLevel="0" collapsed="false">
      <c r="A556" s="5" t="s">
        <v>1881</v>
      </c>
      <c r="B556" s="5" t="s">
        <v>497</v>
      </c>
      <c r="C556" s="5" t="s">
        <v>769</v>
      </c>
      <c r="D556" s="5" t="s">
        <v>770</v>
      </c>
      <c r="E556" s="6" t="s">
        <v>1865</v>
      </c>
      <c r="F556" s="6"/>
      <c r="G556" s="6" t="s">
        <v>1883</v>
      </c>
      <c r="H556" s="5"/>
      <c r="I556" s="6" t="s">
        <v>1738</v>
      </c>
    </row>
    <row r="557" customFormat="false" ht="15" hidden="false" customHeight="false" outlineLevel="0" collapsed="false">
      <c r="A557" s="5" t="s">
        <v>1881</v>
      </c>
      <c r="B557" s="5" t="s">
        <v>497</v>
      </c>
      <c r="C557" s="5" t="s">
        <v>769</v>
      </c>
      <c r="D557" s="5" t="s">
        <v>770</v>
      </c>
      <c r="E557" s="6" t="s">
        <v>1746</v>
      </c>
      <c r="F557" s="6" t="s">
        <v>1747</v>
      </c>
      <c r="G557" s="6" t="s">
        <v>1741</v>
      </c>
      <c r="H557" s="5"/>
      <c r="I557" s="6" t="s">
        <v>1738</v>
      </c>
    </row>
    <row r="558" customFormat="false" ht="35.05" hidden="false" customHeight="false" outlineLevel="0" collapsed="false">
      <c r="A558" s="5" t="s">
        <v>1881</v>
      </c>
      <c r="B558" s="5" t="s">
        <v>497</v>
      </c>
      <c r="C558" s="5" t="s">
        <v>769</v>
      </c>
      <c r="D558" s="5" t="s">
        <v>770</v>
      </c>
      <c r="E558" s="6" t="s">
        <v>1724</v>
      </c>
      <c r="F558" s="6"/>
      <c r="G558" s="6" t="s">
        <v>1764</v>
      </c>
      <c r="H558" s="5"/>
      <c r="I558" s="6"/>
    </row>
    <row r="559" customFormat="false" ht="23.85" hidden="false" customHeight="false" outlineLevel="0" collapsed="false">
      <c r="A559" s="5" t="s">
        <v>1881</v>
      </c>
      <c r="B559" s="5" t="s">
        <v>497</v>
      </c>
      <c r="C559" s="5" t="s">
        <v>769</v>
      </c>
      <c r="D559" s="5" t="s">
        <v>770</v>
      </c>
      <c r="E559" s="6" t="s">
        <v>1750</v>
      </c>
      <c r="F559" s="6" t="s">
        <v>1751</v>
      </c>
      <c r="G559" s="6" t="s">
        <v>1765</v>
      </c>
      <c r="H559" s="5"/>
      <c r="I559" s="6" t="s">
        <v>1753</v>
      </c>
    </row>
    <row r="560" customFormat="false" ht="35.05" hidden="false" customHeight="false" outlineLevel="0" collapsed="false">
      <c r="A560" s="5" t="s">
        <v>1881</v>
      </c>
      <c r="B560" s="5" t="s">
        <v>497</v>
      </c>
      <c r="C560" s="5" t="s">
        <v>769</v>
      </c>
      <c r="D560" s="5" t="s">
        <v>770</v>
      </c>
      <c r="E560" s="6" t="s">
        <v>1730</v>
      </c>
      <c r="F560" s="6"/>
      <c r="G560" s="6" t="s">
        <v>1766</v>
      </c>
      <c r="H560" s="5"/>
      <c r="I560" s="6"/>
    </row>
    <row r="561" customFormat="false" ht="23.85" hidden="false" customHeight="false" outlineLevel="0" collapsed="false">
      <c r="A561" s="5" t="s">
        <v>1884</v>
      </c>
      <c r="B561" s="5" t="s">
        <v>497</v>
      </c>
      <c r="C561" s="5" t="s">
        <v>774</v>
      </c>
      <c r="D561" s="5" t="s">
        <v>776</v>
      </c>
      <c r="E561" s="6" t="s">
        <v>1720</v>
      </c>
      <c r="F561" s="6" t="s">
        <v>1757</v>
      </c>
      <c r="G561" s="6" t="s">
        <v>1734</v>
      </c>
      <c r="H561" s="5"/>
      <c r="I561" s="6" t="s">
        <v>1723</v>
      </c>
    </row>
    <row r="562" customFormat="false" ht="15" hidden="false" customHeight="false" outlineLevel="0" collapsed="false">
      <c r="A562" s="5" t="s">
        <v>1884</v>
      </c>
      <c r="B562" s="5" t="s">
        <v>497</v>
      </c>
      <c r="C562" s="5" t="s">
        <v>774</v>
      </c>
      <c r="D562" s="5" t="s">
        <v>776</v>
      </c>
      <c r="E562" s="6" t="s">
        <v>1885</v>
      </c>
      <c r="F562" s="6"/>
      <c r="G562" s="6" t="s">
        <v>1886</v>
      </c>
      <c r="H562" s="5"/>
      <c r="I562" s="6" t="s">
        <v>1738</v>
      </c>
    </row>
    <row r="563" customFormat="false" ht="15" hidden="false" customHeight="false" outlineLevel="0" collapsed="false">
      <c r="A563" s="5" t="s">
        <v>1884</v>
      </c>
      <c r="B563" s="5" t="s">
        <v>497</v>
      </c>
      <c r="C563" s="5" t="s">
        <v>774</v>
      </c>
      <c r="D563" s="5" t="s">
        <v>776</v>
      </c>
      <c r="E563" s="6" t="s">
        <v>1735</v>
      </c>
      <c r="F563" s="6" t="s">
        <v>1736</v>
      </c>
      <c r="G563" s="6" t="s">
        <v>1887</v>
      </c>
      <c r="H563" s="5"/>
      <c r="I563" s="6" t="s">
        <v>1738</v>
      </c>
    </row>
    <row r="564" customFormat="false" ht="15" hidden="false" customHeight="false" outlineLevel="0" collapsed="false">
      <c r="A564" s="5" t="s">
        <v>1884</v>
      </c>
      <c r="B564" s="5" t="s">
        <v>497</v>
      </c>
      <c r="C564" s="5" t="s">
        <v>774</v>
      </c>
      <c r="D564" s="5" t="s">
        <v>776</v>
      </c>
      <c r="E564" s="6" t="s">
        <v>1739</v>
      </c>
      <c r="F564" s="6" t="s">
        <v>1740</v>
      </c>
      <c r="G564" s="6" t="s">
        <v>1741</v>
      </c>
      <c r="H564" s="5"/>
      <c r="I564" s="6" t="s">
        <v>1742</v>
      </c>
    </row>
    <row r="565" customFormat="false" ht="15" hidden="false" customHeight="false" outlineLevel="0" collapsed="false">
      <c r="A565" s="5" t="s">
        <v>1884</v>
      </c>
      <c r="B565" s="5" t="s">
        <v>497</v>
      </c>
      <c r="C565" s="5" t="s">
        <v>774</v>
      </c>
      <c r="D565" s="5" t="s">
        <v>776</v>
      </c>
      <c r="E565" s="6" t="s">
        <v>1743</v>
      </c>
      <c r="F565" s="6" t="s">
        <v>1744</v>
      </c>
      <c r="G565" s="6" t="s">
        <v>1741</v>
      </c>
      <c r="H565" s="5"/>
      <c r="I565" s="6" t="s">
        <v>1745</v>
      </c>
    </row>
    <row r="566" customFormat="false" ht="15" hidden="false" customHeight="false" outlineLevel="0" collapsed="false">
      <c r="A566" s="5" t="s">
        <v>1884</v>
      </c>
      <c r="B566" s="5" t="s">
        <v>497</v>
      </c>
      <c r="C566" s="5" t="s">
        <v>774</v>
      </c>
      <c r="D566" s="5" t="s">
        <v>776</v>
      </c>
      <c r="E566" s="6" t="s">
        <v>1746</v>
      </c>
      <c r="F566" s="6" t="s">
        <v>1747</v>
      </c>
      <c r="G566" s="6" t="s">
        <v>1741</v>
      </c>
      <c r="H566" s="5"/>
      <c r="I566" s="6" t="s">
        <v>1738</v>
      </c>
    </row>
    <row r="567" customFormat="false" ht="35.05" hidden="false" customHeight="false" outlineLevel="0" collapsed="false">
      <c r="A567" s="5" t="s">
        <v>1884</v>
      </c>
      <c r="B567" s="5" t="s">
        <v>497</v>
      </c>
      <c r="C567" s="5" t="s">
        <v>774</v>
      </c>
      <c r="D567" s="5" t="s">
        <v>776</v>
      </c>
      <c r="E567" s="6" t="s">
        <v>1724</v>
      </c>
      <c r="F567" s="6"/>
      <c r="G567" s="6" t="s">
        <v>1764</v>
      </c>
      <c r="H567" s="5"/>
      <c r="I567" s="6"/>
    </row>
    <row r="568" customFormat="false" ht="23.85" hidden="false" customHeight="false" outlineLevel="0" collapsed="false">
      <c r="A568" s="5" t="s">
        <v>1884</v>
      </c>
      <c r="B568" s="5" t="s">
        <v>497</v>
      </c>
      <c r="C568" s="5" t="s">
        <v>774</v>
      </c>
      <c r="D568" s="5" t="s">
        <v>776</v>
      </c>
      <c r="E568" s="6" t="s">
        <v>1750</v>
      </c>
      <c r="F568" s="6" t="s">
        <v>1751</v>
      </c>
      <c r="G568" s="6" t="s">
        <v>1752</v>
      </c>
      <c r="H568" s="5"/>
      <c r="I568" s="6" t="s">
        <v>1753</v>
      </c>
    </row>
    <row r="569" customFormat="false" ht="35.05" hidden="false" customHeight="false" outlineLevel="0" collapsed="false">
      <c r="A569" s="5" t="s">
        <v>1884</v>
      </c>
      <c r="B569" s="5" t="s">
        <v>497</v>
      </c>
      <c r="C569" s="5" t="s">
        <v>774</v>
      </c>
      <c r="D569" s="5" t="s">
        <v>776</v>
      </c>
      <c r="E569" s="6" t="s">
        <v>1730</v>
      </c>
      <c r="F569" s="6"/>
      <c r="G569" s="6" t="s">
        <v>1766</v>
      </c>
      <c r="H569" s="5"/>
      <c r="I569" s="6"/>
    </row>
    <row r="570" customFormat="false" ht="23.85" hidden="false" customHeight="false" outlineLevel="0" collapsed="false">
      <c r="A570" s="5" t="s">
        <v>1888</v>
      </c>
      <c r="B570" s="5" t="s">
        <v>497</v>
      </c>
      <c r="C570" s="5" t="s">
        <v>780</v>
      </c>
      <c r="D570" s="5" t="s">
        <v>781</v>
      </c>
      <c r="E570" s="6" t="s">
        <v>1720</v>
      </c>
      <c r="F570" s="6" t="s">
        <v>1757</v>
      </c>
      <c r="G570" s="6" t="s">
        <v>1734</v>
      </c>
      <c r="H570" s="5"/>
      <c r="I570" s="6" t="s">
        <v>1723</v>
      </c>
    </row>
    <row r="571" customFormat="false" ht="15" hidden="false" customHeight="false" outlineLevel="0" collapsed="false">
      <c r="A571" s="5" t="s">
        <v>1888</v>
      </c>
      <c r="B571" s="5" t="s">
        <v>497</v>
      </c>
      <c r="C571" s="5" t="s">
        <v>780</v>
      </c>
      <c r="D571" s="5" t="s">
        <v>781</v>
      </c>
      <c r="E571" s="6" t="s">
        <v>1735</v>
      </c>
      <c r="F571" s="6" t="s">
        <v>1736</v>
      </c>
      <c r="G571" s="6" t="s">
        <v>1887</v>
      </c>
      <c r="H571" s="5"/>
      <c r="I571" s="6" t="s">
        <v>1738</v>
      </c>
    </row>
    <row r="572" customFormat="false" ht="15" hidden="false" customHeight="false" outlineLevel="0" collapsed="false">
      <c r="A572" s="5" t="s">
        <v>1888</v>
      </c>
      <c r="B572" s="5" t="s">
        <v>497</v>
      </c>
      <c r="C572" s="5" t="s">
        <v>780</v>
      </c>
      <c r="D572" s="5" t="s">
        <v>781</v>
      </c>
      <c r="E572" s="6" t="s">
        <v>1739</v>
      </c>
      <c r="F572" s="6" t="s">
        <v>1740</v>
      </c>
      <c r="G572" s="6" t="s">
        <v>1761</v>
      </c>
      <c r="H572" s="5"/>
      <c r="I572" s="6" t="s">
        <v>1742</v>
      </c>
    </row>
    <row r="573" customFormat="false" ht="15" hidden="false" customHeight="false" outlineLevel="0" collapsed="false">
      <c r="A573" s="5" t="s">
        <v>1888</v>
      </c>
      <c r="B573" s="5" t="s">
        <v>497</v>
      </c>
      <c r="C573" s="5" t="s">
        <v>780</v>
      </c>
      <c r="D573" s="5" t="s">
        <v>781</v>
      </c>
      <c r="E573" s="6" t="s">
        <v>1743</v>
      </c>
      <c r="F573" s="6" t="s">
        <v>1744</v>
      </c>
      <c r="G573" s="6" t="s">
        <v>1741</v>
      </c>
      <c r="H573" s="5"/>
      <c r="I573" s="6" t="s">
        <v>1745</v>
      </c>
    </row>
    <row r="574" customFormat="false" ht="15" hidden="false" customHeight="false" outlineLevel="0" collapsed="false">
      <c r="A574" s="5" t="s">
        <v>1888</v>
      </c>
      <c r="B574" s="5" t="s">
        <v>497</v>
      </c>
      <c r="C574" s="5" t="s">
        <v>780</v>
      </c>
      <c r="D574" s="5" t="s">
        <v>781</v>
      </c>
      <c r="E574" s="6" t="s">
        <v>1865</v>
      </c>
      <c r="F574" s="6"/>
      <c r="G574" s="6" t="s">
        <v>1889</v>
      </c>
      <c r="H574" s="5"/>
      <c r="I574" s="6" t="s">
        <v>1738</v>
      </c>
    </row>
    <row r="575" customFormat="false" ht="15" hidden="false" customHeight="false" outlineLevel="0" collapsed="false">
      <c r="A575" s="5" t="s">
        <v>1888</v>
      </c>
      <c r="B575" s="5" t="s">
        <v>497</v>
      </c>
      <c r="C575" s="5" t="s">
        <v>780</v>
      </c>
      <c r="D575" s="5" t="s">
        <v>781</v>
      </c>
      <c r="E575" s="6" t="s">
        <v>1746</v>
      </c>
      <c r="F575" s="6" t="s">
        <v>1747</v>
      </c>
      <c r="G575" s="6" t="s">
        <v>1741</v>
      </c>
      <c r="H575" s="5"/>
      <c r="I575" s="6" t="s">
        <v>1738</v>
      </c>
    </row>
    <row r="576" customFormat="false" ht="35.05" hidden="false" customHeight="false" outlineLevel="0" collapsed="false">
      <c r="A576" s="5" t="s">
        <v>1888</v>
      </c>
      <c r="B576" s="5" t="s">
        <v>497</v>
      </c>
      <c r="C576" s="5" t="s">
        <v>780</v>
      </c>
      <c r="D576" s="5" t="s">
        <v>781</v>
      </c>
      <c r="E576" s="6" t="s">
        <v>1724</v>
      </c>
      <c r="F576" s="6"/>
      <c r="G576" s="6" t="s">
        <v>1764</v>
      </c>
      <c r="H576" s="5"/>
      <c r="I576" s="6"/>
    </row>
    <row r="577" customFormat="false" ht="23.85" hidden="false" customHeight="false" outlineLevel="0" collapsed="false">
      <c r="A577" s="5" t="s">
        <v>1888</v>
      </c>
      <c r="B577" s="5" t="s">
        <v>497</v>
      </c>
      <c r="C577" s="5" t="s">
        <v>780</v>
      </c>
      <c r="D577" s="5" t="s">
        <v>781</v>
      </c>
      <c r="E577" s="6" t="s">
        <v>1750</v>
      </c>
      <c r="F577" s="6" t="s">
        <v>1751</v>
      </c>
      <c r="G577" s="6" t="s">
        <v>1765</v>
      </c>
      <c r="H577" s="5"/>
      <c r="I577" s="6" t="s">
        <v>1753</v>
      </c>
    </row>
    <row r="578" customFormat="false" ht="35.05" hidden="false" customHeight="false" outlineLevel="0" collapsed="false">
      <c r="A578" s="5" t="s">
        <v>1888</v>
      </c>
      <c r="B578" s="5" t="s">
        <v>497</v>
      </c>
      <c r="C578" s="5" t="s">
        <v>780</v>
      </c>
      <c r="D578" s="5" t="s">
        <v>781</v>
      </c>
      <c r="E578" s="6" t="s">
        <v>1730</v>
      </c>
      <c r="F578" s="6"/>
      <c r="G578" s="6" t="s">
        <v>1766</v>
      </c>
      <c r="H578" s="5"/>
      <c r="I578" s="6"/>
    </row>
    <row r="579" customFormat="false" ht="15" hidden="false" customHeight="false" outlineLevel="0" collapsed="false">
      <c r="A579" s="5" t="s">
        <v>1890</v>
      </c>
      <c r="B579" s="5" t="s">
        <v>786</v>
      </c>
      <c r="C579" s="5" t="s">
        <v>787</v>
      </c>
      <c r="D579" s="5" t="s">
        <v>770</v>
      </c>
      <c r="E579" s="6" t="s">
        <v>1891</v>
      </c>
      <c r="F579" s="6" t="s">
        <v>1892</v>
      </c>
      <c r="G579" s="6" t="s">
        <v>1893</v>
      </c>
      <c r="H579" s="5"/>
      <c r="I579" s="6" t="s">
        <v>1894</v>
      </c>
    </row>
    <row r="580" customFormat="false" ht="15" hidden="false" customHeight="false" outlineLevel="0" collapsed="false">
      <c r="A580" s="5" t="s">
        <v>1890</v>
      </c>
      <c r="B580" s="5" t="s">
        <v>786</v>
      </c>
      <c r="C580" s="5" t="s">
        <v>787</v>
      </c>
      <c r="D580" s="5" t="s">
        <v>770</v>
      </c>
      <c r="E580" s="6" t="s">
        <v>1895</v>
      </c>
      <c r="F580" s="6" t="s">
        <v>1896</v>
      </c>
      <c r="G580" s="6" t="s">
        <v>1893</v>
      </c>
      <c r="H580" s="5"/>
      <c r="I580" s="6" t="s">
        <v>1894</v>
      </c>
    </row>
    <row r="581" customFormat="false" ht="15" hidden="false" customHeight="false" outlineLevel="0" collapsed="false">
      <c r="A581" s="5" t="s">
        <v>1890</v>
      </c>
      <c r="B581" s="5" t="s">
        <v>786</v>
      </c>
      <c r="C581" s="5" t="s">
        <v>787</v>
      </c>
      <c r="D581" s="5" t="s">
        <v>770</v>
      </c>
      <c r="E581" s="6" t="s">
        <v>1897</v>
      </c>
      <c r="F581" s="6" t="s">
        <v>1898</v>
      </c>
      <c r="G581" s="6" t="s">
        <v>1893</v>
      </c>
      <c r="H581" s="5"/>
      <c r="I581" s="6" t="s">
        <v>1894</v>
      </c>
    </row>
    <row r="582" customFormat="false" ht="15" hidden="false" customHeight="false" outlineLevel="0" collapsed="false">
      <c r="A582" s="5" t="s">
        <v>1890</v>
      </c>
      <c r="B582" s="5" t="s">
        <v>786</v>
      </c>
      <c r="C582" s="5" t="s">
        <v>787</v>
      </c>
      <c r="D582" s="5" t="s">
        <v>770</v>
      </c>
      <c r="E582" s="6" t="s">
        <v>1899</v>
      </c>
      <c r="F582" s="6" t="s">
        <v>1900</v>
      </c>
      <c r="G582" s="6" t="s">
        <v>1901</v>
      </c>
      <c r="H582" s="5"/>
      <c r="I582" s="6" t="s">
        <v>1894</v>
      </c>
    </row>
    <row r="583" customFormat="false" ht="15" hidden="false" customHeight="false" outlineLevel="0" collapsed="false">
      <c r="A583" s="5" t="s">
        <v>1890</v>
      </c>
      <c r="B583" s="5" t="s">
        <v>786</v>
      </c>
      <c r="C583" s="5" t="s">
        <v>787</v>
      </c>
      <c r="D583" s="5" t="s">
        <v>770</v>
      </c>
      <c r="E583" s="6" t="s">
        <v>1902</v>
      </c>
      <c r="F583" s="6" t="s">
        <v>1903</v>
      </c>
      <c r="G583" s="6" t="s">
        <v>1901</v>
      </c>
      <c r="H583" s="5"/>
      <c r="I583" s="6" t="s">
        <v>1894</v>
      </c>
    </row>
    <row r="584" customFormat="false" ht="15" hidden="false" customHeight="false" outlineLevel="0" collapsed="false">
      <c r="A584" s="5" t="s">
        <v>1904</v>
      </c>
      <c r="B584" s="5" t="s">
        <v>786</v>
      </c>
      <c r="C584" s="5" t="s">
        <v>797</v>
      </c>
      <c r="D584" s="5" t="s">
        <v>799</v>
      </c>
      <c r="E584" s="6" t="s">
        <v>1891</v>
      </c>
      <c r="F584" s="6" t="s">
        <v>1892</v>
      </c>
      <c r="G584" s="6" t="s">
        <v>1905</v>
      </c>
      <c r="H584" s="5"/>
      <c r="I584" s="6" t="s">
        <v>1894</v>
      </c>
    </row>
    <row r="585" customFormat="false" ht="15" hidden="false" customHeight="false" outlineLevel="0" collapsed="false">
      <c r="A585" s="5" t="s">
        <v>1904</v>
      </c>
      <c r="B585" s="5" t="s">
        <v>786</v>
      </c>
      <c r="C585" s="5" t="s">
        <v>797</v>
      </c>
      <c r="D585" s="5" t="s">
        <v>799</v>
      </c>
      <c r="E585" s="6" t="s">
        <v>1906</v>
      </c>
      <c r="F585" s="6" t="s">
        <v>1896</v>
      </c>
      <c r="G585" s="6" t="s">
        <v>1907</v>
      </c>
      <c r="H585" s="5"/>
      <c r="I585" s="6" t="s">
        <v>1894</v>
      </c>
    </row>
    <row r="586" customFormat="false" ht="15" hidden="false" customHeight="false" outlineLevel="0" collapsed="false">
      <c r="A586" s="5" t="s">
        <v>1904</v>
      </c>
      <c r="B586" s="5" t="s">
        <v>786</v>
      </c>
      <c r="C586" s="5" t="s">
        <v>797</v>
      </c>
      <c r="D586" s="5" t="s">
        <v>799</v>
      </c>
      <c r="E586" s="6" t="s">
        <v>1897</v>
      </c>
      <c r="F586" s="6" t="s">
        <v>1898</v>
      </c>
      <c r="G586" s="6" t="s">
        <v>1908</v>
      </c>
      <c r="H586" s="5"/>
      <c r="I586" s="6" t="s">
        <v>1894</v>
      </c>
    </row>
    <row r="587" customFormat="false" ht="15" hidden="false" customHeight="false" outlineLevel="0" collapsed="false">
      <c r="A587" s="5" t="s">
        <v>1904</v>
      </c>
      <c r="B587" s="5" t="s">
        <v>786</v>
      </c>
      <c r="C587" s="5" t="s">
        <v>797</v>
      </c>
      <c r="D587" s="5" t="s">
        <v>799</v>
      </c>
      <c r="E587" s="6" t="s">
        <v>1899</v>
      </c>
      <c r="F587" s="6" t="s">
        <v>1900</v>
      </c>
      <c r="G587" s="6" t="s">
        <v>1901</v>
      </c>
      <c r="H587" s="5"/>
      <c r="I587" s="6" t="s">
        <v>1894</v>
      </c>
    </row>
    <row r="588" customFormat="false" ht="15" hidden="false" customHeight="false" outlineLevel="0" collapsed="false">
      <c r="A588" s="5" t="s">
        <v>1904</v>
      </c>
      <c r="B588" s="5" t="s">
        <v>786</v>
      </c>
      <c r="C588" s="5" t="s">
        <v>797</v>
      </c>
      <c r="D588" s="5" t="s">
        <v>799</v>
      </c>
      <c r="E588" s="6" t="s">
        <v>1902</v>
      </c>
      <c r="F588" s="6" t="s">
        <v>1903</v>
      </c>
      <c r="G588" s="6" t="s">
        <v>1901</v>
      </c>
      <c r="H588" s="5"/>
      <c r="I588" s="6" t="s">
        <v>1894</v>
      </c>
    </row>
    <row r="589" customFormat="false" ht="15" hidden="false" customHeight="false" outlineLevel="0" collapsed="false">
      <c r="A589" s="5" t="s">
        <v>1909</v>
      </c>
      <c r="B589" s="5" t="s">
        <v>786</v>
      </c>
      <c r="C589" s="5" t="s">
        <v>803</v>
      </c>
      <c r="D589" s="5" t="s">
        <v>806</v>
      </c>
      <c r="E589" s="6" t="s">
        <v>1891</v>
      </c>
      <c r="F589" s="6" t="s">
        <v>1892</v>
      </c>
      <c r="G589" s="6" t="s">
        <v>1910</v>
      </c>
      <c r="H589" s="5"/>
      <c r="I589" s="6" t="s">
        <v>1894</v>
      </c>
    </row>
    <row r="590" customFormat="false" ht="15" hidden="false" customHeight="false" outlineLevel="0" collapsed="false">
      <c r="A590" s="5" t="s">
        <v>1909</v>
      </c>
      <c r="B590" s="5" t="s">
        <v>786</v>
      </c>
      <c r="C590" s="5" t="s">
        <v>803</v>
      </c>
      <c r="D590" s="5" t="s">
        <v>806</v>
      </c>
      <c r="E590" s="6" t="s">
        <v>1906</v>
      </c>
      <c r="F590" s="6" t="s">
        <v>1896</v>
      </c>
      <c r="G590" s="6" t="s">
        <v>1911</v>
      </c>
      <c r="H590" s="5"/>
      <c r="I590" s="6" t="s">
        <v>1894</v>
      </c>
    </row>
    <row r="591" customFormat="false" ht="15" hidden="false" customHeight="false" outlineLevel="0" collapsed="false">
      <c r="A591" s="5" t="s">
        <v>1909</v>
      </c>
      <c r="B591" s="5" t="s">
        <v>786</v>
      </c>
      <c r="C591" s="5" t="s">
        <v>803</v>
      </c>
      <c r="D591" s="5" t="s">
        <v>806</v>
      </c>
      <c r="E591" s="6" t="s">
        <v>1897</v>
      </c>
      <c r="F591" s="6" t="s">
        <v>1898</v>
      </c>
      <c r="G591" s="6" t="s">
        <v>1912</v>
      </c>
      <c r="H591" s="5"/>
      <c r="I591" s="6" t="s">
        <v>1894</v>
      </c>
    </row>
    <row r="592" customFormat="false" ht="15" hidden="false" customHeight="false" outlineLevel="0" collapsed="false">
      <c r="A592" s="5" t="s">
        <v>1909</v>
      </c>
      <c r="B592" s="5" t="s">
        <v>786</v>
      </c>
      <c r="C592" s="5" t="s">
        <v>803</v>
      </c>
      <c r="D592" s="5" t="s">
        <v>806</v>
      </c>
      <c r="E592" s="6" t="s">
        <v>1899</v>
      </c>
      <c r="F592" s="6" t="s">
        <v>1900</v>
      </c>
      <c r="G592" s="6" t="s">
        <v>1901</v>
      </c>
      <c r="H592" s="5"/>
      <c r="I592" s="6" t="s">
        <v>1894</v>
      </c>
    </row>
    <row r="593" customFormat="false" ht="15" hidden="false" customHeight="false" outlineLevel="0" collapsed="false">
      <c r="A593" s="5" t="s">
        <v>1909</v>
      </c>
      <c r="B593" s="5" t="s">
        <v>786</v>
      </c>
      <c r="C593" s="5" t="s">
        <v>803</v>
      </c>
      <c r="D593" s="5" t="s">
        <v>806</v>
      </c>
      <c r="E593" s="6" t="s">
        <v>1902</v>
      </c>
      <c r="F593" s="6" t="s">
        <v>1903</v>
      </c>
      <c r="G593" s="6" t="s">
        <v>1901</v>
      </c>
      <c r="H593" s="5"/>
      <c r="I593" s="6" t="s">
        <v>1894</v>
      </c>
    </row>
    <row r="594" customFormat="false" ht="15" hidden="false" customHeight="false" outlineLevel="0" collapsed="false">
      <c r="A594" s="5" t="s">
        <v>1913</v>
      </c>
      <c r="B594" s="5" t="s">
        <v>786</v>
      </c>
      <c r="C594" s="5" t="s">
        <v>810</v>
      </c>
      <c r="D594" s="5" t="s">
        <v>799</v>
      </c>
      <c r="E594" s="6" t="s">
        <v>1891</v>
      </c>
      <c r="F594" s="6" t="s">
        <v>1892</v>
      </c>
      <c r="G594" s="6" t="s">
        <v>1914</v>
      </c>
      <c r="H594" s="5"/>
      <c r="I594" s="6" t="s">
        <v>1894</v>
      </c>
    </row>
    <row r="595" customFormat="false" ht="15" hidden="false" customHeight="false" outlineLevel="0" collapsed="false">
      <c r="A595" s="5" t="s">
        <v>1913</v>
      </c>
      <c r="B595" s="5" t="s">
        <v>786</v>
      </c>
      <c r="C595" s="5" t="s">
        <v>810</v>
      </c>
      <c r="D595" s="5" t="s">
        <v>799</v>
      </c>
      <c r="E595" s="6" t="s">
        <v>1906</v>
      </c>
      <c r="F595" s="6" t="s">
        <v>1896</v>
      </c>
      <c r="G595" s="6" t="s">
        <v>1915</v>
      </c>
      <c r="H595" s="5"/>
      <c r="I595" s="6" t="s">
        <v>1894</v>
      </c>
    </row>
    <row r="596" customFormat="false" ht="15" hidden="false" customHeight="false" outlineLevel="0" collapsed="false">
      <c r="A596" s="5" t="s">
        <v>1913</v>
      </c>
      <c r="B596" s="5" t="s">
        <v>786</v>
      </c>
      <c r="C596" s="5" t="s">
        <v>810</v>
      </c>
      <c r="D596" s="5" t="s">
        <v>799</v>
      </c>
      <c r="E596" s="6" t="s">
        <v>1897</v>
      </c>
      <c r="F596" s="6" t="s">
        <v>1898</v>
      </c>
      <c r="G596" s="6" t="s">
        <v>1893</v>
      </c>
      <c r="H596" s="5"/>
      <c r="I596" s="6" t="s">
        <v>1894</v>
      </c>
    </row>
    <row r="597" customFormat="false" ht="15" hidden="false" customHeight="false" outlineLevel="0" collapsed="false">
      <c r="A597" s="5" t="s">
        <v>1913</v>
      </c>
      <c r="B597" s="5" t="s">
        <v>786</v>
      </c>
      <c r="C597" s="5" t="s">
        <v>810</v>
      </c>
      <c r="D597" s="5" t="s">
        <v>799</v>
      </c>
      <c r="E597" s="6" t="s">
        <v>1899</v>
      </c>
      <c r="F597" s="6" t="s">
        <v>1900</v>
      </c>
      <c r="G597" s="6" t="s">
        <v>1901</v>
      </c>
      <c r="H597" s="5"/>
      <c r="I597" s="6" t="s">
        <v>1894</v>
      </c>
    </row>
    <row r="598" customFormat="false" ht="15" hidden="false" customHeight="false" outlineLevel="0" collapsed="false">
      <c r="A598" s="5" t="s">
        <v>1913</v>
      </c>
      <c r="B598" s="5" t="s">
        <v>786</v>
      </c>
      <c r="C598" s="5" t="s">
        <v>810</v>
      </c>
      <c r="D598" s="5" t="s">
        <v>799</v>
      </c>
      <c r="E598" s="6" t="s">
        <v>1902</v>
      </c>
      <c r="F598" s="6" t="s">
        <v>1903</v>
      </c>
      <c r="G598" s="6" t="s">
        <v>1901</v>
      </c>
      <c r="H598" s="5"/>
      <c r="I598" s="6" t="s">
        <v>1894</v>
      </c>
    </row>
    <row r="599" customFormat="false" ht="15" hidden="false" customHeight="false" outlineLevel="0" collapsed="false">
      <c r="A599" s="5" t="s">
        <v>1916</v>
      </c>
      <c r="B599" s="5" t="s">
        <v>786</v>
      </c>
      <c r="C599" s="5" t="s">
        <v>816</v>
      </c>
      <c r="D599" s="5" t="s">
        <v>669</v>
      </c>
      <c r="E599" s="6" t="s">
        <v>1891</v>
      </c>
      <c r="F599" s="6" t="s">
        <v>1892</v>
      </c>
      <c r="G599" s="6" t="s">
        <v>1917</v>
      </c>
      <c r="H599" s="5"/>
      <c r="I599" s="6" t="s">
        <v>1894</v>
      </c>
    </row>
    <row r="600" customFormat="false" ht="15" hidden="false" customHeight="false" outlineLevel="0" collapsed="false">
      <c r="A600" s="5" t="s">
        <v>1916</v>
      </c>
      <c r="B600" s="5" t="s">
        <v>786</v>
      </c>
      <c r="C600" s="5" t="s">
        <v>816</v>
      </c>
      <c r="D600" s="5" t="s">
        <v>669</v>
      </c>
      <c r="E600" s="6" t="s">
        <v>1906</v>
      </c>
      <c r="F600" s="6" t="s">
        <v>1896</v>
      </c>
      <c r="G600" s="6" t="s">
        <v>1917</v>
      </c>
      <c r="H600" s="5"/>
      <c r="I600" s="6" t="s">
        <v>1894</v>
      </c>
    </row>
    <row r="601" customFormat="false" ht="15" hidden="false" customHeight="false" outlineLevel="0" collapsed="false">
      <c r="A601" s="5" t="s">
        <v>1916</v>
      </c>
      <c r="B601" s="5" t="s">
        <v>786</v>
      </c>
      <c r="C601" s="5" t="s">
        <v>816</v>
      </c>
      <c r="D601" s="5" t="s">
        <v>669</v>
      </c>
      <c r="E601" s="6" t="s">
        <v>1897</v>
      </c>
      <c r="F601" s="6" t="s">
        <v>1898</v>
      </c>
      <c r="G601" s="6" t="s">
        <v>1918</v>
      </c>
      <c r="H601" s="5"/>
      <c r="I601" s="6" t="s">
        <v>1894</v>
      </c>
    </row>
    <row r="602" customFormat="false" ht="15" hidden="false" customHeight="false" outlineLevel="0" collapsed="false">
      <c r="A602" s="5" t="s">
        <v>1916</v>
      </c>
      <c r="B602" s="5" t="s">
        <v>786</v>
      </c>
      <c r="C602" s="5" t="s">
        <v>816</v>
      </c>
      <c r="D602" s="5" t="s">
        <v>669</v>
      </c>
      <c r="E602" s="6" t="s">
        <v>1899</v>
      </c>
      <c r="F602" s="6" t="s">
        <v>1900</v>
      </c>
      <c r="G602" s="6" t="s">
        <v>1901</v>
      </c>
      <c r="H602" s="5"/>
      <c r="I602" s="6" t="s">
        <v>1894</v>
      </c>
    </row>
    <row r="603" customFormat="false" ht="15" hidden="false" customHeight="false" outlineLevel="0" collapsed="false">
      <c r="A603" s="5" t="s">
        <v>1916</v>
      </c>
      <c r="B603" s="5" t="s">
        <v>786</v>
      </c>
      <c r="C603" s="5" t="s">
        <v>816</v>
      </c>
      <c r="D603" s="5" t="s">
        <v>669</v>
      </c>
      <c r="E603" s="6" t="s">
        <v>1902</v>
      </c>
      <c r="F603" s="6" t="s">
        <v>1903</v>
      </c>
      <c r="G603" s="6" t="s">
        <v>1901</v>
      </c>
      <c r="H603" s="5"/>
      <c r="I603" s="6" t="s">
        <v>1894</v>
      </c>
    </row>
    <row r="604" customFormat="false" ht="15" hidden="false" customHeight="false" outlineLevel="0" collapsed="false">
      <c r="A604" s="5" t="s">
        <v>1919</v>
      </c>
      <c r="B604" s="5" t="s">
        <v>786</v>
      </c>
      <c r="C604" s="5" t="s">
        <v>820</v>
      </c>
      <c r="D604" s="5" t="s">
        <v>822</v>
      </c>
      <c r="E604" s="6" t="s">
        <v>1891</v>
      </c>
      <c r="F604" s="6" t="s">
        <v>1892</v>
      </c>
      <c r="G604" s="6" t="s">
        <v>1893</v>
      </c>
      <c r="H604" s="5"/>
      <c r="I604" s="6" t="s">
        <v>1894</v>
      </c>
    </row>
    <row r="605" customFormat="false" ht="15" hidden="false" customHeight="false" outlineLevel="0" collapsed="false">
      <c r="A605" s="5" t="s">
        <v>1919</v>
      </c>
      <c r="B605" s="5" t="s">
        <v>786</v>
      </c>
      <c r="C605" s="5" t="s">
        <v>820</v>
      </c>
      <c r="D605" s="5" t="s">
        <v>822</v>
      </c>
      <c r="E605" s="6" t="s">
        <v>1895</v>
      </c>
      <c r="F605" s="6" t="s">
        <v>1896</v>
      </c>
      <c r="G605" s="6" t="s">
        <v>1920</v>
      </c>
      <c r="H605" s="5"/>
      <c r="I605" s="6" t="s">
        <v>1894</v>
      </c>
    </row>
    <row r="606" customFormat="false" ht="15" hidden="false" customHeight="false" outlineLevel="0" collapsed="false">
      <c r="A606" s="5" t="s">
        <v>1919</v>
      </c>
      <c r="B606" s="5" t="s">
        <v>786</v>
      </c>
      <c r="C606" s="5" t="s">
        <v>820</v>
      </c>
      <c r="D606" s="5" t="s">
        <v>822</v>
      </c>
      <c r="E606" s="6" t="s">
        <v>1897</v>
      </c>
      <c r="F606" s="6" t="s">
        <v>1898</v>
      </c>
      <c r="G606" s="6" t="s">
        <v>1893</v>
      </c>
      <c r="H606" s="5"/>
      <c r="I606" s="6" t="s">
        <v>1894</v>
      </c>
    </row>
    <row r="607" customFormat="false" ht="15" hidden="false" customHeight="false" outlineLevel="0" collapsed="false">
      <c r="A607" s="5" t="s">
        <v>1919</v>
      </c>
      <c r="B607" s="5" t="s">
        <v>786</v>
      </c>
      <c r="C607" s="5" t="s">
        <v>820</v>
      </c>
      <c r="D607" s="5" t="s">
        <v>822</v>
      </c>
      <c r="E607" s="6" t="s">
        <v>1899</v>
      </c>
      <c r="F607" s="6" t="s">
        <v>1900</v>
      </c>
      <c r="G607" s="6" t="s">
        <v>1901</v>
      </c>
      <c r="H607" s="5"/>
      <c r="I607" s="6" t="s">
        <v>1894</v>
      </c>
    </row>
    <row r="608" customFormat="false" ht="15" hidden="false" customHeight="false" outlineLevel="0" collapsed="false">
      <c r="A608" s="5" t="s">
        <v>1919</v>
      </c>
      <c r="B608" s="5" t="s">
        <v>786</v>
      </c>
      <c r="C608" s="5" t="s">
        <v>820</v>
      </c>
      <c r="D608" s="5" t="s">
        <v>822</v>
      </c>
      <c r="E608" s="6" t="s">
        <v>1902</v>
      </c>
      <c r="F608" s="6" t="s">
        <v>1903</v>
      </c>
      <c r="G608" s="6" t="s">
        <v>1901</v>
      </c>
      <c r="H608" s="5"/>
      <c r="I608" s="6" t="s">
        <v>1894</v>
      </c>
    </row>
    <row r="609" customFormat="false" ht="15" hidden="false" customHeight="false" outlineLevel="0" collapsed="false">
      <c r="A609" s="5" t="s">
        <v>1921</v>
      </c>
      <c r="B609" s="5" t="s">
        <v>786</v>
      </c>
      <c r="C609" s="5" t="s">
        <v>825</v>
      </c>
      <c r="D609" s="5" t="s">
        <v>826</v>
      </c>
      <c r="E609" s="6" t="s">
        <v>1891</v>
      </c>
      <c r="F609" s="6" t="s">
        <v>1892</v>
      </c>
      <c r="G609" s="6" t="s">
        <v>1922</v>
      </c>
      <c r="H609" s="5"/>
      <c r="I609" s="6" t="s">
        <v>1894</v>
      </c>
    </row>
    <row r="610" customFormat="false" ht="15" hidden="false" customHeight="false" outlineLevel="0" collapsed="false">
      <c r="A610" s="5" t="s">
        <v>1921</v>
      </c>
      <c r="B610" s="5" t="s">
        <v>786</v>
      </c>
      <c r="C610" s="5" t="s">
        <v>825</v>
      </c>
      <c r="D610" s="5" t="s">
        <v>826</v>
      </c>
      <c r="E610" s="6" t="s">
        <v>1906</v>
      </c>
      <c r="F610" s="6" t="s">
        <v>1896</v>
      </c>
      <c r="G610" s="6" t="s">
        <v>1923</v>
      </c>
      <c r="H610" s="5"/>
      <c r="I610" s="6" t="s">
        <v>1894</v>
      </c>
    </row>
    <row r="611" customFormat="false" ht="15" hidden="false" customHeight="false" outlineLevel="0" collapsed="false">
      <c r="A611" s="5" t="s">
        <v>1921</v>
      </c>
      <c r="B611" s="5" t="s">
        <v>786</v>
      </c>
      <c r="C611" s="5" t="s">
        <v>825</v>
      </c>
      <c r="D611" s="5" t="s">
        <v>826</v>
      </c>
      <c r="E611" s="6" t="s">
        <v>1897</v>
      </c>
      <c r="F611" s="6" t="s">
        <v>1898</v>
      </c>
      <c r="G611" s="6" t="s">
        <v>1893</v>
      </c>
      <c r="H611" s="5"/>
      <c r="I611" s="6" t="s">
        <v>1894</v>
      </c>
    </row>
    <row r="612" customFormat="false" ht="15" hidden="false" customHeight="false" outlineLevel="0" collapsed="false">
      <c r="A612" s="5" t="s">
        <v>1921</v>
      </c>
      <c r="B612" s="5" t="s">
        <v>786</v>
      </c>
      <c r="C612" s="5" t="s">
        <v>825</v>
      </c>
      <c r="D612" s="5" t="s">
        <v>826</v>
      </c>
      <c r="E612" s="6" t="s">
        <v>1899</v>
      </c>
      <c r="F612" s="6" t="s">
        <v>1900</v>
      </c>
      <c r="G612" s="6" t="s">
        <v>1901</v>
      </c>
      <c r="H612" s="5"/>
      <c r="I612" s="6" t="s">
        <v>1894</v>
      </c>
    </row>
    <row r="613" customFormat="false" ht="15" hidden="false" customHeight="false" outlineLevel="0" collapsed="false">
      <c r="A613" s="5" t="s">
        <v>1921</v>
      </c>
      <c r="B613" s="5" t="s">
        <v>786</v>
      </c>
      <c r="C613" s="5" t="s">
        <v>825</v>
      </c>
      <c r="D613" s="5" t="s">
        <v>826</v>
      </c>
      <c r="E613" s="6" t="s">
        <v>1902</v>
      </c>
      <c r="F613" s="6" t="s">
        <v>1903</v>
      </c>
      <c r="G613" s="6" t="s">
        <v>1901</v>
      </c>
      <c r="H613" s="5"/>
      <c r="I613" s="6" t="s">
        <v>1894</v>
      </c>
    </row>
    <row r="614" customFormat="false" ht="15" hidden="false" customHeight="false" outlineLevel="0" collapsed="false">
      <c r="A614" s="5" t="s">
        <v>1924</v>
      </c>
      <c r="B614" s="5" t="s">
        <v>786</v>
      </c>
      <c r="C614" s="5" t="s">
        <v>829</v>
      </c>
      <c r="D614" s="5" t="s">
        <v>693</v>
      </c>
      <c r="E614" s="6" t="s">
        <v>1891</v>
      </c>
      <c r="F614" s="6" t="s">
        <v>1892</v>
      </c>
      <c r="G614" s="6" t="s">
        <v>1893</v>
      </c>
      <c r="H614" s="5"/>
      <c r="I614" s="6" t="s">
        <v>1894</v>
      </c>
    </row>
    <row r="615" customFormat="false" ht="15" hidden="false" customHeight="false" outlineLevel="0" collapsed="false">
      <c r="A615" s="5" t="s">
        <v>1924</v>
      </c>
      <c r="B615" s="5" t="s">
        <v>786</v>
      </c>
      <c r="C615" s="5" t="s">
        <v>829</v>
      </c>
      <c r="D615" s="5" t="s">
        <v>693</v>
      </c>
      <c r="E615" s="6" t="s">
        <v>1906</v>
      </c>
      <c r="F615" s="6" t="s">
        <v>1896</v>
      </c>
      <c r="G615" s="6" t="s">
        <v>1893</v>
      </c>
      <c r="H615" s="5"/>
      <c r="I615" s="6" t="s">
        <v>1894</v>
      </c>
    </row>
    <row r="616" customFormat="false" ht="15" hidden="false" customHeight="false" outlineLevel="0" collapsed="false">
      <c r="A616" s="5" t="s">
        <v>1924</v>
      </c>
      <c r="B616" s="5" t="s">
        <v>786</v>
      </c>
      <c r="C616" s="5" t="s">
        <v>829</v>
      </c>
      <c r="D616" s="5" t="s">
        <v>693</v>
      </c>
      <c r="E616" s="6" t="s">
        <v>1897</v>
      </c>
      <c r="F616" s="6" t="s">
        <v>1898</v>
      </c>
      <c r="G616" s="6" t="s">
        <v>1893</v>
      </c>
      <c r="H616" s="5"/>
      <c r="I616" s="6" t="s">
        <v>1894</v>
      </c>
    </row>
    <row r="617" customFormat="false" ht="15" hidden="false" customHeight="false" outlineLevel="0" collapsed="false">
      <c r="A617" s="5" t="s">
        <v>1924</v>
      </c>
      <c r="B617" s="5" t="s">
        <v>786</v>
      </c>
      <c r="C617" s="5" t="s">
        <v>829</v>
      </c>
      <c r="D617" s="5" t="s">
        <v>693</v>
      </c>
      <c r="E617" s="6" t="s">
        <v>1899</v>
      </c>
      <c r="F617" s="6" t="s">
        <v>1900</v>
      </c>
      <c r="G617" s="6" t="s">
        <v>1901</v>
      </c>
      <c r="H617" s="5"/>
      <c r="I617" s="6" t="s">
        <v>1894</v>
      </c>
    </row>
    <row r="618" customFormat="false" ht="15" hidden="false" customHeight="false" outlineLevel="0" collapsed="false">
      <c r="A618" s="5" t="s">
        <v>1924</v>
      </c>
      <c r="B618" s="5" t="s">
        <v>786</v>
      </c>
      <c r="C618" s="5" t="s">
        <v>829</v>
      </c>
      <c r="D618" s="5" t="s">
        <v>693</v>
      </c>
      <c r="E618" s="6" t="s">
        <v>1902</v>
      </c>
      <c r="F618" s="6" t="s">
        <v>1903</v>
      </c>
      <c r="G618" s="6" t="s">
        <v>1901</v>
      </c>
      <c r="H618" s="5"/>
      <c r="I618" s="6" t="s">
        <v>1894</v>
      </c>
    </row>
    <row r="619" customFormat="false" ht="23.85" hidden="false" customHeight="false" outlineLevel="0" collapsed="false">
      <c r="A619" s="5" t="s">
        <v>1925</v>
      </c>
      <c r="B619" s="5" t="s">
        <v>786</v>
      </c>
      <c r="C619" s="5" t="s">
        <v>832</v>
      </c>
      <c r="D619" s="5" t="s">
        <v>683</v>
      </c>
      <c r="E619" s="6" t="s">
        <v>1891</v>
      </c>
      <c r="F619" s="6" t="s">
        <v>1896</v>
      </c>
      <c r="G619" s="6" t="s">
        <v>1926</v>
      </c>
      <c r="H619" s="5"/>
      <c r="I619" s="6" t="s">
        <v>1927</v>
      </c>
    </row>
    <row r="620" customFormat="false" ht="23.85" hidden="false" customHeight="false" outlineLevel="0" collapsed="false">
      <c r="A620" s="5" t="s">
        <v>1925</v>
      </c>
      <c r="B620" s="5" t="s">
        <v>786</v>
      </c>
      <c r="C620" s="5" t="s">
        <v>832</v>
      </c>
      <c r="D620" s="5" t="s">
        <v>683</v>
      </c>
      <c r="E620" s="6" t="s">
        <v>1906</v>
      </c>
      <c r="F620" s="6" t="s">
        <v>1928</v>
      </c>
      <c r="G620" s="6" t="s">
        <v>1917</v>
      </c>
      <c r="H620" s="5"/>
      <c r="I620" s="6" t="s">
        <v>1927</v>
      </c>
    </row>
    <row r="621" customFormat="false" ht="23.85" hidden="false" customHeight="false" outlineLevel="0" collapsed="false">
      <c r="A621" s="5" t="s">
        <v>1925</v>
      </c>
      <c r="B621" s="5" t="s">
        <v>786</v>
      </c>
      <c r="C621" s="5" t="s">
        <v>832</v>
      </c>
      <c r="D621" s="5" t="s">
        <v>683</v>
      </c>
      <c r="E621" s="6" t="s">
        <v>1897</v>
      </c>
      <c r="F621" s="6" t="s">
        <v>1929</v>
      </c>
      <c r="G621" s="6" t="s">
        <v>1930</v>
      </c>
      <c r="H621" s="5"/>
      <c r="I621" s="6" t="s">
        <v>1927</v>
      </c>
    </row>
    <row r="622" customFormat="false" ht="23.85" hidden="false" customHeight="false" outlineLevel="0" collapsed="false">
      <c r="A622" s="5" t="s">
        <v>1925</v>
      </c>
      <c r="B622" s="5" t="s">
        <v>786</v>
      </c>
      <c r="C622" s="5" t="s">
        <v>832</v>
      </c>
      <c r="D622" s="5" t="s">
        <v>683</v>
      </c>
      <c r="E622" s="6" t="s">
        <v>1931</v>
      </c>
      <c r="F622" s="6" t="s">
        <v>1932</v>
      </c>
      <c r="G622" s="6" t="s">
        <v>1901</v>
      </c>
      <c r="H622" s="5"/>
      <c r="I622" s="6" t="s">
        <v>1927</v>
      </c>
    </row>
    <row r="623" customFormat="false" ht="23.85" hidden="false" customHeight="false" outlineLevel="0" collapsed="false">
      <c r="A623" s="5" t="s">
        <v>1925</v>
      </c>
      <c r="B623" s="5" t="s">
        <v>786</v>
      </c>
      <c r="C623" s="5" t="s">
        <v>832</v>
      </c>
      <c r="D623" s="5" t="s">
        <v>683</v>
      </c>
      <c r="E623" s="6" t="s">
        <v>1933</v>
      </c>
      <c r="F623" s="6" t="s">
        <v>1932</v>
      </c>
      <c r="G623" s="6" t="s">
        <v>1901</v>
      </c>
      <c r="H623" s="5"/>
      <c r="I623" s="6" t="s">
        <v>1927</v>
      </c>
    </row>
    <row r="624" customFormat="false" ht="23.85" hidden="false" customHeight="false" outlineLevel="0" collapsed="false">
      <c r="A624" s="5" t="s">
        <v>1925</v>
      </c>
      <c r="B624" s="5" t="s">
        <v>786</v>
      </c>
      <c r="C624" s="5" t="s">
        <v>832</v>
      </c>
      <c r="D624" s="5" t="s">
        <v>683</v>
      </c>
      <c r="E624" s="6" t="s">
        <v>1899</v>
      </c>
      <c r="F624" s="6" t="s">
        <v>1932</v>
      </c>
      <c r="G624" s="6" t="s">
        <v>1901</v>
      </c>
      <c r="H624" s="5"/>
      <c r="I624" s="6" t="s">
        <v>1927</v>
      </c>
    </row>
    <row r="625" customFormat="false" ht="23.85" hidden="false" customHeight="false" outlineLevel="0" collapsed="false">
      <c r="A625" s="5" t="s">
        <v>1925</v>
      </c>
      <c r="B625" s="5" t="s">
        <v>786</v>
      </c>
      <c r="C625" s="5" t="s">
        <v>832</v>
      </c>
      <c r="D625" s="5" t="s">
        <v>683</v>
      </c>
      <c r="E625" s="6" t="s">
        <v>1902</v>
      </c>
      <c r="F625" s="6" t="s">
        <v>1903</v>
      </c>
      <c r="G625" s="6" t="s">
        <v>1901</v>
      </c>
      <c r="H625" s="5"/>
      <c r="I625" s="6" t="s">
        <v>1927</v>
      </c>
    </row>
    <row r="626" customFormat="false" ht="23.85" hidden="false" customHeight="false" outlineLevel="0" collapsed="false">
      <c r="A626" s="5" t="s">
        <v>1934</v>
      </c>
      <c r="B626" s="5" t="s">
        <v>786</v>
      </c>
      <c r="C626" s="5" t="s">
        <v>836</v>
      </c>
      <c r="D626" s="5" t="s">
        <v>688</v>
      </c>
      <c r="E626" s="6" t="s">
        <v>1891</v>
      </c>
      <c r="F626" s="6" t="s">
        <v>1896</v>
      </c>
      <c r="G626" s="6" t="s">
        <v>1935</v>
      </c>
      <c r="H626" s="5"/>
      <c r="I626" s="6" t="s">
        <v>1927</v>
      </c>
    </row>
    <row r="627" customFormat="false" ht="23.85" hidden="false" customHeight="false" outlineLevel="0" collapsed="false">
      <c r="A627" s="5" t="s">
        <v>1934</v>
      </c>
      <c r="B627" s="5" t="s">
        <v>786</v>
      </c>
      <c r="C627" s="5" t="s">
        <v>836</v>
      </c>
      <c r="D627" s="5" t="s">
        <v>688</v>
      </c>
      <c r="E627" s="6" t="s">
        <v>1906</v>
      </c>
      <c r="F627" s="6" t="s">
        <v>1928</v>
      </c>
      <c r="G627" s="6" t="s">
        <v>1936</v>
      </c>
      <c r="H627" s="5"/>
      <c r="I627" s="6" t="s">
        <v>1927</v>
      </c>
    </row>
    <row r="628" customFormat="false" ht="23.85" hidden="false" customHeight="false" outlineLevel="0" collapsed="false">
      <c r="A628" s="5" t="s">
        <v>1934</v>
      </c>
      <c r="B628" s="5" t="s">
        <v>786</v>
      </c>
      <c r="C628" s="5" t="s">
        <v>836</v>
      </c>
      <c r="D628" s="5" t="s">
        <v>688</v>
      </c>
      <c r="E628" s="6" t="s">
        <v>1897</v>
      </c>
      <c r="F628" s="6" t="s">
        <v>1929</v>
      </c>
      <c r="G628" s="6" t="s">
        <v>1930</v>
      </c>
      <c r="H628" s="5"/>
      <c r="I628" s="6" t="s">
        <v>1927</v>
      </c>
    </row>
    <row r="629" customFormat="false" ht="23.85" hidden="false" customHeight="false" outlineLevel="0" collapsed="false">
      <c r="A629" s="5" t="s">
        <v>1934</v>
      </c>
      <c r="B629" s="5" t="s">
        <v>786</v>
      </c>
      <c r="C629" s="5" t="s">
        <v>836</v>
      </c>
      <c r="D629" s="5" t="s">
        <v>688</v>
      </c>
      <c r="E629" s="6" t="s">
        <v>1931</v>
      </c>
      <c r="F629" s="6" t="s">
        <v>1932</v>
      </c>
      <c r="G629" s="6" t="s">
        <v>1901</v>
      </c>
      <c r="H629" s="5"/>
      <c r="I629" s="6" t="s">
        <v>1927</v>
      </c>
    </row>
    <row r="630" customFormat="false" ht="23.85" hidden="false" customHeight="false" outlineLevel="0" collapsed="false">
      <c r="A630" s="5" t="s">
        <v>1934</v>
      </c>
      <c r="B630" s="5" t="s">
        <v>786</v>
      </c>
      <c r="C630" s="5" t="s">
        <v>836</v>
      </c>
      <c r="D630" s="5" t="s">
        <v>688</v>
      </c>
      <c r="E630" s="6" t="s">
        <v>1933</v>
      </c>
      <c r="F630" s="6" t="s">
        <v>1932</v>
      </c>
      <c r="G630" s="6" t="s">
        <v>1901</v>
      </c>
      <c r="H630" s="5"/>
      <c r="I630" s="6" t="s">
        <v>1927</v>
      </c>
    </row>
    <row r="631" customFormat="false" ht="23.85" hidden="false" customHeight="false" outlineLevel="0" collapsed="false">
      <c r="A631" s="5" t="s">
        <v>1934</v>
      </c>
      <c r="B631" s="5" t="s">
        <v>786</v>
      </c>
      <c r="C631" s="5" t="s">
        <v>836</v>
      </c>
      <c r="D631" s="5" t="s">
        <v>688</v>
      </c>
      <c r="E631" s="6" t="s">
        <v>1899</v>
      </c>
      <c r="F631" s="6" t="s">
        <v>1932</v>
      </c>
      <c r="G631" s="6" t="s">
        <v>1901</v>
      </c>
      <c r="H631" s="5"/>
      <c r="I631" s="6" t="s">
        <v>1927</v>
      </c>
    </row>
    <row r="632" customFormat="false" ht="23.85" hidden="false" customHeight="false" outlineLevel="0" collapsed="false">
      <c r="A632" s="5" t="s">
        <v>1934</v>
      </c>
      <c r="B632" s="5" t="s">
        <v>786</v>
      </c>
      <c r="C632" s="5" t="s">
        <v>836</v>
      </c>
      <c r="D632" s="5" t="s">
        <v>688</v>
      </c>
      <c r="E632" s="6" t="s">
        <v>1902</v>
      </c>
      <c r="F632" s="6" t="s">
        <v>1903</v>
      </c>
      <c r="G632" s="6" t="s">
        <v>1901</v>
      </c>
      <c r="H632" s="5"/>
      <c r="I632" s="6" t="s">
        <v>1927</v>
      </c>
    </row>
    <row r="633" customFormat="false" ht="15" hidden="false" customHeight="false" outlineLevel="0" collapsed="false">
      <c r="A633" s="5" t="s">
        <v>1937</v>
      </c>
      <c r="B633" s="5" t="s">
        <v>786</v>
      </c>
      <c r="C633" s="5" t="s">
        <v>839</v>
      </c>
      <c r="D633" s="5" t="s">
        <v>841</v>
      </c>
      <c r="E633" s="6" t="s">
        <v>1891</v>
      </c>
      <c r="F633" s="6" t="s">
        <v>1892</v>
      </c>
      <c r="G633" s="6" t="s">
        <v>1938</v>
      </c>
      <c r="H633" s="5"/>
      <c r="I633" s="6" t="s">
        <v>1894</v>
      </c>
    </row>
    <row r="634" customFormat="false" ht="15" hidden="false" customHeight="false" outlineLevel="0" collapsed="false">
      <c r="A634" s="5" t="s">
        <v>1937</v>
      </c>
      <c r="B634" s="5" t="s">
        <v>786</v>
      </c>
      <c r="C634" s="5" t="s">
        <v>839</v>
      </c>
      <c r="D634" s="5" t="s">
        <v>841</v>
      </c>
      <c r="E634" s="6" t="s">
        <v>1906</v>
      </c>
      <c r="F634" s="6" t="s">
        <v>1896</v>
      </c>
      <c r="G634" s="6" t="s">
        <v>1939</v>
      </c>
      <c r="H634" s="5"/>
      <c r="I634" s="6" t="s">
        <v>1894</v>
      </c>
    </row>
    <row r="635" customFormat="false" ht="15" hidden="false" customHeight="false" outlineLevel="0" collapsed="false">
      <c r="A635" s="5" t="s">
        <v>1937</v>
      </c>
      <c r="B635" s="5" t="s">
        <v>786</v>
      </c>
      <c r="C635" s="5" t="s">
        <v>839</v>
      </c>
      <c r="D635" s="5" t="s">
        <v>841</v>
      </c>
      <c r="E635" s="6" t="s">
        <v>1897</v>
      </c>
      <c r="F635" s="6" t="s">
        <v>1898</v>
      </c>
      <c r="G635" s="6" t="s">
        <v>1940</v>
      </c>
      <c r="H635" s="5"/>
      <c r="I635" s="6" t="s">
        <v>1894</v>
      </c>
    </row>
    <row r="636" customFormat="false" ht="15" hidden="false" customHeight="false" outlineLevel="0" collapsed="false">
      <c r="A636" s="5" t="s">
        <v>1937</v>
      </c>
      <c r="B636" s="5" t="s">
        <v>786</v>
      </c>
      <c r="C636" s="5" t="s">
        <v>839</v>
      </c>
      <c r="D636" s="5" t="s">
        <v>841</v>
      </c>
      <c r="E636" s="6" t="s">
        <v>1899</v>
      </c>
      <c r="F636" s="6" t="s">
        <v>1900</v>
      </c>
      <c r="G636" s="6" t="s">
        <v>1901</v>
      </c>
      <c r="H636" s="5"/>
      <c r="I636" s="6" t="s">
        <v>1894</v>
      </c>
    </row>
    <row r="637" customFormat="false" ht="15" hidden="false" customHeight="false" outlineLevel="0" collapsed="false">
      <c r="A637" s="5" t="s">
        <v>1937</v>
      </c>
      <c r="B637" s="5" t="s">
        <v>786</v>
      </c>
      <c r="C637" s="5" t="s">
        <v>839</v>
      </c>
      <c r="D637" s="5" t="s">
        <v>841</v>
      </c>
      <c r="E637" s="6" t="s">
        <v>1902</v>
      </c>
      <c r="F637" s="6" t="s">
        <v>1903</v>
      </c>
      <c r="G637" s="6" t="s">
        <v>1901</v>
      </c>
      <c r="H637" s="5"/>
      <c r="I637" s="6" t="s">
        <v>1894</v>
      </c>
    </row>
    <row r="638" customFormat="false" ht="15" hidden="false" customHeight="false" outlineLevel="0" collapsed="false">
      <c r="A638" s="5" t="s">
        <v>1941</v>
      </c>
      <c r="B638" s="5" t="s">
        <v>786</v>
      </c>
      <c r="C638" s="5" t="s">
        <v>844</v>
      </c>
      <c r="D638" s="5" t="s">
        <v>845</v>
      </c>
      <c r="E638" s="6" t="s">
        <v>1891</v>
      </c>
      <c r="F638" s="6" t="s">
        <v>1892</v>
      </c>
      <c r="G638" s="6" t="s">
        <v>1942</v>
      </c>
      <c r="H638" s="5"/>
      <c r="I638" s="6" t="s">
        <v>1894</v>
      </c>
    </row>
    <row r="639" customFormat="false" ht="15" hidden="false" customHeight="false" outlineLevel="0" collapsed="false">
      <c r="A639" s="5" t="s">
        <v>1941</v>
      </c>
      <c r="B639" s="5" t="s">
        <v>786</v>
      </c>
      <c r="C639" s="5" t="s">
        <v>844</v>
      </c>
      <c r="D639" s="5" t="s">
        <v>845</v>
      </c>
      <c r="E639" s="6" t="s">
        <v>1895</v>
      </c>
      <c r="F639" s="6" t="s">
        <v>1896</v>
      </c>
      <c r="G639" s="6" t="s">
        <v>1943</v>
      </c>
      <c r="H639" s="5"/>
      <c r="I639" s="6" t="s">
        <v>1894</v>
      </c>
    </row>
    <row r="640" customFormat="false" ht="15" hidden="false" customHeight="false" outlineLevel="0" collapsed="false">
      <c r="A640" s="5" t="s">
        <v>1941</v>
      </c>
      <c r="B640" s="5" t="s">
        <v>786</v>
      </c>
      <c r="C640" s="5" t="s">
        <v>844</v>
      </c>
      <c r="D640" s="5" t="s">
        <v>845</v>
      </c>
      <c r="E640" s="6" t="s">
        <v>1897</v>
      </c>
      <c r="F640" s="6" t="s">
        <v>1898</v>
      </c>
      <c r="G640" s="6" t="s">
        <v>1944</v>
      </c>
      <c r="H640" s="5"/>
      <c r="I640" s="6" t="s">
        <v>1894</v>
      </c>
    </row>
    <row r="641" customFormat="false" ht="15" hidden="false" customHeight="false" outlineLevel="0" collapsed="false">
      <c r="A641" s="5" t="s">
        <v>1941</v>
      </c>
      <c r="B641" s="5" t="s">
        <v>786</v>
      </c>
      <c r="C641" s="5" t="s">
        <v>844</v>
      </c>
      <c r="D641" s="5" t="s">
        <v>845</v>
      </c>
      <c r="E641" s="6" t="s">
        <v>1899</v>
      </c>
      <c r="F641" s="6" t="s">
        <v>1900</v>
      </c>
      <c r="G641" s="6" t="s">
        <v>1901</v>
      </c>
      <c r="H641" s="5"/>
      <c r="I641" s="6" t="s">
        <v>1894</v>
      </c>
    </row>
    <row r="642" customFormat="false" ht="15" hidden="false" customHeight="false" outlineLevel="0" collapsed="false">
      <c r="A642" s="5" t="s">
        <v>1941</v>
      </c>
      <c r="B642" s="5" t="s">
        <v>786</v>
      </c>
      <c r="C642" s="5" t="s">
        <v>844</v>
      </c>
      <c r="D642" s="5" t="s">
        <v>845</v>
      </c>
      <c r="E642" s="6" t="s">
        <v>1902</v>
      </c>
      <c r="F642" s="6" t="s">
        <v>1903</v>
      </c>
      <c r="G642" s="6" t="s">
        <v>1901</v>
      </c>
      <c r="H642" s="5"/>
      <c r="I642" s="6" t="s">
        <v>1894</v>
      </c>
    </row>
    <row r="643" customFormat="false" ht="15" hidden="false" customHeight="false" outlineLevel="0" collapsed="false">
      <c r="A643" s="5" t="s">
        <v>1945</v>
      </c>
      <c r="B643" s="5" t="s">
        <v>786</v>
      </c>
      <c r="C643" s="5" t="s">
        <v>848</v>
      </c>
      <c r="D643" s="5" t="s">
        <v>849</v>
      </c>
      <c r="E643" s="6" t="s">
        <v>1891</v>
      </c>
      <c r="F643" s="6" t="s">
        <v>1892</v>
      </c>
      <c r="G643" s="6" t="s">
        <v>1946</v>
      </c>
      <c r="H643" s="5"/>
      <c r="I643" s="6" t="s">
        <v>1894</v>
      </c>
    </row>
    <row r="644" customFormat="false" ht="15" hidden="false" customHeight="false" outlineLevel="0" collapsed="false">
      <c r="A644" s="5" t="s">
        <v>1945</v>
      </c>
      <c r="B644" s="5" t="s">
        <v>786</v>
      </c>
      <c r="C644" s="5" t="s">
        <v>848</v>
      </c>
      <c r="D644" s="5" t="s">
        <v>849</v>
      </c>
      <c r="E644" s="6" t="s">
        <v>1906</v>
      </c>
      <c r="F644" s="6" t="s">
        <v>1896</v>
      </c>
      <c r="G644" s="6" t="s">
        <v>1947</v>
      </c>
      <c r="H644" s="5"/>
      <c r="I644" s="6" t="s">
        <v>1894</v>
      </c>
    </row>
    <row r="645" customFormat="false" ht="15" hidden="false" customHeight="false" outlineLevel="0" collapsed="false">
      <c r="A645" s="5" t="s">
        <v>1945</v>
      </c>
      <c r="B645" s="5" t="s">
        <v>786</v>
      </c>
      <c r="C645" s="5" t="s">
        <v>848</v>
      </c>
      <c r="D645" s="5" t="s">
        <v>849</v>
      </c>
      <c r="E645" s="6" t="s">
        <v>1897</v>
      </c>
      <c r="F645" s="6" t="s">
        <v>1898</v>
      </c>
      <c r="G645" s="6" t="s">
        <v>1893</v>
      </c>
      <c r="H645" s="5"/>
      <c r="I645" s="6" t="s">
        <v>1894</v>
      </c>
    </row>
    <row r="646" customFormat="false" ht="15" hidden="false" customHeight="false" outlineLevel="0" collapsed="false">
      <c r="A646" s="5" t="s">
        <v>1945</v>
      </c>
      <c r="B646" s="5" t="s">
        <v>786</v>
      </c>
      <c r="C646" s="5" t="s">
        <v>848</v>
      </c>
      <c r="D646" s="5" t="s">
        <v>849</v>
      </c>
      <c r="E646" s="6" t="s">
        <v>1899</v>
      </c>
      <c r="F646" s="6" t="s">
        <v>1900</v>
      </c>
      <c r="G646" s="6" t="s">
        <v>1901</v>
      </c>
      <c r="H646" s="5"/>
      <c r="I646" s="6" t="s">
        <v>1894</v>
      </c>
    </row>
    <row r="647" customFormat="false" ht="15" hidden="false" customHeight="false" outlineLevel="0" collapsed="false">
      <c r="A647" s="5" t="s">
        <v>1945</v>
      </c>
      <c r="B647" s="5" t="s">
        <v>786</v>
      </c>
      <c r="C647" s="5" t="s">
        <v>848</v>
      </c>
      <c r="D647" s="5" t="s">
        <v>849</v>
      </c>
      <c r="E647" s="6" t="s">
        <v>1902</v>
      </c>
      <c r="F647" s="6" t="s">
        <v>1903</v>
      </c>
      <c r="G647" s="6" t="s">
        <v>1901</v>
      </c>
      <c r="H647" s="5"/>
      <c r="I647" s="6" t="s">
        <v>1894</v>
      </c>
    </row>
    <row r="648" customFormat="false" ht="15" hidden="false" customHeight="false" outlineLevel="0" collapsed="false">
      <c r="A648" s="5" t="s">
        <v>1948</v>
      </c>
      <c r="B648" s="5" t="s">
        <v>786</v>
      </c>
      <c r="C648" s="5" t="s">
        <v>852</v>
      </c>
      <c r="D648" s="5" t="s">
        <v>853</v>
      </c>
      <c r="E648" s="6" t="s">
        <v>1891</v>
      </c>
      <c r="F648" s="6" t="s">
        <v>1892</v>
      </c>
      <c r="G648" s="6" t="s">
        <v>1949</v>
      </c>
      <c r="H648" s="5"/>
      <c r="I648" s="6" t="s">
        <v>1894</v>
      </c>
    </row>
    <row r="649" customFormat="false" ht="15" hidden="false" customHeight="false" outlineLevel="0" collapsed="false">
      <c r="A649" s="5" t="s">
        <v>1948</v>
      </c>
      <c r="B649" s="5" t="s">
        <v>786</v>
      </c>
      <c r="C649" s="5" t="s">
        <v>852</v>
      </c>
      <c r="D649" s="5" t="s">
        <v>853</v>
      </c>
      <c r="E649" s="6" t="s">
        <v>1906</v>
      </c>
      <c r="F649" s="6" t="s">
        <v>1896</v>
      </c>
      <c r="G649" s="6" t="s">
        <v>1950</v>
      </c>
      <c r="H649" s="5"/>
      <c r="I649" s="6" t="s">
        <v>1894</v>
      </c>
    </row>
    <row r="650" customFormat="false" ht="15" hidden="false" customHeight="false" outlineLevel="0" collapsed="false">
      <c r="A650" s="5" t="s">
        <v>1948</v>
      </c>
      <c r="B650" s="5" t="s">
        <v>786</v>
      </c>
      <c r="C650" s="5" t="s">
        <v>852</v>
      </c>
      <c r="D650" s="5" t="s">
        <v>853</v>
      </c>
      <c r="E650" s="6" t="s">
        <v>1897</v>
      </c>
      <c r="F650" s="6" t="s">
        <v>1898</v>
      </c>
      <c r="G650" s="6" t="s">
        <v>1893</v>
      </c>
      <c r="H650" s="5"/>
      <c r="I650" s="6" t="s">
        <v>1894</v>
      </c>
    </row>
    <row r="651" customFormat="false" ht="15" hidden="false" customHeight="false" outlineLevel="0" collapsed="false">
      <c r="A651" s="5" t="s">
        <v>1948</v>
      </c>
      <c r="B651" s="5" t="s">
        <v>786</v>
      </c>
      <c r="C651" s="5" t="s">
        <v>852</v>
      </c>
      <c r="D651" s="5" t="s">
        <v>853</v>
      </c>
      <c r="E651" s="6" t="s">
        <v>1899</v>
      </c>
      <c r="F651" s="6" t="s">
        <v>1900</v>
      </c>
      <c r="G651" s="6" t="s">
        <v>1901</v>
      </c>
      <c r="H651" s="5"/>
      <c r="I651" s="6" t="s">
        <v>1894</v>
      </c>
    </row>
    <row r="652" customFormat="false" ht="15" hidden="false" customHeight="false" outlineLevel="0" collapsed="false">
      <c r="A652" s="5" t="s">
        <v>1948</v>
      </c>
      <c r="B652" s="5" t="s">
        <v>786</v>
      </c>
      <c r="C652" s="5" t="s">
        <v>852</v>
      </c>
      <c r="D652" s="5" t="s">
        <v>853</v>
      </c>
      <c r="E652" s="6" t="s">
        <v>1902</v>
      </c>
      <c r="F652" s="6" t="s">
        <v>1903</v>
      </c>
      <c r="G652" s="6" t="s">
        <v>1901</v>
      </c>
      <c r="H652" s="5"/>
      <c r="I652" s="6" t="s">
        <v>1894</v>
      </c>
    </row>
    <row r="653" customFormat="false" ht="15" hidden="false" customHeight="false" outlineLevel="0" collapsed="false">
      <c r="A653" s="5" t="s">
        <v>1951</v>
      </c>
      <c r="B653" s="5" t="s">
        <v>786</v>
      </c>
      <c r="C653" s="5" t="s">
        <v>856</v>
      </c>
      <c r="D653" s="5" t="s">
        <v>728</v>
      </c>
      <c r="E653" s="6" t="s">
        <v>1891</v>
      </c>
      <c r="F653" s="6" t="s">
        <v>1892</v>
      </c>
      <c r="G653" s="6" t="s">
        <v>1952</v>
      </c>
      <c r="H653" s="5"/>
      <c r="I653" s="6" t="s">
        <v>1894</v>
      </c>
    </row>
    <row r="654" customFormat="false" ht="15" hidden="false" customHeight="false" outlineLevel="0" collapsed="false">
      <c r="A654" s="5" t="s">
        <v>1951</v>
      </c>
      <c r="B654" s="5" t="s">
        <v>786</v>
      </c>
      <c r="C654" s="5" t="s">
        <v>856</v>
      </c>
      <c r="D654" s="5" t="s">
        <v>728</v>
      </c>
      <c r="E654" s="6" t="s">
        <v>1906</v>
      </c>
      <c r="F654" s="6" t="s">
        <v>1896</v>
      </c>
      <c r="G654" s="6" t="s">
        <v>1953</v>
      </c>
      <c r="H654" s="5"/>
      <c r="I654" s="6" t="s">
        <v>1894</v>
      </c>
    </row>
    <row r="655" customFormat="false" ht="15" hidden="false" customHeight="false" outlineLevel="0" collapsed="false">
      <c r="A655" s="5" t="s">
        <v>1951</v>
      </c>
      <c r="B655" s="5" t="s">
        <v>786</v>
      </c>
      <c r="C655" s="5" t="s">
        <v>856</v>
      </c>
      <c r="D655" s="5" t="s">
        <v>728</v>
      </c>
      <c r="E655" s="6" t="s">
        <v>1897</v>
      </c>
      <c r="F655" s="6" t="s">
        <v>1898</v>
      </c>
      <c r="G655" s="6" t="s">
        <v>1954</v>
      </c>
      <c r="H655" s="5"/>
      <c r="I655" s="6" t="s">
        <v>1894</v>
      </c>
    </row>
    <row r="656" customFormat="false" ht="15" hidden="false" customHeight="false" outlineLevel="0" collapsed="false">
      <c r="A656" s="5" t="s">
        <v>1951</v>
      </c>
      <c r="B656" s="5" t="s">
        <v>786</v>
      </c>
      <c r="C656" s="5" t="s">
        <v>856</v>
      </c>
      <c r="D656" s="5" t="s">
        <v>728</v>
      </c>
      <c r="E656" s="6" t="s">
        <v>1899</v>
      </c>
      <c r="F656" s="6" t="s">
        <v>1900</v>
      </c>
      <c r="G656" s="6" t="s">
        <v>1901</v>
      </c>
      <c r="H656" s="5"/>
      <c r="I656" s="6" t="s">
        <v>1894</v>
      </c>
    </row>
    <row r="657" customFormat="false" ht="15" hidden="false" customHeight="false" outlineLevel="0" collapsed="false">
      <c r="A657" s="5" t="s">
        <v>1951</v>
      </c>
      <c r="B657" s="5" t="s">
        <v>786</v>
      </c>
      <c r="C657" s="5" t="s">
        <v>856</v>
      </c>
      <c r="D657" s="5" t="s">
        <v>728</v>
      </c>
      <c r="E657" s="6" t="s">
        <v>1902</v>
      </c>
      <c r="F657" s="6" t="s">
        <v>1903</v>
      </c>
      <c r="G657" s="6" t="s">
        <v>1901</v>
      </c>
      <c r="H657" s="5"/>
      <c r="I657" s="6" t="s">
        <v>1894</v>
      </c>
    </row>
    <row r="658" customFormat="false" ht="15" hidden="false" customHeight="false" outlineLevel="0" collapsed="false">
      <c r="A658" s="5" t="s">
        <v>1955</v>
      </c>
      <c r="B658" s="5" t="s">
        <v>786</v>
      </c>
      <c r="C658" s="5" t="s">
        <v>861</v>
      </c>
      <c r="D658" s="5" t="s">
        <v>733</v>
      </c>
      <c r="E658" s="6" t="s">
        <v>1891</v>
      </c>
      <c r="F658" s="6" t="s">
        <v>1892</v>
      </c>
      <c r="G658" s="6" t="s">
        <v>1956</v>
      </c>
      <c r="H658" s="5"/>
      <c r="I658" s="6" t="s">
        <v>1894</v>
      </c>
    </row>
    <row r="659" customFormat="false" ht="15" hidden="false" customHeight="false" outlineLevel="0" collapsed="false">
      <c r="A659" s="5" t="s">
        <v>1955</v>
      </c>
      <c r="B659" s="5" t="s">
        <v>786</v>
      </c>
      <c r="C659" s="5" t="s">
        <v>861</v>
      </c>
      <c r="D659" s="5" t="s">
        <v>733</v>
      </c>
      <c r="E659" s="6" t="s">
        <v>1895</v>
      </c>
      <c r="F659" s="6" t="s">
        <v>1896</v>
      </c>
      <c r="G659" s="6" t="s">
        <v>1957</v>
      </c>
      <c r="H659" s="5"/>
      <c r="I659" s="6" t="s">
        <v>1894</v>
      </c>
    </row>
    <row r="660" customFormat="false" ht="15" hidden="false" customHeight="false" outlineLevel="0" collapsed="false">
      <c r="A660" s="5" t="s">
        <v>1955</v>
      </c>
      <c r="B660" s="5" t="s">
        <v>786</v>
      </c>
      <c r="C660" s="5" t="s">
        <v>861</v>
      </c>
      <c r="D660" s="5" t="s">
        <v>733</v>
      </c>
      <c r="E660" s="6" t="s">
        <v>1897</v>
      </c>
      <c r="F660" s="6" t="s">
        <v>1898</v>
      </c>
      <c r="G660" s="6" t="s">
        <v>1954</v>
      </c>
      <c r="H660" s="5"/>
      <c r="I660" s="6" t="s">
        <v>1894</v>
      </c>
    </row>
    <row r="661" customFormat="false" ht="15" hidden="false" customHeight="false" outlineLevel="0" collapsed="false">
      <c r="A661" s="5" t="s">
        <v>1955</v>
      </c>
      <c r="B661" s="5" t="s">
        <v>786</v>
      </c>
      <c r="C661" s="5" t="s">
        <v>861</v>
      </c>
      <c r="D661" s="5" t="s">
        <v>733</v>
      </c>
      <c r="E661" s="6" t="s">
        <v>1899</v>
      </c>
      <c r="F661" s="6" t="s">
        <v>1900</v>
      </c>
      <c r="G661" s="6" t="s">
        <v>1901</v>
      </c>
      <c r="H661" s="5"/>
      <c r="I661" s="6" t="s">
        <v>1894</v>
      </c>
    </row>
    <row r="662" customFormat="false" ht="15" hidden="false" customHeight="false" outlineLevel="0" collapsed="false">
      <c r="A662" s="5" t="s">
        <v>1955</v>
      </c>
      <c r="B662" s="5" t="s">
        <v>786</v>
      </c>
      <c r="C662" s="5" t="s">
        <v>861</v>
      </c>
      <c r="D662" s="5" t="s">
        <v>733</v>
      </c>
      <c r="E662" s="6" t="s">
        <v>1902</v>
      </c>
      <c r="F662" s="6" t="s">
        <v>1903</v>
      </c>
      <c r="G662" s="6" t="s">
        <v>1901</v>
      </c>
      <c r="H662" s="5"/>
      <c r="I662" s="6" t="s">
        <v>1894</v>
      </c>
    </row>
    <row r="663" customFormat="false" ht="15" hidden="false" customHeight="false" outlineLevel="0" collapsed="false">
      <c r="A663" s="5" t="s">
        <v>1958</v>
      </c>
      <c r="B663" s="5" t="s">
        <v>786</v>
      </c>
      <c r="C663" s="5" t="s">
        <v>864</v>
      </c>
      <c r="D663" s="5" t="s">
        <v>723</v>
      </c>
      <c r="E663" s="6" t="s">
        <v>1891</v>
      </c>
      <c r="F663" s="6" t="s">
        <v>1892</v>
      </c>
      <c r="G663" s="6" t="s">
        <v>1959</v>
      </c>
      <c r="H663" s="5"/>
      <c r="I663" s="6" t="s">
        <v>1894</v>
      </c>
    </row>
    <row r="664" customFormat="false" ht="15" hidden="false" customHeight="false" outlineLevel="0" collapsed="false">
      <c r="A664" s="5" t="s">
        <v>1958</v>
      </c>
      <c r="B664" s="5" t="s">
        <v>786</v>
      </c>
      <c r="C664" s="5" t="s">
        <v>864</v>
      </c>
      <c r="D664" s="5" t="s">
        <v>723</v>
      </c>
      <c r="E664" s="6" t="s">
        <v>1895</v>
      </c>
      <c r="F664" s="6" t="s">
        <v>1896</v>
      </c>
      <c r="G664" s="6" t="s">
        <v>1893</v>
      </c>
      <c r="H664" s="5"/>
      <c r="I664" s="6" t="s">
        <v>1894</v>
      </c>
    </row>
    <row r="665" customFormat="false" ht="15" hidden="false" customHeight="false" outlineLevel="0" collapsed="false">
      <c r="A665" s="5" t="s">
        <v>1958</v>
      </c>
      <c r="B665" s="5" t="s">
        <v>786</v>
      </c>
      <c r="C665" s="5" t="s">
        <v>864</v>
      </c>
      <c r="D665" s="5" t="s">
        <v>723</v>
      </c>
      <c r="E665" s="6" t="s">
        <v>1897</v>
      </c>
      <c r="F665" s="6" t="s">
        <v>1898</v>
      </c>
      <c r="G665" s="6" t="s">
        <v>1893</v>
      </c>
      <c r="H665" s="5"/>
      <c r="I665" s="6" t="s">
        <v>1894</v>
      </c>
    </row>
    <row r="666" customFormat="false" ht="15" hidden="false" customHeight="false" outlineLevel="0" collapsed="false">
      <c r="A666" s="5" t="s">
        <v>1958</v>
      </c>
      <c r="B666" s="5" t="s">
        <v>786</v>
      </c>
      <c r="C666" s="5" t="s">
        <v>864</v>
      </c>
      <c r="D666" s="5" t="s">
        <v>723</v>
      </c>
      <c r="E666" s="6" t="s">
        <v>1899</v>
      </c>
      <c r="F666" s="6" t="s">
        <v>1900</v>
      </c>
      <c r="G666" s="6" t="s">
        <v>1901</v>
      </c>
      <c r="H666" s="5"/>
      <c r="I666" s="6" t="s">
        <v>1894</v>
      </c>
    </row>
    <row r="667" customFormat="false" ht="15" hidden="false" customHeight="false" outlineLevel="0" collapsed="false">
      <c r="A667" s="5" t="s">
        <v>1958</v>
      </c>
      <c r="B667" s="5" t="s">
        <v>786</v>
      </c>
      <c r="C667" s="5" t="s">
        <v>864</v>
      </c>
      <c r="D667" s="5" t="s">
        <v>723</v>
      </c>
      <c r="E667" s="6" t="s">
        <v>1902</v>
      </c>
      <c r="F667" s="6" t="s">
        <v>1903</v>
      </c>
      <c r="G667" s="6" t="s">
        <v>1901</v>
      </c>
      <c r="H667" s="5"/>
      <c r="I667" s="6" t="s">
        <v>1894</v>
      </c>
    </row>
    <row r="668" customFormat="false" ht="15" hidden="false" customHeight="false" outlineLevel="0" collapsed="false">
      <c r="A668" s="5" t="s">
        <v>1960</v>
      </c>
      <c r="B668" s="5" t="s">
        <v>786</v>
      </c>
      <c r="C668" s="5" t="s">
        <v>867</v>
      </c>
      <c r="D668" s="5" t="s">
        <v>776</v>
      </c>
      <c r="E668" s="6" t="s">
        <v>1891</v>
      </c>
      <c r="F668" s="6" t="s">
        <v>1892</v>
      </c>
      <c r="G668" s="6" t="s">
        <v>1961</v>
      </c>
      <c r="H668" s="5"/>
      <c r="I668" s="6" t="s">
        <v>1894</v>
      </c>
    </row>
    <row r="669" customFormat="false" ht="15" hidden="false" customHeight="false" outlineLevel="0" collapsed="false">
      <c r="A669" s="5" t="s">
        <v>1960</v>
      </c>
      <c r="B669" s="5" t="s">
        <v>786</v>
      </c>
      <c r="C669" s="5" t="s">
        <v>867</v>
      </c>
      <c r="D669" s="5" t="s">
        <v>776</v>
      </c>
      <c r="E669" s="6" t="s">
        <v>1895</v>
      </c>
      <c r="F669" s="6" t="s">
        <v>1896</v>
      </c>
      <c r="G669" s="6" t="s">
        <v>1961</v>
      </c>
      <c r="H669" s="5"/>
      <c r="I669" s="6" t="s">
        <v>1894</v>
      </c>
    </row>
    <row r="670" customFormat="false" ht="15" hidden="false" customHeight="false" outlineLevel="0" collapsed="false">
      <c r="A670" s="5" t="s">
        <v>1960</v>
      </c>
      <c r="B670" s="5" t="s">
        <v>786</v>
      </c>
      <c r="C670" s="5" t="s">
        <v>867</v>
      </c>
      <c r="D670" s="5" t="s">
        <v>776</v>
      </c>
      <c r="E670" s="6" t="s">
        <v>1897</v>
      </c>
      <c r="F670" s="6" t="s">
        <v>1898</v>
      </c>
      <c r="G670" s="6" t="s">
        <v>1954</v>
      </c>
      <c r="H670" s="5"/>
      <c r="I670" s="6" t="s">
        <v>1894</v>
      </c>
    </row>
    <row r="671" customFormat="false" ht="15" hidden="false" customHeight="false" outlineLevel="0" collapsed="false">
      <c r="A671" s="5" t="s">
        <v>1960</v>
      </c>
      <c r="B671" s="5" t="s">
        <v>786</v>
      </c>
      <c r="C671" s="5" t="s">
        <v>867</v>
      </c>
      <c r="D671" s="5" t="s">
        <v>776</v>
      </c>
      <c r="E671" s="6" t="s">
        <v>1899</v>
      </c>
      <c r="F671" s="6" t="s">
        <v>1900</v>
      </c>
      <c r="G671" s="6" t="s">
        <v>1901</v>
      </c>
      <c r="H671" s="5"/>
      <c r="I671" s="6" t="s">
        <v>1894</v>
      </c>
    </row>
    <row r="672" customFormat="false" ht="15" hidden="false" customHeight="false" outlineLevel="0" collapsed="false">
      <c r="A672" s="5" t="s">
        <v>1960</v>
      </c>
      <c r="B672" s="5" t="s">
        <v>786</v>
      </c>
      <c r="C672" s="5" t="s">
        <v>867</v>
      </c>
      <c r="D672" s="5" t="s">
        <v>776</v>
      </c>
      <c r="E672" s="6" t="s">
        <v>1902</v>
      </c>
      <c r="F672" s="6" t="s">
        <v>1903</v>
      </c>
      <c r="G672" s="6" t="s">
        <v>1901</v>
      </c>
      <c r="H672" s="5"/>
      <c r="I672" s="6" t="s">
        <v>1894</v>
      </c>
    </row>
    <row r="673" customFormat="false" ht="15" hidden="false" customHeight="false" outlineLevel="0" collapsed="false">
      <c r="A673" s="5" t="s">
        <v>1962</v>
      </c>
      <c r="B673" s="5" t="s">
        <v>786</v>
      </c>
      <c r="C673" s="5" t="s">
        <v>870</v>
      </c>
      <c r="D673" s="5" t="s">
        <v>511</v>
      </c>
      <c r="E673" s="6" t="s">
        <v>1891</v>
      </c>
      <c r="F673" s="6" t="s">
        <v>1892</v>
      </c>
      <c r="G673" s="6" t="s">
        <v>1963</v>
      </c>
      <c r="H673" s="5"/>
      <c r="I673" s="6" t="s">
        <v>1894</v>
      </c>
    </row>
    <row r="674" customFormat="false" ht="15" hidden="false" customHeight="false" outlineLevel="0" collapsed="false">
      <c r="A674" s="5" t="s">
        <v>1962</v>
      </c>
      <c r="B674" s="5" t="s">
        <v>786</v>
      </c>
      <c r="C674" s="5" t="s">
        <v>870</v>
      </c>
      <c r="D674" s="5" t="s">
        <v>511</v>
      </c>
      <c r="E674" s="6" t="s">
        <v>1895</v>
      </c>
      <c r="F674" s="6" t="s">
        <v>1896</v>
      </c>
      <c r="G674" s="6" t="s">
        <v>1935</v>
      </c>
      <c r="H674" s="5"/>
      <c r="I674" s="6" t="s">
        <v>1894</v>
      </c>
    </row>
    <row r="675" customFormat="false" ht="15" hidden="false" customHeight="false" outlineLevel="0" collapsed="false">
      <c r="A675" s="5" t="s">
        <v>1962</v>
      </c>
      <c r="B675" s="5" t="s">
        <v>786</v>
      </c>
      <c r="C675" s="5" t="s">
        <v>870</v>
      </c>
      <c r="D675" s="5" t="s">
        <v>511</v>
      </c>
      <c r="E675" s="6" t="s">
        <v>1897</v>
      </c>
      <c r="F675" s="6" t="s">
        <v>1898</v>
      </c>
      <c r="G675" s="6" t="s">
        <v>1893</v>
      </c>
      <c r="H675" s="5"/>
      <c r="I675" s="6" t="s">
        <v>1894</v>
      </c>
    </row>
    <row r="676" customFormat="false" ht="15" hidden="false" customHeight="false" outlineLevel="0" collapsed="false">
      <c r="A676" s="5" t="s">
        <v>1962</v>
      </c>
      <c r="B676" s="5" t="s">
        <v>786</v>
      </c>
      <c r="C676" s="5" t="s">
        <v>870</v>
      </c>
      <c r="D676" s="5" t="s">
        <v>511</v>
      </c>
      <c r="E676" s="6" t="s">
        <v>1899</v>
      </c>
      <c r="F676" s="6" t="s">
        <v>1900</v>
      </c>
      <c r="G676" s="6" t="s">
        <v>1901</v>
      </c>
      <c r="H676" s="5"/>
      <c r="I676" s="6" t="s">
        <v>1894</v>
      </c>
    </row>
    <row r="677" customFormat="false" ht="15" hidden="false" customHeight="false" outlineLevel="0" collapsed="false">
      <c r="A677" s="5" t="s">
        <v>1962</v>
      </c>
      <c r="B677" s="5" t="s">
        <v>786</v>
      </c>
      <c r="C677" s="5" t="s">
        <v>870</v>
      </c>
      <c r="D677" s="5" t="s">
        <v>511</v>
      </c>
      <c r="E677" s="6" t="s">
        <v>1902</v>
      </c>
      <c r="F677" s="6" t="s">
        <v>1903</v>
      </c>
      <c r="G677" s="6" t="s">
        <v>1901</v>
      </c>
      <c r="H677" s="5"/>
      <c r="I677" s="6" t="s">
        <v>1894</v>
      </c>
    </row>
    <row r="678" customFormat="false" ht="15" hidden="false" customHeight="false" outlineLevel="0" collapsed="false">
      <c r="A678" s="5" t="s">
        <v>1964</v>
      </c>
      <c r="B678" s="5" t="s">
        <v>786</v>
      </c>
      <c r="C678" s="5" t="s">
        <v>876</v>
      </c>
      <c r="D678" s="5" t="s">
        <v>501</v>
      </c>
      <c r="E678" s="6" t="s">
        <v>1891</v>
      </c>
      <c r="F678" s="6" t="s">
        <v>1892</v>
      </c>
      <c r="G678" s="6" t="s">
        <v>1965</v>
      </c>
      <c r="H678" s="5"/>
      <c r="I678" s="6" t="s">
        <v>1894</v>
      </c>
    </row>
    <row r="679" customFormat="false" ht="15" hidden="false" customHeight="false" outlineLevel="0" collapsed="false">
      <c r="A679" s="5" t="s">
        <v>1964</v>
      </c>
      <c r="B679" s="5" t="s">
        <v>786</v>
      </c>
      <c r="C679" s="5" t="s">
        <v>876</v>
      </c>
      <c r="D679" s="5" t="s">
        <v>501</v>
      </c>
      <c r="E679" s="6" t="s">
        <v>1895</v>
      </c>
      <c r="F679" s="6" t="s">
        <v>1896</v>
      </c>
      <c r="G679" s="6" t="s">
        <v>1966</v>
      </c>
      <c r="H679" s="5"/>
      <c r="I679" s="6" t="s">
        <v>1894</v>
      </c>
    </row>
    <row r="680" customFormat="false" ht="15" hidden="false" customHeight="false" outlineLevel="0" collapsed="false">
      <c r="A680" s="5" t="s">
        <v>1964</v>
      </c>
      <c r="B680" s="5" t="s">
        <v>786</v>
      </c>
      <c r="C680" s="5" t="s">
        <v>876</v>
      </c>
      <c r="D680" s="5" t="s">
        <v>501</v>
      </c>
      <c r="E680" s="6" t="s">
        <v>1897</v>
      </c>
      <c r="F680" s="6" t="s">
        <v>1898</v>
      </c>
      <c r="G680" s="6" t="s">
        <v>1908</v>
      </c>
      <c r="H680" s="5"/>
      <c r="I680" s="6" t="s">
        <v>1894</v>
      </c>
    </row>
    <row r="681" customFormat="false" ht="15" hidden="false" customHeight="false" outlineLevel="0" collapsed="false">
      <c r="A681" s="5" t="s">
        <v>1964</v>
      </c>
      <c r="B681" s="5" t="s">
        <v>786</v>
      </c>
      <c r="C681" s="5" t="s">
        <v>876</v>
      </c>
      <c r="D681" s="5" t="s">
        <v>501</v>
      </c>
      <c r="E681" s="6" t="s">
        <v>1899</v>
      </c>
      <c r="F681" s="6" t="s">
        <v>1900</v>
      </c>
      <c r="G681" s="6" t="s">
        <v>1901</v>
      </c>
      <c r="H681" s="5"/>
      <c r="I681" s="6" t="s">
        <v>1894</v>
      </c>
    </row>
    <row r="682" customFormat="false" ht="15" hidden="false" customHeight="false" outlineLevel="0" collapsed="false">
      <c r="A682" s="5" t="s">
        <v>1964</v>
      </c>
      <c r="B682" s="5" t="s">
        <v>786</v>
      </c>
      <c r="C682" s="5" t="s">
        <v>876</v>
      </c>
      <c r="D682" s="5" t="s">
        <v>501</v>
      </c>
      <c r="E682" s="6" t="s">
        <v>1902</v>
      </c>
      <c r="F682" s="6" t="s">
        <v>1903</v>
      </c>
      <c r="G682" s="6" t="s">
        <v>1901</v>
      </c>
      <c r="H682" s="5"/>
      <c r="I682" s="6" t="s">
        <v>1894</v>
      </c>
    </row>
    <row r="683" customFormat="false" ht="15" hidden="false" customHeight="false" outlineLevel="0" collapsed="false">
      <c r="A683" s="5" t="s">
        <v>1967</v>
      </c>
      <c r="B683" s="5" t="s">
        <v>786</v>
      </c>
      <c r="C683" s="5" t="s">
        <v>880</v>
      </c>
      <c r="D683" s="5" t="s">
        <v>501</v>
      </c>
      <c r="E683" s="6" t="s">
        <v>1891</v>
      </c>
      <c r="F683" s="6" t="s">
        <v>1892</v>
      </c>
      <c r="G683" s="6" t="s">
        <v>1968</v>
      </c>
      <c r="H683" s="5"/>
      <c r="I683" s="6" t="s">
        <v>1894</v>
      </c>
    </row>
    <row r="684" customFormat="false" ht="15" hidden="false" customHeight="false" outlineLevel="0" collapsed="false">
      <c r="A684" s="5" t="s">
        <v>1967</v>
      </c>
      <c r="B684" s="5" t="s">
        <v>786</v>
      </c>
      <c r="C684" s="5" t="s">
        <v>880</v>
      </c>
      <c r="D684" s="5" t="s">
        <v>501</v>
      </c>
      <c r="E684" s="6" t="s">
        <v>1895</v>
      </c>
      <c r="F684" s="6" t="s">
        <v>1896</v>
      </c>
      <c r="G684" s="6" t="s">
        <v>1969</v>
      </c>
      <c r="H684" s="5"/>
      <c r="I684" s="6" t="s">
        <v>1894</v>
      </c>
    </row>
    <row r="685" customFormat="false" ht="15" hidden="false" customHeight="false" outlineLevel="0" collapsed="false">
      <c r="A685" s="5" t="s">
        <v>1967</v>
      </c>
      <c r="B685" s="5" t="s">
        <v>786</v>
      </c>
      <c r="C685" s="5" t="s">
        <v>880</v>
      </c>
      <c r="D685" s="5" t="s">
        <v>501</v>
      </c>
      <c r="E685" s="6" t="s">
        <v>1897</v>
      </c>
      <c r="F685" s="6" t="s">
        <v>1898</v>
      </c>
      <c r="G685" s="6" t="s">
        <v>1918</v>
      </c>
      <c r="H685" s="5"/>
      <c r="I685" s="6" t="s">
        <v>1894</v>
      </c>
    </row>
    <row r="686" customFormat="false" ht="15" hidden="false" customHeight="false" outlineLevel="0" collapsed="false">
      <c r="A686" s="5" t="s">
        <v>1967</v>
      </c>
      <c r="B686" s="5" t="s">
        <v>786</v>
      </c>
      <c r="C686" s="5" t="s">
        <v>880</v>
      </c>
      <c r="D686" s="5" t="s">
        <v>501</v>
      </c>
      <c r="E686" s="6" t="s">
        <v>1899</v>
      </c>
      <c r="F686" s="6" t="s">
        <v>1900</v>
      </c>
      <c r="G686" s="6" t="s">
        <v>1901</v>
      </c>
      <c r="H686" s="5"/>
      <c r="I686" s="6" t="s">
        <v>1894</v>
      </c>
    </row>
    <row r="687" customFormat="false" ht="15" hidden="false" customHeight="false" outlineLevel="0" collapsed="false">
      <c r="A687" s="5" t="s">
        <v>1967</v>
      </c>
      <c r="B687" s="5" t="s">
        <v>786</v>
      </c>
      <c r="C687" s="5" t="s">
        <v>880</v>
      </c>
      <c r="D687" s="5" t="s">
        <v>501</v>
      </c>
      <c r="E687" s="6" t="s">
        <v>1902</v>
      </c>
      <c r="F687" s="6" t="s">
        <v>1903</v>
      </c>
      <c r="G687" s="6" t="s">
        <v>1901</v>
      </c>
      <c r="H687" s="5"/>
      <c r="I687" s="6" t="s">
        <v>1894</v>
      </c>
    </row>
    <row r="688" customFormat="false" ht="15" hidden="false" customHeight="false" outlineLevel="0" collapsed="false">
      <c r="A688" s="5" t="s">
        <v>1970</v>
      </c>
      <c r="B688" s="5" t="s">
        <v>786</v>
      </c>
      <c r="C688" s="5" t="s">
        <v>884</v>
      </c>
      <c r="D688" s="5" t="s">
        <v>740</v>
      </c>
      <c r="E688" s="6" t="s">
        <v>1891</v>
      </c>
      <c r="F688" s="6" t="s">
        <v>1892</v>
      </c>
      <c r="G688" s="6" t="s">
        <v>1961</v>
      </c>
      <c r="H688" s="5"/>
      <c r="I688" s="6" t="s">
        <v>1894</v>
      </c>
    </row>
    <row r="689" customFormat="false" ht="15" hidden="false" customHeight="false" outlineLevel="0" collapsed="false">
      <c r="A689" s="5" t="s">
        <v>1970</v>
      </c>
      <c r="B689" s="5" t="s">
        <v>786</v>
      </c>
      <c r="C689" s="5" t="s">
        <v>884</v>
      </c>
      <c r="D689" s="5" t="s">
        <v>740</v>
      </c>
      <c r="E689" s="6" t="s">
        <v>1895</v>
      </c>
      <c r="F689" s="6" t="s">
        <v>1896</v>
      </c>
      <c r="G689" s="6" t="s">
        <v>1971</v>
      </c>
      <c r="H689" s="5"/>
      <c r="I689" s="6" t="s">
        <v>1894</v>
      </c>
    </row>
    <row r="690" customFormat="false" ht="15" hidden="false" customHeight="false" outlineLevel="0" collapsed="false">
      <c r="A690" s="5" t="s">
        <v>1970</v>
      </c>
      <c r="B690" s="5" t="s">
        <v>786</v>
      </c>
      <c r="C690" s="5" t="s">
        <v>884</v>
      </c>
      <c r="D690" s="5" t="s">
        <v>740</v>
      </c>
      <c r="E690" s="6" t="s">
        <v>1897</v>
      </c>
      <c r="F690" s="6" t="s">
        <v>1898</v>
      </c>
      <c r="G690" s="6" t="s">
        <v>1893</v>
      </c>
      <c r="H690" s="5"/>
      <c r="I690" s="6" t="s">
        <v>1894</v>
      </c>
    </row>
    <row r="691" customFormat="false" ht="15" hidden="false" customHeight="false" outlineLevel="0" collapsed="false">
      <c r="A691" s="5" t="s">
        <v>1970</v>
      </c>
      <c r="B691" s="5" t="s">
        <v>786</v>
      </c>
      <c r="C691" s="5" t="s">
        <v>884</v>
      </c>
      <c r="D691" s="5" t="s">
        <v>740</v>
      </c>
      <c r="E691" s="6" t="s">
        <v>1899</v>
      </c>
      <c r="F691" s="6" t="s">
        <v>1900</v>
      </c>
      <c r="G691" s="6" t="s">
        <v>1901</v>
      </c>
      <c r="H691" s="5"/>
      <c r="I691" s="6" t="s">
        <v>1894</v>
      </c>
    </row>
    <row r="692" customFormat="false" ht="15" hidden="false" customHeight="false" outlineLevel="0" collapsed="false">
      <c r="A692" s="5" t="s">
        <v>1970</v>
      </c>
      <c r="B692" s="5" t="s">
        <v>786</v>
      </c>
      <c r="C692" s="5" t="s">
        <v>884</v>
      </c>
      <c r="D692" s="5" t="s">
        <v>740</v>
      </c>
      <c r="E692" s="6" t="s">
        <v>1902</v>
      </c>
      <c r="F692" s="6" t="s">
        <v>1903</v>
      </c>
      <c r="G692" s="6" t="s">
        <v>1901</v>
      </c>
      <c r="H692" s="5"/>
      <c r="I692" s="6" t="s">
        <v>1894</v>
      </c>
    </row>
    <row r="693" customFormat="false" ht="15" hidden="false" customHeight="false" outlineLevel="0" collapsed="false">
      <c r="A693" s="5" t="s">
        <v>1972</v>
      </c>
      <c r="B693" s="5" t="s">
        <v>786</v>
      </c>
      <c r="C693" s="5" t="s">
        <v>887</v>
      </c>
      <c r="D693" s="5" t="s">
        <v>889</v>
      </c>
      <c r="E693" s="6" t="s">
        <v>1891</v>
      </c>
      <c r="F693" s="6" t="s">
        <v>1892</v>
      </c>
      <c r="G693" s="6" t="s">
        <v>1907</v>
      </c>
      <c r="H693" s="5"/>
      <c r="I693" s="6" t="s">
        <v>1894</v>
      </c>
    </row>
    <row r="694" customFormat="false" ht="15" hidden="false" customHeight="false" outlineLevel="0" collapsed="false">
      <c r="A694" s="5" t="s">
        <v>1972</v>
      </c>
      <c r="B694" s="5" t="s">
        <v>786</v>
      </c>
      <c r="C694" s="5" t="s">
        <v>887</v>
      </c>
      <c r="D694" s="5" t="s">
        <v>889</v>
      </c>
      <c r="E694" s="6" t="s">
        <v>1895</v>
      </c>
      <c r="F694" s="6" t="s">
        <v>1896</v>
      </c>
      <c r="G694" s="6" t="s">
        <v>1946</v>
      </c>
      <c r="H694" s="5"/>
      <c r="I694" s="6" t="s">
        <v>1894</v>
      </c>
    </row>
    <row r="695" customFormat="false" ht="15" hidden="false" customHeight="false" outlineLevel="0" collapsed="false">
      <c r="A695" s="5" t="s">
        <v>1972</v>
      </c>
      <c r="B695" s="5" t="s">
        <v>786</v>
      </c>
      <c r="C695" s="5" t="s">
        <v>887</v>
      </c>
      <c r="D695" s="5" t="s">
        <v>889</v>
      </c>
      <c r="E695" s="6" t="s">
        <v>1897</v>
      </c>
      <c r="F695" s="6" t="s">
        <v>1898</v>
      </c>
      <c r="G695" s="6" t="s">
        <v>1893</v>
      </c>
      <c r="H695" s="5"/>
      <c r="I695" s="6" t="s">
        <v>1894</v>
      </c>
    </row>
    <row r="696" customFormat="false" ht="15" hidden="false" customHeight="false" outlineLevel="0" collapsed="false">
      <c r="A696" s="5" t="s">
        <v>1972</v>
      </c>
      <c r="B696" s="5" t="s">
        <v>786</v>
      </c>
      <c r="C696" s="5" t="s">
        <v>887</v>
      </c>
      <c r="D696" s="5" t="s">
        <v>889</v>
      </c>
      <c r="E696" s="6" t="s">
        <v>1899</v>
      </c>
      <c r="F696" s="6" t="s">
        <v>1900</v>
      </c>
      <c r="G696" s="6" t="s">
        <v>1901</v>
      </c>
      <c r="H696" s="5"/>
      <c r="I696" s="6" t="s">
        <v>1894</v>
      </c>
    </row>
    <row r="697" customFormat="false" ht="15" hidden="false" customHeight="false" outlineLevel="0" collapsed="false">
      <c r="A697" s="5" t="s">
        <v>1972</v>
      </c>
      <c r="B697" s="5" t="s">
        <v>786</v>
      </c>
      <c r="C697" s="5" t="s">
        <v>887</v>
      </c>
      <c r="D697" s="5" t="s">
        <v>889</v>
      </c>
      <c r="E697" s="6" t="s">
        <v>1902</v>
      </c>
      <c r="F697" s="6" t="s">
        <v>1903</v>
      </c>
      <c r="G697" s="6" t="s">
        <v>1901</v>
      </c>
      <c r="H697" s="5"/>
      <c r="I697" s="6" t="s">
        <v>1894</v>
      </c>
    </row>
    <row r="698" customFormat="false" ht="15" hidden="false" customHeight="false" outlineLevel="0" collapsed="false">
      <c r="A698" s="5" t="s">
        <v>1973</v>
      </c>
      <c r="B698" s="5" t="s">
        <v>786</v>
      </c>
      <c r="C698" s="5" t="s">
        <v>891</v>
      </c>
      <c r="D698" s="5" t="s">
        <v>889</v>
      </c>
      <c r="E698" s="6" t="s">
        <v>1891</v>
      </c>
      <c r="F698" s="6" t="s">
        <v>1892</v>
      </c>
      <c r="G698" s="6" t="s">
        <v>1974</v>
      </c>
      <c r="H698" s="5"/>
      <c r="I698" s="6" t="s">
        <v>1894</v>
      </c>
    </row>
    <row r="699" customFormat="false" ht="15" hidden="false" customHeight="false" outlineLevel="0" collapsed="false">
      <c r="A699" s="5" t="s">
        <v>1973</v>
      </c>
      <c r="B699" s="5" t="s">
        <v>786</v>
      </c>
      <c r="C699" s="5" t="s">
        <v>891</v>
      </c>
      <c r="D699" s="5" t="s">
        <v>889</v>
      </c>
      <c r="E699" s="6" t="s">
        <v>1895</v>
      </c>
      <c r="F699" s="6" t="s">
        <v>1896</v>
      </c>
      <c r="G699" s="6" t="s">
        <v>1975</v>
      </c>
      <c r="H699" s="5"/>
      <c r="I699" s="6" t="s">
        <v>1894</v>
      </c>
    </row>
    <row r="700" customFormat="false" ht="15" hidden="false" customHeight="false" outlineLevel="0" collapsed="false">
      <c r="A700" s="5" t="s">
        <v>1973</v>
      </c>
      <c r="B700" s="5" t="s">
        <v>786</v>
      </c>
      <c r="C700" s="5" t="s">
        <v>891</v>
      </c>
      <c r="D700" s="5" t="s">
        <v>889</v>
      </c>
      <c r="E700" s="6" t="s">
        <v>1897</v>
      </c>
      <c r="F700" s="6" t="s">
        <v>1898</v>
      </c>
      <c r="G700" s="6" t="s">
        <v>1893</v>
      </c>
      <c r="H700" s="5"/>
      <c r="I700" s="6" t="s">
        <v>1894</v>
      </c>
    </row>
    <row r="701" customFormat="false" ht="15" hidden="false" customHeight="false" outlineLevel="0" collapsed="false">
      <c r="A701" s="5" t="s">
        <v>1973</v>
      </c>
      <c r="B701" s="5" t="s">
        <v>786</v>
      </c>
      <c r="C701" s="5" t="s">
        <v>891</v>
      </c>
      <c r="D701" s="5" t="s">
        <v>889</v>
      </c>
      <c r="E701" s="6" t="s">
        <v>1899</v>
      </c>
      <c r="F701" s="6" t="s">
        <v>1900</v>
      </c>
      <c r="G701" s="6" t="s">
        <v>1901</v>
      </c>
      <c r="H701" s="5"/>
      <c r="I701" s="6" t="s">
        <v>1894</v>
      </c>
    </row>
    <row r="702" customFormat="false" ht="15" hidden="false" customHeight="false" outlineLevel="0" collapsed="false">
      <c r="A702" s="5" t="s">
        <v>1973</v>
      </c>
      <c r="B702" s="5" t="s">
        <v>786</v>
      </c>
      <c r="C702" s="5" t="s">
        <v>891</v>
      </c>
      <c r="D702" s="5" t="s">
        <v>889</v>
      </c>
      <c r="E702" s="6" t="s">
        <v>1902</v>
      </c>
      <c r="F702" s="6" t="s">
        <v>1903</v>
      </c>
      <c r="G702" s="6" t="s">
        <v>1901</v>
      </c>
      <c r="H702" s="5"/>
      <c r="I702" s="6" t="s">
        <v>1894</v>
      </c>
    </row>
    <row r="703" customFormat="false" ht="15" hidden="false" customHeight="false" outlineLevel="0" collapsed="false">
      <c r="A703" s="5" t="s">
        <v>1976</v>
      </c>
      <c r="B703" s="5" t="s">
        <v>786</v>
      </c>
      <c r="C703" s="5" t="s">
        <v>894</v>
      </c>
      <c r="D703" s="5" t="s">
        <v>895</v>
      </c>
      <c r="E703" s="6" t="s">
        <v>1891</v>
      </c>
      <c r="F703" s="6" t="s">
        <v>1892</v>
      </c>
      <c r="G703" s="6" t="s">
        <v>1977</v>
      </c>
      <c r="H703" s="5"/>
      <c r="I703" s="6" t="s">
        <v>1894</v>
      </c>
    </row>
    <row r="704" customFormat="false" ht="15" hidden="false" customHeight="false" outlineLevel="0" collapsed="false">
      <c r="A704" s="5" t="s">
        <v>1976</v>
      </c>
      <c r="B704" s="5" t="s">
        <v>786</v>
      </c>
      <c r="C704" s="5" t="s">
        <v>894</v>
      </c>
      <c r="D704" s="5" t="s">
        <v>895</v>
      </c>
      <c r="E704" s="6" t="s">
        <v>1895</v>
      </c>
      <c r="F704" s="6" t="s">
        <v>1896</v>
      </c>
      <c r="G704" s="6" t="s">
        <v>1978</v>
      </c>
      <c r="H704" s="5"/>
      <c r="I704" s="6" t="s">
        <v>1894</v>
      </c>
    </row>
    <row r="705" customFormat="false" ht="15" hidden="false" customHeight="false" outlineLevel="0" collapsed="false">
      <c r="A705" s="5" t="s">
        <v>1976</v>
      </c>
      <c r="B705" s="5" t="s">
        <v>786</v>
      </c>
      <c r="C705" s="5" t="s">
        <v>894</v>
      </c>
      <c r="D705" s="5" t="s">
        <v>895</v>
      </c>
      <c r="E705" s="6" t="s">
        <v>1897</v>
      </c>
      <c r="F705" s="6" t="s">
        <v>1898</v>
      </c>
      <c r="G705" s="6" t="s">
        <v>1893</v>
      </c>
      <c r="H705" s="5"/>
      <c r="I705" s="6" t="s">
        <v>1894</v>
      </c>
    </row>
    <row r="706" customFormat="false" ht="15" hidden="false" customHeight="false" outlineLevel="0" collapsed="false">
      <c r="A706" s="5" t="s">
        <v>1976</v>
      </c>
      <c r="B706" s="5" t="s">
        <v>786</v>
      </c>
      <c r="C706" s="5" t="s">
        <v>894</v>
      </c>
      <c r="D706" s="5" t="s">
        <v>895</v>
      </c>
      <c r="E706" s="6" t="s">
        <v>1899</v>
      </c>
      <c r="F706" s="6" t="s">
        <v>1900</v>
      </c>
      <c r="G706" s="6" t="s">
        <v>1901</v>
      </c>
      <c r="H706" s="5"/>
      <c r="I706" s="6" t="s">
        <v>1894</v>
      </c>
    </row>
    <row r="707" customFormat="false" ht="15" hidden="false" customHeight="false" outlineLevel="0" collapsed="false">
      <c r="A707" s="5" t="s">
        <v>1976</v>
      </c>
      <c r="B707" s="5" t="s">
        <v>786</v>
      </c>
      <c r="C707" s="5" t="s">
        <v>894</v>
      </c>
      <c r="D707" s="5" t="s">
        <v>895</v>
      </c>
      <c r="E707" s="6" t="s">
        <v>1902</v>
      </c>
      <c r="F707" s="6" t="s">
        <v>1903</v>
      </c>
      <c r="G707" s="6" t="s">
        <v>1901</v>
      </c>
      <c r="H707" s="5"/>
      <c r="I707" s="6" t="s">
        <v>1894</v>
      </c>
    </row>
    <row r="708" customFormat="false" ht="15" hidden="false" customHeight="false" outlineLevel="0" collapsed="false">
      <c r="A708" s="5" t="s">
        <v>1979</v>
      </c>
      <c r="B708" s="5" t="s">
        <v>786</v>
      </c>
      <c r="C708" s="5" t="s">
        <v>898</v>
      </c>
      <c r="D708" s="5" t="s">
        <v>750</v>
      </c>
      <c r="E708" s="6" t="s">
        <v>1891</v>
      </c>
      <c r="F708" s="6" t="s">
        <v>1892</v>
      </c>
      <c r="G708" s="6" t="s">
        <v>1980</v>
      </c>
      <c r="H708" s="5"/>
      <c r="I708" s="6" t="s">
        <v>1894</v>
      </c>
    </row>
    <row r="709" customFormat="false" ht="15" hidden="false" customHeight="false" outlineLevel="0" collapsed="false">
      <c r="A709" s="5" t="s">
        <v>1979</v>
      </c>
      <c r="B709" s="5" t="s">
        <v>786</v>
      </c>
      <c r="C709" s="5" t="s">
        <v>898</v>
      </c>
      <c r="D709" s="5" t="s">
        <v>750</v>
      </c>
      <c r="E709" s="6" t="s">
        <v>1906</v>
      </c>
      <c r="F709" s="6" t="s">
        <v>1896</v>
      </c>
      <c r="G709" s="6" t="s">
        <v>1981</v>
      </c>
      <c r="H709" s="5"/>
      <c r="I709" s="6" t="s">
        <v>1894</v>
      </c>
    </row>
    <row r="710" customFormat="false" ht="15" hidden="false" customHeight="false" outlineLevel="0" collapsed="false">
      <c r="A710" s="5" t="s">
        <v>1979</v>
      </c>
      <c r="B710" s="5" t="s">
        <v>786</v>
      </c>
      <c r="C710" s="5" t="s">
        <v>898</v>
      </c>
      <c r="D710" s="5" t="s">
        <v>750</v>
      </c>
      <c r="E710" s="6" t="s">
        <v>1897</v>
      </c>
      <c r="F710" s="6" t="s">
        <v>1898</v>
      </c>
      <c r="G710" s="6" t="s">
        <v>1893</v>
      </c>
      <c r="H710" s="5"/>
      <c r="I710" s="6" t="s">
        <v>1894</v>
      </c>
    </row>
    <row r="711" customFormat="false" ht="15" hidden="false" customHeight="false" outlineLevel="0" collapsed="false">
      <c r="A711" s="5" t="s">
        <v>1979</v>
      </c>
      <c r="B711" s="5" t="s">
        <v>786</v>
      </c>
      <c r="C711" s="5" t="s">
        <v>898</v>
      </c>
      <c r="D711" s="5" t="s">
        <v>750</v>
      </c>
      <c r="E711" s="6" t="s">
        <v>1899</v>
      </c>
      <c r="F711" s="6" t="s">
        <v>1900</v>
      </c>
      <c r="G711" s="6" t="s">
        <v>1901</v>
      </c>
      <c r="H711" s="5"/>
      <c r="I711" s="6" t="s">
        <v>1894</v>
      </c>
    </row>
    <row r="712" customFormat="false" ht="15" hidden="false" customHeight="false" outlineLevel="0" collapsed="false">
      <c r="A712" s="5" t="s">
        <v>1979</v>
      </c>
      <c r="B712" s="5" t="s">
        <v>786</v>
      </c>
      <c r="C712" s="5" t="s">
        <v>898</v>
      </c>
      <c r="D712" s="5" t="s">
        <v>750</v>
      </c>
      <c r="E712" s="6" t="s">
        <v>1902</v>
      </c>
      <c r="F712" s="6" t="s">
        <v>1903</v>
      </c>
      <c r="G712" s="6" t="s">
        <v>1901</v>
      </c>
      <c r="H712" s="5"/>
      <c r="I712" s="6" t="s">
        <v>1894</v>
      </c>
    </row>
    <row r="713" customFormat="false" ht="15" hidden="false" customHeight="false" outlineLevel="0" collapsed="false">
      <c r="A713" s="5" t="s">
        <v>1982</v>
      </c>
      <c r="B713" s="5" t="s">
        <v>786</v>
      </c>
      <c r="C713" s="5" t="s">
        <v>902</v>
      </c>
      <c r="D713" s="5" t="s">
        <v>905</v>
      </c>
      <c r="E713" s="6" t="s">
        <v>1891</v>
      </c>
      <c r="F713" s="6" t="s">
        <v>1892</v>
      </c>
      <c r="G713" s="6" t="s">
        <v>1893</v>
      </c>
      <c r="H713" s="5"/>
      <c r="I713" s="6" t="s">
        <v>1894</v>
      </c>
    </row>
    <row r="714" customFormat="false" ht="15" hidden="false" customHeight="false" outlineLevel="0" collapsed="false">
      <c r="A714" s="5" t="s">
        <v>1982</v>
      </c>
      <c r="B714" s="5" t="s">
        <v>786</v>
      </c>
      <c r="C714" s="5" t="s">
        <v>902</v>
      </c>
      <c r="D714" s="5" t="s">
        <v>905</v>
      </c>
      <c r="E714" s="6" t="s">
        <v>1906</v>
      </c>
      <c r="F714" s="6" t="s">
        <v>1896</v>
      </c>
      <c r="G714" s="6" t="s">
        <v>1893</v>
      </c>
      <c r="H714" s="5"/>
      <c r="I714" s="6" t="s">
        <v>1894</v>
      </c>
    </row>
    <row r="715" customFormat="false" ht="15" hidden="false" customHeight="false" outlineLevel="0" collapsed="false">
      <c r="A715" s="5" t="s">
        <v>1982</v>
      </c>
      <c r="B715" s="5" t="s">
        <v>786</v>
      </c>
      <c r="C715" s="5" t="s">
        <v>902</v>
      </c>
      <c r="D715" s="5" t="s">
        <v>905</v>
      </c>
      <c r="E715" s="6" t="s">
        <v>1897</v>
      </c>
      <c r="F715" s="6" t="s">
        <v>1898</v>
      </c>
      <c r="G715" s="6" t="s">
        <v>1893</v>
      </c>
      <c r="H715" s="5"/>
      <c r="I715" s="6" t="s">
        <v>1894</v>
      </c>
    </row>
    <row r="716" customFormat="false" ht="15" hidden="false" customHeight="false" outlineLevel="0" collapsed="false">
      <c r="A716" s="5" t="s">
        <v>1982</v>
      </c>
      <c r="B716" s="5" t="s">
        <v>786</v>
      </c>
      <c r="C716" s="5" t="s">
        <v>902</v>
      </c>
      <c r="D716" s="5" t="s">
        <v>905</v>
      </c>
      <c r="E716" s="6" t="s">
        <v>1899</v>
      </c>
      <c r="F716" s="6" t="s">
        <v>1900</v>
      </c>
      <c r="G716" s="6" t="s">
        <v>1901</v>
      </c>
      <c r="H716" s="5"/>
      <c r="I716" s="6" t="s">
        <v>1894</v>
      </c>
    </row>
    <row r="717" customFormat="false" ht="15" hidden="false" customHeight="false" outlineLevel="0" collapsed="false">
      <c r="A717" s="5" t="s">
        <v>1982</v>
      </c>
      <c r="B717" s="5" t="s">
        <v>786</v>
      </c>
      <c r="C717" s="5" t="s">
        <v>902</v>
      </c>
      <c r="D717" s="5" t="s">
        <v>905</v>
      </c>
      <c r="E717" s="6" t="s">
        <v>1902</v>
      </c>
      <c r="F717" s="6" t="s">
        <v>1903</v>
      </c>
      <c r="G717" s="6" t="s">
        <v>1901</v>
      </c>
      <c r="H717" s="5"/>
      <c r="I717" s="6" t="s">
        <v>1894</v>
      </c>
    </row>
    <row r="718" customFormat="false" ht="15" hidden="false" customHeight="false" outlineLevel="0" collapsed="false">
      <c r="A718" s="5" t="s">
        <v>1983</v>
      </c>
      <c r="B718" s="5" t="s">
        <v>786</v>
      </c>
      <c r="C718" s="5" t="s">
        <v>908</v>
      </c>
      <c r="D718" s="5" t="s">
        <v>909</v>
      </c>
      <c r="E718" s="6" t="s">
        <v>1891</v>
      </c>
      <c r="F718" s="6" t="s">
        <v>1892</v>
      </c>
      <c r="G718" s="6" t="s">
        <v>1961</v>
      </c>
      <c r="H718" s="5"/>
      <c r="I718" s="6" t="s">
        <v>1894</v>
      </c>
    </row>
    <row r="719" customFormat="false" ht="15" hidden="false" customHeight="false" outlineLevel="0" collapsed="false">
      <c r="A719" s="5" t="s">
        <v>1983</v>
      </c>
      <c r="B719" s="5" t="s">
        <v>786</v>
      </c>
      <c r="C719" s="5" t="s">
        <v>908</v>
      </c>
      <c r="D719" s="5" t="s">
        <v>909</v>
      </c>
      <c r="E719" s="6" t="s">
        <v>1895</v>
      </c>
      <c r="F719" s="6" t="s">
        <v>1896</v>
      </c>
      <c r="G719" s="6" t="s">
        <v>1893</v>
      </c>
      <c r="H719" s="5"/>
      <c r="I719" s="6" t="s">
        <v>1894</v>
      </c>
    </row>
    <row r="720" customFormat="false" ht="15" hidden="false" customHeight="false" outlineLevel="0" collapsed="false">
      <c r="A720" s="5" t="s">
        <v>1983</v>
      </c>
      <c r="B720" s="5" t="s">
        <v>786</v>
      </c>
      <c r="C720" s="5" t="s">
        <v>908</v>
      </c>
      <c r="D720" s="5" t="s">
        <v>909</v>
      </c>
      <c r="E720" s="6" t="s">
        <v>1897</v>
      </c>
      <c r="F720" s="6" t="s">
        <v>1898</v>
      </c>
      <c r="G720" s="6" t="s">
        <v>1954</v>
      </c>
      <c r="H720" s="5"/>
      <c r="I720" s="6" t="s">
        <v>1894</v>
      </c>
    </row>
    <row r="721" customFormat="false" ht="15" hidden="false" customHeight="false" outlineLevel="0" collapsed="false">
      <c r="A721" s="5" t="s">
        <v>1983</v>
      </c>
      <c r="B721" s="5" t="s">
        <v>786</v>
      </c>
      <c r="C721" s="5" t="s">
        <v>908</v>
      </c>
      <c r="D721" s="5" t="s">
        <v>909</v>
      </c>
      <c r="E721" s="6" t="s">
        <v>1899</v>
      </c>
      <c r="F721" s="6" t="s">
        <v>1900</v>
      </c>
      <c r="G721" s="6" t="s">
        <v>1901</v>
      </c>
      <c r="H721" s="5"/>
      <c r="I721" s="6" t="s">
        <v>1894</v>
      </c>
    </row>
    <row r="722" customFormat="false" ht="15" hidden="false" customHeight="false" outlineLevel="0" collapsed="false">
      <c r="A722" s="5" t="s">
        <v>1983</v>
      </c>
      <c r="B722" s="5" t="s">
        <v>786</v>
      </c>
      <c r="C722" s="5" t="s">
        <v>908</v>
      </c>
      <c r="D722" s="5" t="s">
        <v>909</v>
      </c>
      <c r="E722" s="6" t="s">
        <v>1902</v>
      </c>
      <c r="F722" s="6" t="s">
        <v>1903</v>
      </c>
      <c r="G722" s="6" t="s">
        <v>1901</v>
      </c>
      <c r="H722" s="5"/>
      <c r="I722" s="6" t="s">
        <v>1894</v>
      </c>
    </row>
    <row r="723" customFormat="false" ht="15" hidden="false" customHeight="false" outlineLevel="0" collapsed="false">
      <c r="A723" s="5" t="s">
        <v>1984</v>
      </c>
      <c r="B723" s="5" t="s">
        <v>786</v>
      </c>
      <c r="C723" s="5" t="s">
        <v>911</v>
      </c>
      <c r="D723" s="5" t="s">
        <v>914</v>
      </c>
      <c r="E723" s="6" t="s">
        <v>1891</v>
      </c>
      <c r="F723" s="6" t="s">
        <v>1892</v>
      </c>
      <c r="G723" s="6" t="s">
        <v>1985</v>
      </c>
      <c r="H723" s="5"/>
      <c r="I723" s="6" t="s">
        <v>1894</v>
      </c>
    </row>
    <row r="724" customFormat="false" ht="15" hidden="false" customHeight="false" outlineLevel="0" collapsed="false">
      <c r="A724" s="5" t="s">
        <v>1984</v>
      </c>
      <c r="B724" s="5" t="s">
        <v>786</v>
      </c>
      <c r="C724" s="5" t="s">
        <v>911</v>
      </c>
      <c r="D724" s="5" t="s">
        <v>914</v>
      </c>
      <c r="E724" s="6" t="s">
        <v>1895</v>
      </c>
      <c r="F724" s="6" t="s">
        <v>1896</v>
      </c>
      <c r="G724" s="6" t="s">
        <v>1893</v>
      </c>
      <c r="H724" s="5"/>
      <c r="I724" s="6" t="s">
        <v>1894</v>
      </c>
    </row>
    <row r="725" customFormat="false" ht="15" hidden="false" customHeight="false" outlineLevel="0" collapsed="false">
      <c r="A725" s="5" t="s">
        <v>1984</v>
      </c>
      <c r="B725" s="5" t="s">
        <v>786</v>
      </c>
      <c r="C725" s="5" t="s">
        <v>911</v>
      </c>
      <c r="D725" s="5" t="s">
        <v>914</v>
      </c>
      <c r="E725" s="6" t="s">
        <v>1897</v>
      </c>
      <c r="F725" s="6" t="s">
        <v>1898</v>
      </c>
      <c r="G725" s="6" t="s">
        <v>1954</v>
      </c>
      <c r="H725" s="5"/>
      <c r="I725" s="6" t="s">
        <v>1894</v>
      </c>
    </row>
    <row r="726" customFormat="false" ht="15" hidden="false" customHeight="false" outlineLevel="0" collapsed="false">
      <c r="A726" s="5" t="s">
        <v>1984</v>
      </c>
      <c r="B726" s="5" t="s">
        <v>786</v>
      </c>
      <c r="C726" s="5" t="s">
        <v>911</v>
      </c>
      <c r="D726" s="5" t="s">
        <v>914</v>
      </c>
      <c r="E726" s="6" t="s">
        <v>1899</v>
      </c>
      <c r="F726" s="6" t="s">
        <v>1900</v>
      </c>
      <c r="G726" s="6" t="s">
        <v>1901</v>
      </c>
      <c r="H726" s="5"/>
      <c r="I726" s="6" t="s">
        <v>1894</v>
      </c>
    </row>
    <row r="727" customFormat="false" ht="15" hidden="false" customHeight="false" outlineLevel="0" collapsed="false">
      <c r="A727" s="5" t="s">
        <v>1984</v>
      </c>
      <c r="B727" s="5" t="s">
        <v>786</v>
      </c>
      <c r="C727" s="5" t="s">
        <v>911</v>
      </c>
      <c r="D727" s="5" t="s">
        <v>914</v>
      </c>
      <c r="E727" s="6" t="s">
        <v>1902</v>
      </c>
      <c r="F727" s="6" t="s">
        <v>1903</v>
      </c>
      <c r="G727" s="6" t="s">
        <v>1901</v>
      </c>
      <c r="H727" s="5"/>
      <c r="I727" s="6" t="s">
        <v>1894</v>
      </c>
    </row>
    <row r="728" customFormat="false" ht="15" hidden="false" customHeight="false" outlineLevel="0" collapsed="false">
      <c r="A728" s="5" t="s">
        <v>1986</v>
      </c>
      <c r="B728" s="5" t="s">
        <v>786</v>
      </c>
      <c r="C728" s="5" t="s">
        <v>917</v>
      </c>
      <c r="D728" s="5" t="s">
        <v>918</v>
      </c>
      <c r="E728" s="6" t="s">
        <v>1891</v>
      </c>
      <c r="F728" s="6" t="s">
        <v>1892</v>
      </c>
      <c r="G728" s="6" t="s">
        <v>1987</v>
      </c>
      <c r="H728" s="5"/>
      <c r="I728" s="6" t="s">
        <v>1894</v>
      </c>
    </row>
    <row r="729" customFormat="false" ht="15" hidden="false" customHeight="false" outlineLevel="0" collapsed="false">
      <c r="A729" s="5" t="s">
        <v>1986</v>
      </c>
      <c r="B729" s="5" t="s">
        <v>786</v>
      </c>
      <c r="C729" s="5" t="s">
        <v>917</v>
      </c>
      <c r="D729" s="5" t="s">
        <v>918</v>
      </c>
      <c r="E729" s="6" t="s">
        <v>1895</v>
      </c>
      <c r="F729" s="6" t="s">
        <v>1896</v>
      </c>
      <c r="G729" s="6" t="s">
        <v>1988</v>
      </c>
      <c r="H729" s="5"/>
      <c r="I729" s="6" t="s">
        <v>1894</v>
      </c>
    </row>
    <row r="730" customFormat="false" ht="15" hidden="false" customHeight="false" outlineLevel="0" collapsed="false">
      <c r="A730" s="5" t="s">
        <v>1986</v>
      </c>
      <c r="B730" s="5" t="s">
        <v>786</v>
      </c>
      <c r="C730" s="5" t="s">
        <v>917</v>
      </c>
      <c r="D730" s="5" t="s">
        <v>918</v>
      </c>
      <c r="E730" s="6" t="s">
        <v>1897</v>
      </c>
      <c r="F730" s="6" t="s">
        <v>1898</v>
      </c>
      <c r="G730" s="6" t="s">
        <v>1893</v>
      </c>
      <c r="H730" s="5"/>
      <c r="I730" s="6" t="s">
        <v>1894</v>
      </c>
    </row>
    <row r="731" customFormat="false" ht="15" hidden="false" customHeight="false" outlineLevel="0" collapsed="false">
      <c r="A731" s="5" t="s">
        <v>1986</v>
      </c>
      <c r="B731" s="5" t="s">
        <v>786</v>
      </c>
      <c r="C731" s="5" t="s">
        <v>917</v>
      </c>
      <c r="D731" s="5" t="s">
        <v>918</v>
      </c>
      <c r="E731" s="6" t="s">
        <v>1899</v>
      </c>
      <c r="F731" s="6" t="s">
        <v>1900</v>
      </c>
      <c r="G731" s="6" t="s">
        <v>1901</v>
      </c>
      <c r="H731" s="5"/>
      <c r="I731" s="6" t="s">
        <v>1894</v>
      </c>
    </row>
    <row r="732" customFormat="false" ht="15" hidden="false" customHeight="false" outlineLevel="0" collapsed="false">
      <c r="A732" s="5" t="s">
        <v>1986</v>
      </c>
      <c r="B732" s="5" t="s">
        <v>786</v>
      </c>
      <c r="C732" s="5" t="s">
        <v>917</v>
      </c>
      <c r="D732" s="5" t="s">
        <v>918</v>
      </c>
      <c r="E732" s="6" t="s">
        <v>1902</v>
      </c>
      <c r="F732" s="6" t="s">
        <v>1903</v>
      </c>
      <c r="G732" s="6" t="s">
        <v>1901</v>
      </c>
      <c r="H732" s="5"/>
      <c r="I732" s="6" t="s">
        <v>1894</v>
      </c>
    </row>
    <row r="733" customFormat="false" ht="15" hidden="false" customHeight="false" outlineLevel="0" collapsed="false">
      <c r="A733" s="5" t="s">
        <v>1989</v>
      </c>
      <c r="B733" s="5" t="s">
        <v>786</v>
      </c>
      <c r="C733" s="5" t="s">
        <v>921</v>
      </c>
      <c r="D733" s="5" t="s">
        <v>781</v>
      </c>
      <c r="E733" s="6" t="s">
        <v>1891</v>
      </c>
      <c r="F733" s="6" t="s">
        <v>1892</v>
      </c>
      <c r="G733" s="6" t="s">
        <v>1990</v>
      </c>
      <c r="H733" s="5"/>
      <c r="I733" s="6" t="s">
        <v>1894</v>
      </c>
    </row>
    <row r="734" customFormat="false" ht="15" hidden="false" customHeight="false" outlineLevel="0" collapsed="false">
      <c r="A734" s="5" t="s">
        <v>1989</v>
      </c>
      <c r="B734" s="5" t="s">
        <v>786</v>
      </c>
      <c r="C734" s="5" t="s">
        <v>921</v>
      </c>
      <c r="D734" s="5" t="s">
        <v>781</v>
      </c>
      <c r="E734" s="6" t="s">
        <v>1895</v>
      </c>
      <c r="F734" s="6" t="s">
        <v>1896</v>
      </c>
      <c r="G734" s="6" t="s">
        <v>1893</v>
      </c>
      <c r="H734" s="5"/>
      <c r="I734" s="6" t="s">
        <v>1894</v>
      </c>
    </row>
    <row r="735" customFormat="false" ht="15" hidden="false" customHeight="false" outlineLevel="0" collapsed="false">
      <c r="A735" s="5" t="s">
        <v>1989</v>
      </c>
      <c r="B735" s="5" t="s">
        <v>786</v>
      </c>
      <c r="C735" s="5" t="s">
        <v>921</v>
      </c>
      <c r="D735" s="5" t="s">
        <v>781</v>
      </c>
      <c r="E735" s="6" t="s">
        <v>1897</v>
      </c>
      <c r="F735" s="6" t="s">
        <v>1898</v>
      </c>
      <c r="G735" s="6" t="s">
        <v>1954</v>
      </c>
      <c r="H735" s="5"/>
      <c r="I735" s="6" t="s">
        <v>1894</v>
      </c>
    </row>
    <row r="736" customFormat="false" ht="15" hidden="false" customHeight="false" outlineLevel="0" collapsed="false">
      <c r="A736" s="5" t="s">
        <v>1989</v>
      </c>
      <c r="B736" s="5" t="s">
        <v>786</v>
      </c>
      <c r="C736" s="5" t="s">
        <v>921</v>
      </c>
      <c r="D736" s="5" t="s">
        <v>781</v>
      </c>
      <c r="E736" s="6" t="s">
        <v>1899</v>
      </c>
      <c r="F736" s="6" t="s">
        <v>1900</v>
      </c>
      <c r="G736" s="6" t="s">
        <v>1901</v>
      </c>
      <c r="H736" s="5"/>
      <c r="I736" s="6" t="s">
        <v>1894</v>
      </c>
    </row>
    <row r="737" customFormat="false" ht="15" hidden="false" customHeight="false" outlineLevel="0" collapsed="false">
      <c r="A737" s="5" t="s">
        <v>1989</v>
      </c>
      <c r="B737" s="5" t="s">
        <v>786</v>
      </c>
      <c r="C737" s="5" t="s">
        <v>921</v>
      </c>
      <c r="D737" s="5" t="s">
        <v>781</v>
      </c>
      <c r="E737" s="6" t="s">
        <v>1902</v>
      </c>
      <c r="F737" s="6" t="s">
        <v>1903</v>
      </c>
      <c r="G737" s="6" t="s">
        <v>1901</v>
      </c>
      <c r="H737" s="5"/>
      <c r="I737" s="6" t="s">
        <v>1894</v>
      </c>
    </row>
    <row r="738" customFormat="false" ht="15" hidden="false" customHeight="false" outlineLevel="0" collapsed="false">
      <c r="A738" s="5" t="s">
        <v>1991</v>
      </c>
      <c r="B738" s="5" t="s">
        <v>786</v>
      </c>
      <c r="C738" s="5" t="s">
        <v>924</v>
      </c>
      <c r="D738" s="5" t="s">
        <v>574</v>
      </c>
      <c r="E738" s="6" t="s">
        <v>1891</v>
      </c>
      <c r="F738" s="6" t="s">
        <v>1892</v>
      </c>
      <c r="G738" s="6" t="s">
        <v>1992</v>
      </c>
      <c r="H738" s="5"/>
      <c r="I738" s="6" t="s">
        <v>1894</v>
      </c>
    </row>
    <row r="739" customFormat="false" ht="15" hidden="false" customHeight="false" outlineLevel="0" collapsed="false">
      <c r="A739" s="5" t="s">
        <v>1991</v>
      </c>
      <c r="B739" s="5" t="s">
        <v>786</v>
      </c>
      <c r="C739" s="5" t="s">
        <v>924</v>
      </c>
      <c r="D739" s="5" t="s">
        <v>574</v>
      </c>
      <c r="E739" s="6" t="s">
        <v>1906</v>
      </c>
      <c r="F739" s="6" t="s">
        <v>1896</v>
      </c>
      <c r="G739" s="6" t="s">
        <v>1952</v>
      </c>
      <c r="H739" s="5"/>
      <c r="I739" s="6" t="s">
        <v>1894</v>
      </c>
    </row>
    <row r="740" customFormat="false" ht="15" hidden="false" customHeight="false" outlineLevel="0" collapsed="false">
      <c r="A740" s="5" t="s">
        <v>1991</v>
      </c>
      <c r="B740" s="5" t="s">
        <v>786</v>
      </c>
      <c r="C740" s="5" t="s">
        <v>924</v>
      </c>
      <c r="D740" s="5" t="s">
        <v>574</v>
      </c>
      <c r="E740" s="6" t="s">
        <v>1897</v>
      </c>
      <c r="F740" s="6" t="s">
        <v>1898</v>
      </c>
      <c r="G740" s="6" t="s">
        <v>1893</v>
      </c>
      <c r="H740" s="5"/>
      <c r="I740" s="6" t="s">
        <v>1894</v>
      </c>
    </row>
    <row r="741" customFormat="false" ht="15" hidden="false" customHeight="false" outlineLevel="0" collapsed="false">
      <c r="A741" s="5" t="s">
        <v>1991</v>
      </c>
      <c r="B741" s="5" t="s">
        <v>786</v>
      </c>
      <c r="C741" s="5" t="s">
        <v>924</v>
      </c>
      <c r="D741" s="5" t="s">
        <v>574</v>
      </c>
      <c r="E741" s="6" t="s">
        <v>1899</v>
      </c>
      <c r="F741" s="6" t="s">
        <v>1900</v>
      </c>
      <c r="G741" s="6" t="s">
        <v>1901</v>
      </c>
      <c r="H741" s="5"/>
      <c r="I741" s="6" t="s">
        <v>1894</v>
      </c>
    </row>
    <row r="742" customFormat="false" ht="15" hidden="false" customHeight="false" outlineLevel="0" collapsed="false">
      <c r="A742" s="5" t="s">
        <v>1991</v>
      </c>
      <c r="B742" s="5" t="s">
        <v>786</v>
      </c>
      <c r="C742" s="5" t="s">
        <v>924</v>
      </c>
      <c r="D742" s="5" t="s">
        <v>574</v>
      </c>
      <c r="E742" s="6" t="s">
        <v>1902</v>
      </c>
      <c r="F742" s="6" t="s">
        <v>1903</v>
      </c>
      <c r="G742" s="6" t="s">
        <v>1901</v>
      </c>
      <c r="H742" s="5"/>
      <c r="I742" s="6" t="s">
        <v>1894</v>
      </c>
    </row>
    <row r="743" customFormat="false" ht="15" hidden="false" customHeight="false" outlineLevel="0" collapsed="false">
      <c r="A743" s="5" t="s">
        <v>1993</v>
      </c>
      <c r="B743" s="5" t="s">
        <v>786</v>
      </c>
      <c r="C743" s="5" t="s">
        <v>929</v>
      </c>
      <c r="D743" s="5" t="s">
        <v>930</v>
      </c>
      <c r="E743" s="6" t="s">
        <v>1891</v>
      </c>
      <c r="F743" s="6" t="s">
        <v>1892</v>
      </c>
      <c r="G743" s="6" t="s">
        <v>1994</v>
      </c>
      <c r="H743" s="5"/>
      <c r="I743" s="6" t="s">
        <v>1894</v>
      </c>
    </row>
    <row r="744" customFormat="false" ht="15" hidden="false" customHeight="false" outlineLevel="0" collapsed="false">
      <c r="A744" s="5" t="s">
        <v>1993</v>
      </c>
      <c r="B744" s="5" t="s">
        <v>786</v>
      </c>
      <c r="C744" s="5" t="s">
        <v>929</v>
      </c>
      <c r="D744" s="5" t="s">
        <v>930</v>
      </c>
      <c r="E744" s="6" t="s">
        <v>1906</v>
      </c>
      <c r="F744" s="6" t="s">
        <v>1896</v>
      </c>
      <c r="G744" s="6" t="s">
        <v>1995</v>
      </c>
      <c r="H744" s="5"/>
      <c r="I744" s="6" t="s">
        <v>1894</v>
      </c>
    </row>
    <row r="745" customFormat="false" ht="15" hidden="false" customHeight="false" outlineLevel="0" collapsed="false">
      <c r="A745" s="5" t="s">
        <v>1993</v>
      </c>
      <c r="B745" s="5" t="s">
        <v>786</v>
      </c>
      <c r="C745" s="5" t="s">
        <v>929</v>
      </c>
      <c r="D745" s="5" t="s">
        <v>930</v>
      </c>
      <c r="E745" s="6" t="s">
        <v>1897</v>
      </c>
      <c r="F745" s="6" t="s">
        <v>1898</v>
      </c>
      <c r="G745" s="6" t="s">
        <v>1893</v>
      </c>
      <c r="H745" s="5"/>
      <c r="I745" s="6" t="s">
        <v>1894</v>
      </c>
    </row>
    <row r="746" customFormat="false" ht="15" hidden="false" customHeight="false" outlineLevel="0" collapsed="false">
      <c r="A746" s="5" t="s">
        <v>1993</v>
      </c>
      <c r="B746" s="5" t="s">
        <v>786</v>
      </c>
      <c r="C746" s="5" t="s">
        <v>929</v>
      </c>
      <c r="D746" s="5" t="s">
        <v>930</v>
      </c>
      <c r="E746" s="6" t="s">
        <v>1899</v>
      </c>
      <c r="F746" s="6" t="s">
        <v>1900</v>
      </c>
      <c r="G746" s="6" t="s">
        <v>1901</v>
      </c>
      <c r="H746" s="5"/>
      <c r="I746" s="6" t="s">
        <v>1894</v>
      </c>
    </row>
    <row r="747" customFormat="false" ht="15" hidden="false" customHeight="false" outlineLevel="0" collapsed="false">
      <c r="A747" s="5" t="s">
        <v>1993</v>
      </c>
      <c r="B747" s="5" t="s">
        <v>786</v>
      </c>
      <c r="C747" s="5" t="s">
        <v>929</v>
      </c>
      <c r="D747" s="5" t="s">
        <v>930</v>
      </c>
      <c r="E747" s="6" t="s">
        <v>1902</v>
      </c>
      <c r="F747" s="6" t="s">
        <v>1903</v>
      </c>
      <c r="G747" s="6" t="s">
        <v>1901</v>
      </c>
      <c r="H747" s="5"/>
      <c r="I747" s="6" t="s">
        <v>1894</v>
      </c>
    </row>
    <row r="748" customFormat="false" ht="15" hidden="false" customHeight="false" outlineLevel="0" collapsed="false">
      <c r="A748" s="5" t="s">
        <v>1996</v>
      </c>
      <c r="B748" s="5" t="s">
        <v>786</v>
      </c>
      <c r="C748" s="5" t="s">
        <v>933</v>
      </c>
      <c r="D748" s="5" t="s">
        <v>755</v>
      </c>
      <c r="E748" s="6" t="s">
        <v>1891</v>
      </c>
      <c r="F748" s="6" t="s">
        <v>1892</v>
      </c>
      <c r="G748" s="6" t="s">
        <v>1997</v>
      </c>
      <c r="H748" s="5"/>
      <c r="I748" s="6" t="s">
        <v>1894</v>
      </c>
    </row>
    <row r="749" customFormat="false" ht="15" hidden="false" customHeight="false" outlineLevel="0" collapsed="false">
      <c r="A749" s="5" t="s">
        <v>1996</v>
      </c>
      <c r="B749" s="5" t="s">
        <v>786</v>
      </c>
      <c r="C749" s="5" t="s">
        <v>933</v>
      </c>
      <c r="D749" s="5" t="s">
        <v>755</v>
      </c>
      <c r="E749" s="6" t="s">
        <v>1895</v>
      </c>
      <c r="F749" s="6" t="s">
        <v>1896</v>
      </c>
      <c r="G749" s="6" t="s">
        <v>1953</v>
      </c>
      <c r="H749" s="5"/>
      <c r="I749" s="6" t="s">
        <v>1894</v>
      </c>
    </row>
    <row r="750" customFormat="false" ht="15" hidden="false" customHeight="false" outlineLevel="0" collapsed="false">
      <c r="A750" s="5" t="s">
        <v>1996</v>
      </c>
      <c r="B750" s="5" t="s">
        <v>786</v>
      </c>
      <c r="C750" s="5" t="s">
        <v>933</v>
      </c>
      <c r="D750" s="5" t="s">
        <v>755</v>
      </c>
      <c r="E750" s="6" t="s">
        <v>1897</v>
      </c>
      <c r="F750" s="6" t="s">
        <v>1898</v>
      </c>
      <c r="G750" s="6" t="s">
        <v>1893</v>
      </c>
      <c r="H750" s="5"/>
      <c r="I750" s="6" t="s">
        <v>1894</v>
      </c>
    </row>
    <row r="751" customFormat="false" ht="15" hidden="false" customHeight="false" outlineLevel="0" collapsed="false">
      <c r="A751" s="5" t="s">
        <v>1996</v>
      </c>
      <c r="B751" s="5" t="s">
        <v>786</v>
      </c>
      <c r="C751" s="5" t="s">
        <v>933</v>
      </c>
      <c r="D751" s="5" t="s">
        <v>755</v>
      </c>
      <c r="E751" s="6" t="s">
        <v>1899</v>
      </c>
      <c r="F751" s="6" t="s">
        <v>1900</v>
      </c>
      <c r="G751" s="6" t="s">
        <v>1901</v>
      </c>
      <c r="H751" s="5"/>
      <c r="I751" s="6" t="s">
        <v>1894</v>
      </c>
    </row>
    <row r="752" customFormat="false" ht="15" hidden="false" customHeight="false" outlineLevel="0" collapsed="false">
      <c r="A752" s="5" t="s">
        <v>1996</v>
      </c>
      <c r="B752" s="5" t="s">
        <v>786</v>
      </c>
      <c r="C752" s="5" t="s">
        <v>933</v>
      </c>
      <c r="D752" s="5" t="s">
        <v>755</v>
      </c>
      <c r="E752" s="6" t="s">
        <v>1902</v>
      </c>
      <c r="F752" s="6" t="s">
        <v>1903</v>
      </c>
      <c r="G752" s="6" t="s">
        <v>1901</v>
      </c>
      <c r="H752" s="5"/>
      <c r="I752" s="6" t="s">
        <v>1894</v>
      </c>
    </row>
    <row r="753" customFormat="false" ht="15" hidden="false" customHeight="false" outlineLevel="0" collapsed="false">
      <c r="A753" s="5" t="s">
        <v>1998</v>
      </c>
      <c r="B753" s="5" t="s">
        <v>786</v>
      </c>
      <c r="C753" s="5" t="s">
        <v>936</v>
      </c>
      <c r="D753" s="5" t="s">
        <v>588</v>
      </c>
      <c r="E753" s="6" t="s">
        <v>1891</v>
      </c>
      <c r="F753" s="6" t="s">
        <v>1892</v>
      </c>
      <c r="G753" s="6" t="s">
        <v>1893</v>
      </c>
      <c r="H753" s="5"/>
      <c r="I753" s="6" t="s">
        <v>1894</v>
      </c>
    </row>
    <row r="754" customFormat="false" ht="15" hidden="false" customHeight="false" outlineLevel="0" collapsed="false">
      <c r="A754" s="5" t="s">
        <v>1998</v>
      </c>
      <c r="B754" s="5" t="s">
        <v>786</v>
      </c>
      <c r="C754" s="5" t="s">
        <v>936</v>
      </c>
      <c r="D754" s="5" t="s">
        <v>588</v>
      </c>
      <c r="E754" s="6" t="s">
        <v>1895</v>
      </c>
      <c r="F754" s="6" t="s">
        <v>1896</v>
      </c>
      <c r="G754" s="6" t="s">
        <v>1893</v>
      </c>
      <c r="H754" s="5"/>
      <c r="I754" s="6" t="s">
        <v>1894</v>
      </c>
    </row>
    <row r="755" customFormat="false" ht="15" hidden="false" customHeight="false" outlineLevel="0" collapsed="false">
      <c r="A755" s="5" t="s">
        <v>1998</v>
      </c>
      <c r="B755" s="5" t="s">
        <v>786</v>
      </c>
      <c r="C755" s="5" t="s">
        <v>936</v>
      </c>
      <c r="D755" s="5" t="s">
        <v>588</v>
      </c>
      <c r="E755" s="6" t="s">
        <v>1897</v>
      </c>
      <c r="F755" s="6" t="s">
        <v>1898</v>
      </c>
      <c r="G755" s="6" t="s">
        <v>1893</v>
      </c>
      <c r="H755" s="5"/>
      <c r="I755" s="6" t="s">
        <v>1894</v>
      </c>
    </row>
    <row r="756" customFormat="false" ht="15" hidden="false" customHeight="false" outlineLevel="0" collapsed="false">
      <c r="A756" s="5" t="s">
        <v>1998</v>
      </c>
      <c r="B756" s="5" t="s">
        <v>786</v>
      </c>
      <c r="C756" s="5" t="s">
        <v>936</v>
      </c>
      <c r="D756" s="5" t="s">
        <v>588</v>
      </c>
      <c r="E756" s="6" t="s">
        <v>1899</v>
      </c>
      <c r="F756" s="6" t="s">
        <v>1900</v>
      </c>
      <c r="G756" s="6" t="s">
        <v>1901</v>
      </c>
      <c r="H756" s="5"/>
      <c r="I756" s="6" t="s">
        <v>1894</v>
      </c>
    </row>
    <row r="757" customFormat="false" ht="15" hidden="false" customHeight="false" outlineLevel="0" collapsed="false">
      <c r="A757" s="5" t="s">
        <v>1998</v>
      </c>
      <c r="B757" s="5" t="s">
        <v>786</v>
      </c>
      <c r="C757" s="5" t="s">
        <v>936</v>
      </c>
      <c r="D757" s="5" t="s">
        <v>588</v>
      </c>
      <c r="E757" s="6" t="s">
        <v>1902</v>
      </c>
      <c r="F757" s="6" t="s">
        <v>1903</v>
      </c>
      <c r="G757" s="6" t="s">
        <v>1901</v>
      </c>
      <c r="H757" s="5"/>
      <c r="I757" s="6" t="s">
        <v>1894</v>
      </c>
    </row>
    <row r="758" customFormat="false" ht="15" hidden="false" customHeight="false" outlineLevel="0" collapsed="false">
      <c r="A758" s="5" t="s">
        <v>1999</v>
      </c>
      <c r="B758" s="5" t="s">
        <v>786</v>
      </c>
      <c r="C758" s="5" t="s">
        <v>941</v>
      </c>
      <c r="D758" s="5" t="s">
        <v>943</v>
      </c>
      <c r="E758" s="6" t="s">
        <v>1891</v>
      </c>
      <c r="F758" s="6" t="s">
        <v>1892</v>
      </c>
      <c r="G758" s="6" t="s">
        <v>1893</v>
      </c>
      <c r="H758" s="5"/>
      <c r="I758" s="6" t="s">
        <v>1894</v>
      </c>
    </row>
    <row r="759" customFormat="false" ht="15" hidden="false" customHeight="false" outlineLevel="0" collapsed="false">
      <c r="A759" s="5" t="s">
        <v>1999</v>
      </c>
      <c r="B759" s="5" t="s">
        <v>786</v>
      </c>
      <c r="C759" s="5" t="s">
        <v>941</v>
      </c>
      <c r="D759" s="5" t="s">
        <v>943</v>
      </c>
      <c r="E759" s="6" t="s">
        <v>1895</v>
      </c>
      <c r="F759" s="6" t="s">
        <v>1896</v>
      </c>
      <c r="G759" s="6" t="s">
        <v>1893</v>
      </c>
      <c r="H759" s="5"/>
      <c r="I759" s="6" t="s">
        <v>1894</v>
      </c>
    </row>
    <row r="760" customFormat="false" ht="15" hidden="false" customHeight="false" outlineLevel="0" collapsed="false">
      <c r="A760" s="5" t="s">
        <v>1999</v>
      </c>
      <c r="B760" s="5" t="s">
        <v>786</v>
      </c>
      <c r="C760" s="5" t="s">
        <v>941</v>
      </c>
      <c r="D760" s="5" t="s">
        <v>943</v>
      </c>
      <c r="E760" s="6" t="s">
        <v>1897</v>
      </c>
      <c r="F760" s="6" t="s">
        <v>1898</v>
      </c>
      <c r="G760" s="6" t="s">
        <v>1893</v>
      </c>
      <c r="H760" s="5"/>
      <c r="I760" s="6" t="s">
        <v>1894</v>
      </c>
    </row>
    <row r="761" customFormat="false" ht="15" hidden="false" customHeight="false" outlineLevel="0" collapsed="false">
      <c r="A761" s="5" t="s">
        <v>1999</v>
      </c>
      <c r="B761" s="5" t="s">
        <v>786</v>
      </c>
      <c r="C761" s="5" t="s">
        <v>941</v>
      </c>
      <c r="D761" s="5" t="s">
        <v>943</v>
      </c>
      <c r="E761" s="6" t="s">
        <v>1899</v>
      </c>
      <c r="F761" s="6" t="s">
        <v>1900</v>
      </c>
      <c r="G761" s="6" t="s">
        <v>1901</v>
      </c>
      <c r="H761" s="5"/>
      <c r="I761" s="6" t="s">
        <v>1894</v>
      </c>
    </row>
    <row r="762" customFormat="false" ht="15" hidden="false" customHeight="false" outlineLevel="0" collapsed="false">
      <c r="A762" s="5" t="s">
        <v>1999</v>
      </c>
      <c r="B762" s="5" t="s">
        <v>786</v>
      </c>
      <c r="C762" s="5" t="s">
        <v>941</v>
      </c>
      <c r="D762" s="5" t="s">
        <v>943</v>
      </c>
      <c r="E762" s="6" t="s">
        <v>1902</v>
      </c>
      <c r="F762" s="6" t="s">
        <v>1903</v>
      </c>
      <c r="G762" s="6" t="s">
        <v>1901</v>
      </c>
      <c r="H762" s="5"/>
      <c r="I762" s="6" t="s">
        <v>1894</v>
      </c>
    </row>
    <row r="763" customFormat="false" ht="15" hidden="false" customHeight="false" outlineLevel="0" collapsed="false">
      <c r="A763" s="5" t="s">
        <v>2000</v>
      </c>
      <c r="B763" s="5" t="s">
        <v>786</v>
      </c>
      <c r="C763" s="5" t="s">
        <v>946</v>
      </c>
      <c r="D763" s="5" t="s">
        <v>594</v>
      </c>
      <c r="E763" s="6" t="s">
        <v>1891</v>
      </c>
      <c r="F763" s="6" t="s">
        <v>1892</v>
      </c>
      <c r="G763" s="6" t="s">
        <v>2001</v>
      </c>
      <c r="H763" s="5"/>
      <c r="I763" s="6" t="s">
        <v>1894</v>
      </c>
    </row>
    <row r="764" customFormat="false" ht="15" hidden="false" customHeight="false" outlineLevel="0" collapsed="false">
      <c r="A764" s="5" t="s">
        <v>2000</v>
      </c>
      <c r="B764" s="5" t="s">
        <v>786</v>
      </c>
      <c r="C764" s="5" t="s">
        <v>946</v>
      </c>
      <c r="D764" s="5" t="s">
        <v>594</v>
      </c>
      <c r="E764" s="6" t="s">
        <v>1906</v>
      </c>
      <c r="F764" s="6" t="s">
        <v>1896</v>
      </c>
      <c r="G764" s="6" t="s">
        <v>2002</v>
      </c>
      <c r="H764" s="5"/>
      <c r="I764" s="6" t="s">
        <v>1894</v>
      </c>
    </row>
    <row r="765" customFormat="false" ht="15" hidden="false" customHeight="false" outlineLevel="0" collapsed="false">
      <c r="A765" s="5" t="s">
        <v>2000</v>
      </c>
      <c r="B765" s="5" t="s">
        <v>786</v>
      </c>
      <c r="C765" s="5" t="s">
        <v>946</v>
      </c>
      <c r="D765" s="5" t="s">
        <v>594</v>
      </c>
      <c r="E765" s="6" t="s">
        <v>1897</v>
      </c>
      <c r="F765" s="6" t="s">
        <v>1898</v>
      </c>
      <c r="G765" s="6" t="s">
        <v>1944</v>
      </c>
      <c r="H765" s="5"/>
      <c r="I765" s="6" t="s">
        <v>1894</v>
      </c>
    </row>
    <row r="766" customFormat="false" ht="15" hidden="false" customHeight="false" outlineLevel="0" collapsed="false">
      <c r="A766" s="5" t="s">
        <v>2000</v>
      </c>
      <c r="B766" s="5" t="s">
        <v>786</v>
      </c>
      <c r="C766" s="5" t="s">
        <v>946</v>
      </c>
      <c r="D766" s="5" t="s">
        <v>594</v>
      </c>
      <c r="E766" s="6" t="s">
        <v>1899</v>
      </c>
      <c r="F766" s="6" t="s">
        <v>1900</v>
      </c>
      <c r="G766" s="6" t="s">
        <v>1901</v>
      </c>
      <c r="H766" s="5"/>
      <c r="I766" s="6" t="s">
        <v>1894</v>
      </c>
    </row>
    <row r="767" customFormat="false" ht="15" hidden="false" customHeight="false" outlineLevel="0" collapsed="false">
      <c r="A767" s="5" t="s">
        <v>2000</v>
      </c>
      <c r="B767" s="5" t="s">
        <v>786</v>
      </c>
      <c r="C767" s="5" t="s">
        <v>946</v>
      </c>
      <c r="D767" s="5" t="s">
        <v>594</v>
      </c>
      <c r="E767" s="6" t="s">
        <v>1902</v>
      </c>
      <c r="F767" s="6" t="s">
        <v>1903</v>
      </c>
      <c r="G767" s="6" t="s">
        <v>1901</v>
      </c>
      <c r="H767" s="5"/>
      <c r="I767" s="6" t="s">
        <v>1894</v>
      </c>
    </row>
    <row r="768" customFormat="false" ht="15" hidden="false" customHeight="false" outlineLevel="0" collapsed="false">
      <c r="A768" s="5" t="s">
        <v>2003</v>
      </c>
      <c r="B768" s="5" t="s">
        <v>786</v>
      </c>
      <c r="C768" s="5" t="s">
        <v>949</v>
      </c>
      <c r="D768" s="5" t="s">
        <v>760</v>
      </c>
      <c r="E768" s="6" t="s">
        <v>1891</v>
      </c>
      <c r="F768" s="6" t="s">
        <v>1892</v>
      </c>
      <c r="G768" s="6" t="s">
        <v>1893</v>
      </c>
      <c r="H768" s="5"/>
      <c r="I768" s="6" t="s">
        <v>1894</v>
      </c>
    </row>
    <row r="769" customFormat="false" ht="15" hidden="false" customHeight="false" outlineLevel="0" collapsed="false">
      <c r="A769" s="5" t="s">
        <v>2003</v>
      </c>
      <c r="B769" s="5" t="s">
        <v>786</v>
      </c>
      <c r="C769" s="5" t="s">
        <v>949</v>
      </c>
      <c r="D769" s="5" t="s">
        <v>760</v>
      </c>
      <c r="E769" s="6" t="s">
        <v>1895</v>
      </c>
      <c r="F769" s="6" t="s">
        <v>1896</v>
      </c>
      <c r="G769" s="6" t="s">
        <v>1893</v>
      </c>
      <c r="H769" s="5"/>
      <c r="I769" s="6" t="s">
        <v>1894</v>
      </c>
    </row>
    <row r="770" customFormat="false" ht="15" hidden="false" customHeight="false" outlineLevel="0" collapsed="false">
      <c r="A770" s="5" t="s">
        <v>2003</v>
      </c>
      <c r="B770" s="5" t="s">
        <v>786</v>
      </c>
      <c r="C770" s="5" t="s">
        <v>949</v>
      </c>
      <c r="D770" s="5" t="s">
        <v>760</v>
      </c>
      <c r="E770" s="6" t="s">
        <v>1897</v>
      </c>
      <c r="F770" s="6" t="s">
        <v>1898</v>
      </c>
      <c r="G770" s="6" t="s">
        <v>1893</v>
      </c>
      <c r="H770" s="5"/>
      <c r="I770" s="6" t="s">
        <v>1894</v>
      </c>
    </row>
    <row r="771" customFormat="false" ht="15" hidden="false" customHeight="false" outlineLevel="0" collapsed="false">
      <c r="A771" s="5" t="s">
        <v>2003</v>
      </c>
      <c r="B771" s="5" t="s">
        <v>786</v>
      </c>
      <c r="C771" s="5" t="s">
        <v>949</v>
      </c>
      <c r="D771" s="5" t="s">
        <v>760</v>
      </c>
      <c r="E771" s="6" t="s">
        <v>1899</v>
      </c>
      <c r="F771" s="6" t="s">
        <v>1900</v>
      </c>
      <c r="G771" s="6" t="s">
        <v>1901</v>
      </c>
      <c r="H771" s="5"/>
      <c r="I771" s="6" t="s">
        <v>1894</v>
      </c>
    </row>
    <row r="772" customFormat="false" ht="15" hidden="false" customHeight="false" outlineLevel="0" collapsed="false">
      <c r="A772" s="5" t="s">
        <v>2003</v>
      </c>
      <c r="B772" s="5" t="s">
        <v>786</v>
      </c>
      <c r="C772" s="5" t="s">
        <v>949</v>
      </c>
      <c r="D772" s="5" t="s">
        <v>760</v>
      </c>
      <c r="E772" s="6" t="s">
        <v>1902</v>
      </c>
      <c r="F772" s="6" t="s">
        <v>1903</v>
      </c>
      <c r="G772" s="6" t="s">
        <v>1901</v>
      </c>
      <c r="H772" s="5"/>
      <c r="I772" s="6" t="s">
        <v>1894</v>
      </c>
    </row>
    <row r="773" customFormat="false" ht="15" hidden="false" customHeight="false" outlineLevel="0" collapsed="false">
      <c r="A773" s="5" t="s">
        <v>2004</v>
      </c>
      <c r="B773" s="5" t="s">
        <v>786</v>
      </c>
      <c r="C773" s="5" t="s">
        <v>952</v>
      </c>
      <c r="D773" s="5" t="s">
        <v>954</v>
      </c>
      <c r="E773" s="6" t="s">
        <v>1891</v>
      </c>
      <c r="F773" s="6" t="s">
        <v>1892</v>
      </c>
      <c r="G773" s="6" t="s">
        <v>1949</v>
      </c>
      <c r="H773" s="5"/>
      <c r="I773" s="6" t="s">
        <v>1894</v>
      </c>
    </row>
    <row r="774" customFormat="false" ht="15" hidden="false" customHeight="false" outlineLevel="0" collapsed="false">
      <c r="A774" s="5" t="s">
        <v>2004</v>
      </c>
      <c r="B774" s="5" t="s">
        <v>786</v>
      </c>
      <c r="C774" s="5" t="s">
        <v>952</v>
      </c>
      <c r="D774" s="5" t="s">
        <v>954</v>
      </c>
      <c r="E774" s="6" t="s">
        <v>1895</v>
      </c>
      <c r="F774" s="6" t="s">
        <v>1896</v>
      </c>
      <c r="G774" s="6" t="s">
        <v>1950</v>
      </c>
      <c r="H774" s="5"/>
      <c r="I774" s="6" t="s">
        <v>1894</v>
      </c>
    </row>
    <row r="775" customFormat="false" ht="15" hidden="false" customHeight="false" outlineLevel="0" collapsed="false">
      <c r="A775" s="5" t="s">
        <v>2004</v>
      </c>
      <c r="B775" s="5" t="s">
        <v>786</v>
      </c>
      <c r="C775" s="5" t="s">
        <v>952</v>
      </c>
      <c r="D775" s="5" t="s">
        <v>954</v>
      </c>
      <c r="E775" s="6" t="s">
        <v>1897</v>
      </c>
      <c r="F775" s="6" t="s">
        <v>1898</v>
      </c>
      <c r="G775" s="6" t="s">
        <v>1893</v>
      </c>
      <c r="H775" s="5"/>
      <c r="I775" s="6" t="s">
        <v>1894</v>
      </c>
    </row>
    <row r="776" customFormat="false" ht="15" hidden="false" customHeight="false" outlineLevel="0" collapsed="false">
      <c r="A776" s="5" t="s">
        <v>2004</v>
      </c>
      <c r="B776" s="5" t="s">
        <v>786</v>
      </c>
      <c r="C776" s="5" t="s">
        <v>952</v>
      </c>
      <c r="D776" s="5" t="s">
        <v>954</v>
      </c>
      <c r="E776" s="6" t="s">
        <v>1899</v>
      </c>
      <c r="F776" s="6" t="s">
        <v>1900</v>
      </c>
      <c r="G776" s="6" t="s">
        <v>1901</v>
      </c>
      <c r="H776" s="5"/>
      <c r="I776" s="6" t="s">
        <v>1894</v>
      </c>
    </row>
    <row r="777" customFormat="false" ht="15" hidden="false" customHeight="false" outlineLevel="0" collapsed="false">
      <c r="A777" s="5" t="s">
        <v>2004</v>
      </c>
      <c r="B777" s="5" t="s">
        <v>786</v>
      </c>
      <c r="C777" s="5" t="s">
        <v>952</v>
      </c>
      <c r="D777" s="5" t="s">
        <v>954</v>
      </c>
      <c r="E777" s="6" t="s">
        <v>1902</v>
      </c>
      <c r="F777" s="6" t="s">
        <v>1903</v>
      </c>
      <c r="G777" s="6" t="s">
        <v>1901</v>
      </c>
      <c r="H777" s="5"/>
      <c r="I777" s="6" t="s">
        <v>1894</v>
      </c>
    </row>
    <row r="778" customFormat="false" ht="15" hidden="false" customHeight="false" outlineLevel="0" collapsed="false">
      <c r="A778" s="5" t="s">
        <v>2005</v>
      </c>
      <c r="B778" s="5" t="s">
        <v>786</v>
      </c>
      <c r="C778" s="5" t="s">
        <v>957</v>
      </c>
      <c r="D778" s="5" t="s">
        <v>958</v>
      </c>
      <c r="E778" s="6" t="s">
        <v>1891</v>
      </c>
      <c r="F778" s="6" t="s">
        <v>1892</v>
      </c>
      <c r="G778" s="6" t="s">
        <v>1923</v>
      </c>
      <c r="H778" s="5"/>
      <c r="I778" s="6" t="s">
        <v>1894</v>
      </c>
    </row>
    <row r="779" customFormat="false" ht="15" hidden="false" customHeight="false" outlineLevel="0" collapsed="false">
      <c r="A779" s="5" t="s">
        <v>2005</v>
      </c>
      <c r="B779" s="5" t="s">
        <v>786</v>
      </c>
      <c r="C779" s="5" t="s">
        <v>957</v>
      </c>
      <c r="D779" s="5" t="s">
        <v>958</v>
      </c>
      <c r="E779" s="6" t="s">
        <v>1906</v>
      </c>
      <c r="F779" s="6" t="s">
        <v>1896</v>
      </c>
      <c r="G779" s="6" t="s">
        <v>1939</v>
      </c>
      <c r="H779" s="5"/>
      <c r="I779" s="6" t="s">
        <v>1894</v>
      </c>
    </row>
    <row r="780" customFormat="false" ht="15" hidden="false" customHeight="false" outlineLevel="0" collapsed="false">
      <c r="A780" s="5" t="s">
        <v>2005</v>
      </c>
      <c r="B780" s="5" t="s">
        <v>786</v>
      </c>
      <c r="C780" s="5" t="s">
        <v>957</v>
      </c>
      <c r="D780" s="5" t="s">
        <v>958</v>
      </c>
      <c r="E780" s="6" t="s">
        <v>1897</v>
      </c>
      <c r="F780" s="6" t="s">
        <v>1898</v>
      </c>
      <c r="G780" s="6" t="s">
        <v>1893</v>
      </c>
      <c r="H780" s="5"/>
      <c r="I780" s="6" t="s">
        <v>1894</v>
      </c>
    </row>
    <row r="781" customFormat="false" ht="15" hidden="false" customHeight="false" outlineLevel="0" collapsed="false">
      <c r="A781" s="5" t="s">
        <v>2005</v>
      </c>
      <c r="B781" s="5" t="s">
        <v>786</v>
      </c>
      <c r="C781" s="5" t="s">
        <v>957</v>
      </c>
      <c r="D781" s="5" t="s">
        <v>958</v>
      </c>
      <c r="E781" s="6" t="s">
        <v>1899</v>
      </c>
      <c r="F781" s="6" t="s">
        <v>1900</v>
      </c>
      <c r="G781" s="6" t="s">
        <v>1901</v>
      </c>
      <c r="H781" s="5"/>
      <c r="I781" s="6" t="s">
        <v>1894</v>
      </c>
    </row>
    <row r="782" customFormat="false" ht="15" hidden="false" customHeight="false" outlineLevel="0" collapsed="false">
      <c r="A782" s="5" t="s">
        <v>2005</v>
      </c>
      <c r="B782" s="5" t="s">
        <v>786</v>
      </c>
      <c r="C782" s="5" t="s">
        <v>957</v>
      </c>
      <c r="D782" s="5" t="s">
        <v>958</v>
      </c>
      <c r="E782" s="6" t="s">
        <v>1902</v>
      </c>
      <c r="F782" s="6" t="s">
        <v>1903</v>
      </c>
      <c r="G782" s="6" t="s">
        <v>1901</v>
      </c>
      <c r="H782" s="5"/>
      <c r="I782" s="6" t="s">
        <v>1894</v>
      </c>
    </row>
    <row r="783" customFormat="false" ht="15" hidden="false" customHeight="false" outlineLevel="0" collapsed="false">
      <c r="A783" s="5" t="s">
        <v>2006</v>
      </c>
      <c r="B783" s="5" t="s">
        <v>786</v>
      </c>
      <c r="C783" s="5" t="s">
        <v>961</v>
      </c>
      <c r="D783" s="5" t="s">
        <v>745</v>
      </c>
      <c r="E783" s="6" t="s">
        <v>1891</v>
      </c>
      <c r="F783" s="6" t="s">
        <v>1892</v>
      </c>
      <c r="G783" s="6" t="s">
        <v>2007</v>
      </c>
      <c r="H783" s="5"/>
      <c r="I783" s="6" t="s">
        <v>1894</v>
      </c>
    </row>
    <row r="784" customFormat="false" ht="15" hidden="false" customHeight="false" outlineLevel="0" collapsed="false">
      <c r="A784" s="5" t="s">
        <v>2006</v>
      </c>
      <c r="B784" s="5" t="s">
        <v>786</v>
      </c>
      <c r="C784" s="5" t="s">
        <v>961</v>
      </c>
      <c r="D784" s="5" t="s">
        <v>745</v>
      </c>
      <c r="E784" s="6" t="s">
        <v>1906</v>
      </c>
      <c r="F784" s="6" t="s">
        <v>1896</v>
      </c>
      <c r="G784" s="6" t="s">
        <v>2008</v>
      </c>
      <c r="H784" s="5"/>
      <c r="I784" s="6" t="s">
        <v>1894</v>
      </c>
    </row>
    <row r="785" customFormat="false" ht="15" hidden="false" customHeight="false" outlineLevel="0" collapsed="false">
      <c r="A785" s="5" t="s">
        <v>2006</v>
      </c>
      <c r="B785" s="5" t="s">
        <v>786</v>
      </c>
      <c r="C785" s="5" t="s">
        <v>961</v>
      </c>
      <c r="D785" s="5" t="s">
        <v>745</v>
      </c>
      <c r="E785" s="6" t="s">
        <v>1897</v>
      </c>
      <c r="F785" s="6" t="s">
        <v>1898</v>
      </c>
      <c r="G785" s="6" t="s">
        <v>1893</v>
      </c>
      <c r="H785" s="5"/>
      <c r="I785" s="6" t="s">
        <v>1894</v>
      </c>
    </row>
    <row r="786" customFormat="false" ht="15" hidden="false" customHeight="false" outlineLevel="0" collapsed="false">
      <c r="A786" s="5" t="s">
        <v>2006</v>
      </c>
      <c r="B786" s="5" t="s">
        <v>786</v>
      </c>
      <c r="C786" s="5" t="s">
        <v>961</v>
      </c>
      <c r="D786" s="5" t="s">
        <v>745</v>
      </c>
      <c r="E786" s="6" t="s">
        <v>1899</v>
      </c>
      <c r="F786" s="6" t="s">
        <v>1900</v>
      </c>
      <c r="G786" s="6" t="s">
        <v>1901</v>
      </c>
      <c r="H786" s="5"/>
      <c r="I786" s="6" t="s">
        <v>1894</v>
      </c>
    </row>
    <row r="787" customFormat="false" ht="15" hidden="false" customHeight="false" outlineLevel="0" collapsed="false">
      <c r="A787" s="5" t="s">
        <v>2006</v>
      </c>
      <c r="B787" s="5" t="s">
        <v>786</v>
      </c>
      <c r="C787" s="5" t="s">
        <v>961</v>
      </c>
      <c r="D787" s="5" t="s">
        <v>745</v>
      </c>
      <c r="E787" s="6" t="s">
        <v>1902</v>
      </c>
      <c r="F787" s="6" t="s">
        <v>1903</v>
      </c>
      <c r="G787" s="6" t="s">
        <v>1901</v>
      </c>
      <c r="H787" s="5"/>
      <c r="I787" s="6" t="s">
        <v>1894</v>
      </c>
    </row>
    <row r="788" customFormat="false" ht="15" hidden="false" customHeight="false" outlineLevel="0" collapsed="false">
      <c r="A788" s="5" t="s">
        <v>2009</v>
      </c>
      <c r="B788" s="5" t="s">
        <v>786</v>
      </c>
      <c r="C788" s="5" t="s">
        <v>962</v>
      </c>
      <c r="D788" s="5" t="s">
        <v>745</v>
      </c>
      <c r="E788" s="6" t="s">
        <v>1891</v>
      </c>
      <c r="F788" s="6" t="s">
        <v>1892</v>
      </c>
      <c r="G788" s="6" t="s">
        <v>2007</v>
      </c>
      <c r="H788" s="5"/>
      <c r="I788" s="6" t="s">
        <v>1894</v>
      </c>
    </row>
    <row r="789" customFormat="false" ht="15" hidden="false" customHeight="false" outlineLevel="0" collapsed="false">
      <c r="A789" s="5" t="s">
        <v>2009</v>
      </c>
      <c r="B789" s="5" t="s">
        <v>786</v>
      </c>
      <c r="C789" s="5" t="s">
        <v>962</v>
      </c>
      <c r="D789" s="5" t="s">
        <v>745</v>
      </c>
      <c r="E789" s="6" t="s">
        <v>1906</v>
      </c>
      <c r="F789" s="6" t="s">
        <v>1896</v>
      </c>
      <c r="G789" s="6" t="s">
        <v>2008</v>
      </c>
      <c r="H789" s="5"/>
      <c r="I789" s="6" t="s">
        <v>1894</v>
      </c>
    </row>
    <row r="790" customFormat="false" ht="15" hidden="false" customHeight="false" outlineLevel="0" collapsed="false">
      <c r="A790" s="5" t="s">
        <v>2009</v>
      </c>
      <c r="B790" s="5" t="s">
        <v>786</v>
      </c>
      <c r="C790" s="5" t="s">
        <v>962</v>
      </c>
      <c r="D790" s="5" t="s">
        <v>745</v>
      </c>
      <c r="E790" s="6" t="s">
        <v>1897</v>
      </c>
      <c r="F790" s="6" t="s">
        <v>1898</v>
      </c>
      <c r="G790" s="6" t="s">
        <v>1893</v>
      </c>
      <c r="H790" s="5"/>
      <c r="I790" s="6" t="s">
        <v>1894</v>
      </c>
    </row>
    <row r="791" customFormat="false" ht="15" hidden="false" customHeight="false" outlineLevel="0" collapsed="false">
      <c r="A791" s="5" t="s">
        <v>2009</v>
      </c>
      <c r="B791" s="5" t="s">
        <v>786</v>
      </c>
      <c r="C791" s="5" t="s">
        <v>962</v>
      </c>
      <c r="D791" s="5" t="s">
        <v>745</v>
      </c>
      <c r="E791" s="6" t="s">
        <v>1899</v>
      </c>
      <c r="F791" s="6" t="s">
        <v>1900</v>
      </c>
      <c r="G791" s="6" t="s">
        <v>1901</v>
      </c>
      <c r="H791" s="5"/>
      <c r="I791" s="6" t="s">
        <v>1894</v>
      </c>
    </row>
    <row r="792" customFormat="false" ht="15" hidden="false" customHeight="false" outlineLevel="0" collapsed="false">
      <c r="A792" s="5" t="s">
        <v>2009</v>
      </c>
      <c r="B792" s="5" t="s">
        <v>786</v>
      </c>
      <c r="C792" s="5" t="s">
        <v>962</v>
      </c>
      <c r="D792" s="5" t="s">
        <v>745</v>
      </c>
      <c r="E792" s="6" t="s">
        <v>1902</v>
      </c>
      <c r="F792" s="6" t="s">
        <v>1903</v>
      </c>
      <c r="G792" s="6" t="s">
        <v>1901</v>
      </c>
      <c r="H792" s="5"/>
      <c r="I792" s="6" t="s">
        <v>1894</v>
      </c>
    </row>
    <row r="793" customFormat="false" ht="15" hidden="false" customHeight="false" outlineLevel="0" collapsed="false">
      <c r="A793" s="5" t="s">
        <v>2010</v>
      </c>
      <c r="B793" s="5" t="s">
        <v>786</v>
      </c>
      <c r="C793" s="5" t="s">
        <v>968</v>
      </c>
      <c r="D793" s="5" t="s">
        <v>765</v>
      </c>
      <c r="E793" s="6" t="s">
        <v>1891</v>
      </c>
      <c r="F793" s="6" t="s">
        <v>1892</v>
      </c>
      <c r="G793" s="6" t="s">
        <v>1893</v>
      </c>
      <c r="H793" s="5"/>
      <c r="I793" s="6" t="s">
        <v>1894</v>
      </c>
    </row>
    <row r="794" customFormat="false" ht="15" hidden="false" customHeight="false" outlineLevel="0" collapsed="false">
      <c r="A794" s="5" t="s">
        <v>2010</v>
      </c>
      <c r="B794" s="5" t="s">
        <v>786</v>
      </c>
      <c r="C794" s="5" t="s">
        <v>968</v>
      </c>
      <c r="D794" s="5" t="s">
        <v>765</v>
      </c>
      <c r="E794" s="6" t="s">
        <v>1895</v>
      </c>
      <c r="F794" s="6" t="s">
        <v>1896</v>
      </c>
      <c r="G794" s="6" t="s">
        <v>1893</v>
      </c>
      <c r="H794" s="5"/>
      <c r="I794" s="6" t="s">
        <v>1894</v>
      </c>
    </row>
    <row r="795" customFormat="false" ht="15" hidden="false" customHeight="false" outlineLevel="0" collapsed="false">
      <c r="A795" s="5" t="s">
        <v>2010</v>
      </c>
      <c r="B795" s="5" t="s">
        <v>786</v>
      </c>
      <c r="C795" s="5" t="s">
        <v>968</v>
      </c>
      <c r="D795" s="5" t="s">
        <v>765</v>
      </c>
      <c r="E795" s="6" t="s">
        <v>1897</v>
      </c>
      <c r="F795" s="6" t="s">
        <v>1898</v>
      </c>
      <c r="G795" s="6" t="s">
        <v>1893</v>
      </c>
      <c r="H795" s="5"/>
      <c r="I795" s="6" t="s">
        <v>1894</v>
      </c>
    </row>
    <row r="796" customFormat="false" ht="15" hidden="false" customHeight="false" outlineLevel="0" collapsed="false">
      <c r="A796" s="5" t="s">
        <v>2010</v>
      </c>
      <c r="B796" s="5" t="s">
        <v>786</v>
      </c>
      <c r="C796" s="5" t="s">
        <v>968</v>
      </c>
      <c r="D796" s="5" t="s">
        <v>765</v>
      </c>
      <c r="E796" s="6" t="s">
        <v>1899</v>
      </c>
      <c r="F796" s="6" t="s">
        <v>1900</v>
      </c>
      <c r="G796" s="6" t="s">
        <v>1901</v>
      </c>
      <c r="H796" s="5"/>
      <c r="I796" s="6" t="s">
        <v>1894</v>
      </c>
    </row>
    <row r="797" customFormat="false" ht="15" hidden="false" customHeight="false" outlineLevel="0" collapsed="false">
      <c r="A797" s="5" t="s">
        <v>2010</v>
      </c>
      <c r="B797" s="5" t="s">
        <v>786</v>
      </c>
      <c r="C797" s="5" t="s">
        <v>968</v>
      </c>
      <c r="D797" s="5" t="s">
        <v>765</v>
      </c>
      <c r="E797" s="6" t="s">
        <v>1902</v>
      </c>
      <c r="F797" s="6" t="s">
        <v>1903</v>
      </c>
      <c r="G797" s="6" t="s">
        <v>1901</v>
      </c>
      <c r="H797" s="5"/>
      <c r="I797" s="6" t="s">
        <v>1894</v>
      </c>
    </row>
    <row r="798" customFormat="false" ht="15" hidden="false" customHeight="false" outlineLevel="0" collapsed="false">
      <c r="A798" s="5" t="s">
        <v>2011</v>
      </c>
      <c r="B798" s="5" t="s">
        <v>786</v>
      </c>
      <c r="C798" s="5" t="s">
        <v>971</v>
      </c>
      <c r="D798" s="5" t="s">
        <v>615</v>
      </c>
      <c r="E798" s="6" t="s">
        <v>1891</v>
      </c>
      <c r="F798" s="6" t="s">
        <v>1892</v>
      </c>
      <c r="G798" s="6" t="s">
        <v>2002</v>
      </c>
      <c r="H798" s="5"/>
      <c r="I798" s="6" t="s">
        <v>1894</v>
      </c>
    </row>
    <row r="799" customFormat="false" ht="15" hidden="false" customHeight="false" outlineLevel="0" collapsed="false">
      <c r="A799" s="5" t="s">
        <v>2011</v>
      </c>
      <c r="B799" s="5" t="s">
        <v>786</v>
      </c>
      <c r="C799" s="5" t="s">
        <v>971</v>
      </c>
      <c r="D799" s="5" t="s">
        <v>615</v>
      </c>
      <c r="E799" s="6" t="s">
        <v>1906</v>
      </c>
      <c r="F799" s="6" t="s">
        <v>1896</v>
      </c>
      <c r="G799" s="6" t="s">
        <v>2012</v>
      </c>
      <c r="H799" s="5"/>
      <c r="I799" s="6" t="s">
        <v>1894</v>
      </c>
    </row>
    <row r="800" customFormat="false" ht="15" hidden="false" customHeight="false" outlineLevel="0" collapsed="false">
      <c r="A800" s="5" t="s">
        <v>2011</v>
      </c>
      <c r="B800" s="5" t="s">
        <v>786</v>
      </c>
      <c r="C800" s="5" t="s">
        <v>971</v>
      </c>
      <c r="D800" s="5" t="s">
        <v>615</v>
      </c>
      <c r="E800" s="6" t="s">
        <v>1897</v>
      </c>
      <c r="F800" s="6" t="s">
        <v>1898</v>
      </c>
      <c r="G800" s="6" t="s">
        <v>1893</v>
      </c>
      <c r="H800" s="5"/>
      <c r="I800" s="6" t="s">
        <v>1894</v>
      </c>
    </row>
    <row r="801" customFormat="false" ht="15" hidden="false" customHeight="false" outlineLevel="0" collapsed="false">
      <c r="A801" s="5" t="s">
        <v>2011</v>
      </c>
      <c r="B801" s="5" t="s">
        <v>786</v>
      </c>
      <c r="C801" s="5" t="s">
        <v>971</v>
      </c>
      <c r="D801" s="5" t="s">
        <v>615</v>
      </c>
      <c r="E801" s="6" t="s">
        <v>1899</v>
      </c>
      <c r="F801" s="6" t="s">
        <v>1900</v>
      </c>
      <c r="G801" s="6" t="s">
        <v>1901</v>
      </c>
      <c r="H801" s="5"/>
      <c r="I801" s="6" t="s">
        <v>1894</v>
      </c>
    </row>
    <row r="802" customFormat="false" ht="15" hidden="false" customHeight="false" outlineLevel="0" collapsed="false">
      <c r="A802" s="5" t="s">
        <v>2011</v>
      </c>
      <c r="B802" s="5" t="s">
        <v>786</v>
      </c>
      <c r="C802" s="5" t="s">
        <v>971</v>
      </c>
      <c r="D802" s="5" t="s">
        <v>615</v>
      </c>
      <c r="E802" s="6" t="s">
        <v>1902</v>
      </c>
      <c r="F802" s="6" t="s">
        <v>1903</v>
      </c>
      <c r="G802" s="6" t="s">
        <v>1901</v>
      </c>
      <c r="H802" s="5"/>
      <c r="I802" s="6" t="s">
        <v>1894</v>
      </c>
    </row>
    <row r="803" customFormat="false" ht="15" hidden="false" customHeight="false" outlineLevel="0" collapsed="false">
      <c r="A803" s="5" t="s">
        <v>2013</v>
      </c>
      <c r="B803" s="5" t="s">
        <v>786</v>
      </c>
      <c r="C803" s="5" t="s">
        <v>976</v>
      </c>
      <c r="D803" s="5" t="s">
        <v>622</v>
      </c>
      <c r="E803" s="6" t="s">
        <v>1891</v>
      </c>
      <c r="F803" s="6" t="s">
        <v>1892</v>
      </c>
      <c r="G803" s="6" t="s">
        <v>1987</v>
      </c>
      <c r="H803" s="5"/>
      <c r="I803" s="6" t="s">
        <v>1894</v>
      </c>
    </row>
    <row r="804" customFormat="false" ht="15" hidden="false" customHeight="false" outlineLevel="0" collapsed="false">
      <c r="A804" s="5" t="s">
        <v>2013</v>
      </c>
      <c r="B804" s="5" t="s">
        <v>786</v>
      </c>
      <c r="C804" s="5" t="s">
        <v>976</v>
      </c>
      <c r="D804" s="5" t="s">
        <v>622</v>
      </c>
      <c r="E804" s="6" t="s">
        <v>1906</v>
      </c>
      <c r="F804" s="6" t="s">
        <v>1896</v>
      </c>
      <c r="G804" s="6" t="s">
        <v>2014</v>
      </c>
      <c r="H804" s="5"/>
      <c r="I804" s="6" t="s">
        <v>1894</v>
      </c>
    </row>
    <row r="805" customFormat="false" ht="15" hidden="false" customHeight="false" outlineLevel="0" collapsed="false">
      <c r="A805" s="5" t="s">
        <v>2013</v>
      </c>
      <c r="B805" s="5" t="s">
        <v>786</v>
      </c>
      <c r="C805" s="5" t="s">
        <v>976</v>
      </c>
      <c r="D805" s="5" t="s">
        <v>622</v>
      </c>
      <c r="E805" s="6" t="s">
        <v>1897</v>
      </c>
      <c r="F805" s="6" t="s">
        <v>1898</v>
      </c>
      <c r="G805" s="6" t="s">
        <v>2015</v>
      </c>
      <c r="H805" s="5"/>
      <c r="I805" s="6" t="s">
        <v>1894</v>
      </c>
    </row>
    <row r="806" customFormat="false" ht="15" hidden="false" customHeight="false" outlineLevel="0" collapsed="false">
      <c r="A806" s="5" t="s">
        <v>2013</v>
      </c>
      <c r="B806" s="5" t="s">
        <v>786</v>
      </c>
      <c r="C806" s="5" t="s">
        <v>976</v>
      </c>
      <c r="D806" s="5" t="s">
        <v>622</v>
      </c>
      <c r="E806" s="6" t="s">
        <v>1899</v>
      </c>
      <c r="F806" s="6" t="s">
        <v>1900</v>
      </c>
      <c r="G806" s="6" t="s">
        <v>1901</v>
      </c>
      <c r="H806" s="5"/>
      <c r="I806" s="6" t="s">
        <v>1894</v>
      </c>
    </row>
    <row r="807" customFormat="false" ht="15" hidden="false" customHeight="false" outlineLevel="0" collapsed="false">
      <c r="A807" s="5" t="s">
        <v>2013</v>
      </c>
      <c r="B807" s="5" t="s">
        <v>786</v>
      </c>
      <c r="C807" s="5" t="s">
        <v>976</v>
      </c>
      <c r="D807" s="5" t="s">
        <v>622</v>
      </c>
      <c r="E807" s="6" t="s">
        <v>1902</v>
      </c>
      <c r="F807" s="6" t="s">
        <v>1903</v>
      </c>
      <c r="G807" s="6" t="s">
        <v>1901</v>
      </c>
      <c r="H807" s="5"/>
      <c r="I807" s="6" t="s">
        <v>1894</v>
      </c>
    </row>
    <row r="808" customFormat="false" ht="15" hidden="false" customHeight="false" outlineLevel="0" collapsed="false">
      <c r="A808" s="5" t="s">
        <v>2016</v>
      </c>
      <c r="B808" s="5" t="s">
        <v>786</v>
      </c>
      <c r="C808" s="5" t="s">
        <v>981</v>
      </c>
      <c r="D808" s="5" t="s">
        <v>628</v>
      </c>
      <c r="E808" s="6" t="s">
        <v>1891</v>
      </c>
      <c r="F808" s="6" t="s">
        <v>1892</v>
      </c>
      <c r="G808" s="6" t="s">
        <v>2017</v>
      </c>
      <c r="H808" s="5"/>
      <c r="I808" s="6" t="s">
        <v>1894</v>
      </c>
    </row>
    <row r="809" customFormat="false" ht="15" hidden="false" customHeight="false" outlineLevel="0" collapsed="false">
      <c r="A809" s="5" t="s">
        <v>2016</v>
      </c>
      <c r="B809" s="5" t="s">
        <v>786</v>
      </c>
      <c r="C809" s="5" t="s">
        <v>981</v>
      </c>
      <c r="D809" s="5" t="s">
        <v>628</v>
      </c>
      <c r="E809" s="6" t="s">
        <v>1906</v>
      </c>
      <c r="F809" s="6" t="s">
        <v>1896</v>
      </c>
      <c r="G809" s="6" t="s">
        <v>2018</v>
      </c>
      <c r="H809" s="5"/>
      <c r="I809" s="6" t="s">
        <v>1894</v>
      </c>
    </row>
    <row r="810" customFormat="false" ht="15" hidden="false" customHeight="false" outlineLevel="0" collapsed="false">
      <c r="A810" s="5" t="s">
        <v>2016</v>
      </c>
      <c r="B810" s="5" t="s">
        <v>786</v>
      </c>
      <c r="C810" s="5" t="s">
        <v>981</v>
      </c>
      <c r="D810" s="5" t="s">
        <v>628</v>
      </c>
      <c r="E810" s="6" t="s">
        <v>1897</v>
      </c>
      <c r="F810" s="6" t="s">
        <v>1898</v>
      </c>
      <c r="G810" s="6" t="s">
        <v>1893</v>
      </c>
      <c r="H810" s="5"/>
      <c r="I810" s="6" t="s">
        <v>1894</v>
      </c>
    </row>
    <row r="811" customFormat="false" ht="15" hidden="false" customHeight="false" outlineLevel="0" collapsed="false">
      <c r="A811" s="5" t="s">
        <v>2016</v>
      </c>
      <c r="B811" s="5" t="s">
        <v>786</v>
      </c>
      <c r="C811" s="5" t="s">
        <v>981</v>
      </c>
      <c r="D811" s="5" t="s">
        <v>628</v>
      </c>
      <c r="E811" s="6" t="s">
        <v>1899</v>
      </c>
      <c r="F811" s="6" t="s">
        <v>1900</v>
      </c>
      <c r="G811" s="6" t="s">
        <v>1901</v>
      </c>
      <c r="H811" s="5"/>
      <c r="I811" s="6" t="s">
        <v>1894</v>
      </c>
    </row>
    <row r="812" customFormat="false" ht="15" hidden="false" customHeight="false" outlineLevel="0" collapsed="false">
      <c r="A812" s="5" t="s">
        <v>2016</v>
      </c>
      <c r="B812" s="5" t="s">
        <v>786</v>
      </c>
      <c r="C812" s="5" t="s">
        <v>981</v>
      </c>
      <c r="D812" s="5" t="s">
        <v>628</v>
      </c>
      <c r="E812" s="6" t="s">
        <v>1902</v>
      </c>
      <c r="F812" s="6" t="s">
        <v>1903</v>
      </c>
      <c r="G812" s="6" t="s">
        <v>1901</v>
      </c>
      <c r="H812" s="5"/>
      <c r="I812" s="6" t="s">
        <v>1894</v>
      </c>
    </row>
    <row r="813" customFormat="false" ht="15" hidden="false" customHeight="false" outlineLevel="0" collapsed="false">
      <c r="A813" s="5" t="s">
        <v>2019</v>
      </c>
      <c r="B813" s="5" t="s">
        <v>786</v>
      </c>
      <c r="C813" s="5" t="s">
        <v>984</v>
      </c>
      <c r="D813" s="5" t="s">
        <v>985</v>
      </c>
      <c r="E813" s="6" t="s">
        <v>1891</v>
      </c>
      <c r="F813" s="6" t="s">
        <v>1892</v>
      </c>
      <c r="G813" s="6" t="s">
        <v>2020</v>
      </c>
      <c r="H813" s="5"/>
      <c r="I813" s="6" t="s">
        <v>1894</v>
      </c>
    </row>
    <row r="814" customFormat="false" ht="15" hidden="false" customHeight="false" outlineLevel="0" collapsed="false">
      <c r="A814" s="5" t="s">
        <v>2019</v>
      </c>
      <c r="B814" s="5" t="s">
        <v>786</v>
      </c>
      <c r="C814" s="5" t="s">
        <v>984</v>
      </c>
      <c r="D814" s="5" t="s">
        <v>985</v>
      </c>
      <c r="E814" s="6" t="s">
        <v>1895</v>
      </c>
      <c r="F814" s="6" t="s">
        <v>1896</v>
      </c>
      <c r="G814" s="6" t="s">
        <v>2021</v>
      </c>
      <c r="H814" s="5"/>
      <c r="I814" s="6" t="s">
        <v>1894</v>
      </c>
    </row>
    <row r="815" customFormat="false" ht="15" hidden="false" customHeight="false" outlineLevel="0" collapsed="false">
      <c r="A815" s="5" t="s">
        <v>2019</v>
      </c>
      <c r="B815" s="5" t="s">
        <v>786</v>
      </c>
      <c r="C815" s="5" t="s">
        <v>984</v>
      </c>
      <c r="D815" s="5" t="s">
        <v>985</v>
      </c>
      <c r="E815" s="6" t="s">
        <v>1897</v>
      </c>
      <c r="F815" s="6" t="s">
        <v>1898</v>
      </c>
      <c r="G815" s="6" t="s">
        <v>1893</v>
      </c>
      <c r="H815" s="5"/>
      <c r="I815" s="6" t="s">
        <v>1894</v>
      </c>
    </row>
    <row r="816" customFormat="false" ht="15" hidden="false" customHeight="false" outlineLevel="0" collapsed="false">
      <c r="A816" s="5" t="s">
        <v>2019</v>
      </c>
      <c r="B816" s="5" t="s">
        <v>786</v>
      </c>
      <c r="C816" s="5" t="s">
        <v>984</v>
      </c>
      <c r="D816" s="5" t="s">
        <v>985</v>
      </c>
      <c r="E816" s="6" t="s">
        <v>1899</v>
      </c>
      <c r="F816" s="6" t="s">
        <v>1900</v>
      </c>
      <c r="G816" s="6" t="s">
        <v>1901</v>
      </c>
      <c r="H816" s="5"/>
      <c r="I816" s="6" t="s">
        <v>1894</v>
      </c>
    </row>
    <row r="817" customFormat="false" ht="15" hidden="false" customHeight="false" outlineLevel="0" collapsed="false">
      <c r="A817" s="5" t="s">
        <v>2019</v>
      </c>
      <c r="B817" s="5" t="s">
        <v>786</v>
      </c>
      <c r="C817" s="5" t="s">
        <v>984</v>
      </c>
      <c r="D817" s="5" t="s">
        <v>985</v>
      </c>
      <c r="E817" s="6" t="s">
        <v>1902</v>
      </c>
      <c r="F817" s="6" t="s">
        <v>1903</v>
      </c>
      <c r="G817" s="6" t="s">
        <v>1901</v>
      </c>
      <c r="H817" s="5"/>
      <c r="I817" s="6" t="s">
        <v>1894</v>
      </c>
    </row>
    <row r="818" customFormat="false" ht="15" hidden="false" customHeight="false" outlineLevel="0" collapsed="false">
      <c r="A818" s="5" t="s">
        <v>2022</v>
      </c>
      <c r="B818" s="5" t="s">
        <v>786</v>
      </c>
      <c r="C818" s="5" t="s">
        <v>988</v>
      </c>
      <c r="D818" s="5" t="s">
        <v>633</v>
      </c>
      <c r="E818" s="6" t="s">
        <v>1891</v>
      </c>
      <c r="F818" s="6" t="s">
        <v>1892</v>
      </c>
      <c r="G818" s="6" t="s">
        <v>2023</v>
      </c>
      <c r="H818" s="5"/>
      <c r="I818" s="6" t="s">
        <v>1894</v>
      </c>
    </row>
    <row r="819" customFormat="false" ht="15" hidden="false" customHeight="false" outlineLevel="0" collapsed="false">
      <c r="A819" s="5" t="s">
        <v>2022</v>
      </c>
      <c r="B819" s="5" t="s">
        <v>786</v>
      </c>
      <c r="C819" s="5" t="s">
        <v>988</v>
      </c>
      <c r="D819" s="5" t="s">
        <v>633</v>
      </c>
      <c r="E819" s="6" t="s">
        <v>1906</v>
      </c>
      <c r="F819" s="6" t="s">
        <v>1896</v>
      </c>
      <c r="G819" s="6" t="s">
        <v>2024</v>
      </c>
      <c r="H819" s="5"/>
      <c r="I819" s="6" t="s">
        <v>1894</v>
      </c>
    </row>
    <row r="820" customFormat="false" ht="15" hidden="false" customHeight="false" outlineLevel="0" collapsed="false">
      <c r="A820" s="5" t="s">
        <v>2022</v>
      </c>
      <c r="B820" s="5" t="s">
        <v>786</v>
      </c>
      <c r="C820" s="5" t="s">
        <v>988</v>
      </c>
      <c r="D820" s="5" t="s">
        <v>633</v>
      </c>
      <c r="E820" s="6" t="s">
        <v>1897</v>
      </c>
      <c r="F820" s="6" t="s">
        <v>1898</v>
      </c>
      <c r="G820" s="6" t="s">
        <v>1908</v>
      </c>
      <c r="H820" s="5"/>
      <c r="I820" s="6" t="s">
        <v>1894</v>
      </c>
    </row>
    <row r="821" customFormat="false" ht="15" hidden="false" customHeight="false" outlineLevel="0" collapsed="false">
      <c r="A821" s="5" t="s">
        <v>2022</v>
      </c>
      <c r="B821" s="5" t="s">
        <v>786</v>
      </c>
      <c r="C821" s="5" t="s">
        <v>988</v>
      </c>
      <c r="D821" s="5" t="s">
        <v>633</v>
      </c>
      <c r="E821" s="6" t="s">
        <v>1899</v>
      </c>
      <c r="F821" s="6" t="s">
        <v>1900</v>
      </c>
      <c r="G821" s="6" t="s">
        <v>1901</v>
      </c>
      <c r="H821" s="5"/>
      <c r="I821" s="6" t="s">
        <v>1894</v>
      </c>
    </row>
    <row r="822" customFormat="false" ht="15" hidden="false" customHeight="false" outlineLevel="0" collapsed="false">
      <c r="A822" s="5" t="s">
        <v>2022</v>
      </c>
      <c r="B822" s="5" t="s">
        <v>786</v>
      </c>
      <c r="C822" s="5" t="s">
        <v>988</v>
      </c>
      <c r="D822" s="5" t="s">
        <v>633</v>
      </c>
      <c r="E822" s="6" t="s">
        <v>1902</v>
      </c>
      <c r="F822" s="6" t="s">
        <v>1903</v>
      </c>
      <c r="G822" s="6" t="s">
        <v>1901</v>
      </c>
      <c r="H822" s="5"/>
      <c r="I822" s="6" t="s">
        <v>1894</v>
      </c>
    </row>
    <row r="823" customFormat="false" ht="124.6" hidden="false" customHeight="false" outlineLevel="0" collapsed="false">
      <c r="A823" s="5" t="s">
        <v>2025</v>
      </c>
      <c r="B823" s="5" t="s">
        <v>992</v>
      </c>
      <c r="C823" s="5" t="s">
        <v>993</v>
      </c>
      <c r="D823" s="5" t="s">
        <v>2026</v>
      </c>
      <c r="E823" s="6" t="s">
        <v>2027</v>
      </c>
      <c r="F823" s="6"/>
      <c r="G823" s="6" t="s">
        <v>2028</v>
      </c>
      <c r="H823" s="5"/>
      <c r="I823" s="6"/>
    </row>
    <row r="824" customFormat="false" ht="102.2" hidden="false" customHeight="false" outlineLevel="0" collapsed="false">
      <c r="A824" s="5" t="s">
        <v>2025</v>
      </c>
      <c r="B824" s="5" t="s">
        <v>992</v>
      </c>
      <c r="C824" s="5" t="s">
        <v>993</v>
      </c>
      <c r="D824" s="5" t="s">
        <v>2026</v>
      </c>
      <c r="E824" s="6" t="s">
        <v>2029</v>
      </c>
      <c r="F824" s="6"/>
      <c r="G824" s="6" t="s">
        <v>2030</v>
      </c>
      <c r="H824" s="5"/>
      <c r="I824" s="6"/>
    </row>
    <row r="825" customFormat="false" ht="225.35" hidden="false" customHeight="false" outlineLevel="0" collapsed="false">
      <c r="A825" s="5" t="s">
        <v>2025</v>
      </c>
      <c r="B825" s="5" t="s">
        <v>992</v>
      </c>
      <c r="C825" s="5" t="s">
        <v>993</v>
      </c>
      <c r="D825" s="5" t="s">
        <v>2031</v>
      </c>
      <c r="E825" s="6" t="s">
        <v>2032</v>
      </c>
      <c r="F825" s="6"/>
      <c r="G825" s="6" t="s">
        <v>2033</v>
      </c>
      <c r="H825" s="5"/>
      <c r="I825" s="6"/>
    </row>
    <row r="826" customFormat="false" ht="202.95" hidden="false" customHeight="false" outlineLevel="0" collapsed="false">
      <c r="A826" s="5" t="s">
        <v>2034</v>
      </c>
      <c r="B826" s="5" t="s">
        <v>992</v>
      </c>
      <c r="C826" s="5" t="s">
        <v>999</v>
      </c>
      <c r="D826" s="5" t="s">
        <v>2035</v>
      </c>
      <c r="E826" s="6" t="s">
        <v>2036</v>
      </c>
      <c r="F826" s="6"/>
      <c r="G826" s="6" t="s">
        <v>2037</v>
      </c>
      <c r="H826" s="5"/>
      <c r="I826" s="6"/>
    </row>
    <row r="827" customFormat="false" ht="113.4" hidden="false" customHeight="false" outlineLevel="0" collapsed="false">
      <c r="A827" s="5" t="s">
        <v>2034</v>
      </c>
      <c r="B827" s="5" t="s">
        <v>992</v>
      </c>
      <c r="C827" s="5" t="s">
        <v>999</v>
      </c>
      <c r="D827" s="5" t="s">
        <v>2026</v>
      </c>
      <c r="E827" s="6" t="s">
        <v>2038</v>
      </c>
      <c r="F827" s="6"/>
      <c r="G827" s="6" t="s">
        <v>2039</v>
      </c>
      <c r="H827" s="5"/>
      <c r="I827" s="6"/>
    </row>
    <row r="828" customFormat="false" ht="113.4" hidden="false" customHeight="false" outlineLevel="0" collapsed="false">
      <c r="A828" s="5" t="s">
        <v>2034</v>
      </c>
      <c r="B828" s="5" t="s">
        <v>992</v>
      </c>
      <c r="C828" s="5" t="s">
        <v>999</v>
      </c>
      <c r="D828" s="5" t="s">
        <v>2026</v>
      </c>
      <c r="E828" s="6" t="s">
        <v>2040</v>
      </c>
      <c r="F828" s="6"/>
      <c r="G828" s="6" t="s">
        <v>2041</v>
      </c>
      <c r="H828" s="5"/>
      <c r="I828" s="6"/>
    </row>
    <row r="829" customFormat="false" ht="35.05" hidden="false" customHeight="false" outlineLevel="0" collapsed="false">
      <c r="A829" s="5" t="s">
        <v>2042</v>
      </c>
      <c r="B829" s="5" t="s">
        <v>1005</v>
      </c>
      <c r="C829" s="5"/>
      <c r="D829" s="5" t="s">
        <v>1009</v>
      </c>
      <c r="E829" s="6" t="s">
        <v>2043</v>
      </c>
      <c r="F829" s="6" t="s">
        <v>2044</v>
      </c>
      <c r="G829" s="6" t="s">
        <v>2045</v>
      </c>
      <c r="H829" s="5"/>
      <c r="I829" s="6" t="s">
        <v>2046</v>
      </c>
    </row>
    <row r="830" customFormat="false" ht="23.85" hidden="false" customHeight="false" outlineLevel="0" collapsed="false">
      <c r="A830" s="5" t="s">
        <v>2042</v>
      </c>
      <c r="B830" s="5" t="s">
        <v>1005</v>
      </c>
      <c r="C830" s="5"/>
      <c r="D830" s="5" t="s">
        <v>1009</v>
      </c>
      <c r="E830" s="6" t="s">
        <v>2047</v>
      </c>
      <c r="F830" s="6" t="s">
        <v>2048</v>
      </c>
      <c r="G830" s="6" t="s">
        <v>2045</v>
      </c>
      <c r="H830" s="5"/>
      <c r="I830" s="6" t="s">
        <v>2049</v>
      </c>
    </row>
    <row r="831" customFormat="false" ht="15" hidden="false" customHeight="false" outlineLevel="0" collapsed="false">
      <c r="A831" s="5" t="s">
        <v>2042</v>
      </c>
      <c r="B831" s="5" t="s">
        <v>1005</v>
      </c>
      <c r="C831" s="5"/>
      <c r="D831" s="5" t="s">
        <v>1009</v>
      </c>
      <c r="E831" s="6" t="s">
        <v>2050</v>
      </c>
      <c r="F831" s="6" t="s">
        <v>2051</v>
      </c>
      <c r="G831" s="6" t="s">
        <v>2052</v>
      </c>
      <c r="H831" s="5"/>
      <c r="I831" s="6" t="s">
        <v>2053</v>
      </c>
    </row>
    <row r="832" customFormat="false" ht="15" hidden="false" customHeight="false" outlineLevel="0" collapsed="false">
      <c r="A832" s="5" t="s">
        <v>2042</v>
      </c>
      <c r="B832" s="5" t="s">
        <v>1005</v>
      </c>
      <c r="C832" s="5"/>
      <c r="D832" s="5" t="s">
        <v>1009</v>
      </c>
      <c r="E832" s="6" t="s">
        <v>2054</v>
      </c>
      <c r="F832" s="6" t="s">
        <v>2055</v>
      </c>
      <c r="G832" s="6" t="s">
        <v>2045</v>
      </c>
      <c r="H832" s="5"/>
      <c r="I832" s="6" t="s">
        <v>2056</v>
      </c>
    </row>
    <row r="833" customFormat="false" ht="15" hidden="false" customHeight="false" outlineLevel="0" collapsed="false">
      <c r="A833" s="5" t="s">
        <v>2042</v>
      </c>
      <c r="B833" s="5" t="s">
        <v>1005</v>
      </c>
      <c r="C833" s="5"/>
      <c r="D833" s="5" t="s">
        <v>1009</v>
      </c>
      <c r="E833" s="6" t="s">
        <v>2057</v>
      </c>
      <c r="F833" s="6" t="s">
        <v>2058</v>
      </c>
      <c r="G833" s="6" t="s">
        <v>2059</v>
      </c>
      <c r="H833" s="5"/>
      <c r="I833" s="6" t="s">
        <v>2049</v>
      </c>
    </row>
    <row r="834" customFormat="false" ht="15" hidden="false" customHeight="false" outlineLevel="0" collapsed="false">
      <c r="A834" s="5" t="s">
        <v>2042</v>
      </c>
      <c r="B834" s="5" t="s">
        <v>1005</v>
      </c>
      <c r="C834" s="5"/>
      <c r="D834" s="5" t="s">
        <v>1009</v>
      </c>
      <c r="E834" s="6" t="s">
        <v>2060</v>
      </c>
      <c r="F834" s="6" t="s">
        <v>2061</v>
      </c>
      <c r="G834" s="6" t="s">
        <v>2062</v>
      </c>
      <c r="H834" s="5"/>
      <c r="I834" s="6" t="s">
        <v>2049</v>
      </c>
    </row>
    <row r="835" customFormat="false" ht="15" hidden="false" customHeight="false" outlineLevel="0" collapsed="false">
      <c r="A835" s="5" t="s">
        <v>2042</v>
      </c>
      <c r="B835" s="5" t="s">
        <v>1005</v>
      </c>
      <c r="C835" s="5"/>
      <c r="D835" s="5" t="s">
        <v>1009</v>
      </c>
      <c r="E835" s="6" t="s">
        <v>2063</v>
      </c>
      <c r="F835" s="6" t="s">
        <v>2061</v>
      </c>
      <c r="G835" s="6" t="s">
        <v>2064</v>
      </c>
      <c r="H835" s="5"/>
      <c r="I835" s="6" t="s">
        <v>2049</v>
      </c>
    </row>
    <row r="836" customFormat="false" ht="15" hidden="false" customHeight="false" outlineLevel="0" collapsed="false">
      <c r="A836" s="5" t="s">
        <v>2042</v>
      </c>
      <c r="B836" s="5" t="s">
        <v>1005</v>
      </c>
      <c r="C836" s="5"/>
      <c r="D836" s="5" t="s">
        <v>1009</v>
      </c>
      <c r="E836" s="6" t="s">
        <v>2065</v>
      </c>
      <c r="F836" s="6" t="s">
        <v>2066</v>
      </c>
      <c r="G836" s="6" t="s">
        <v>1765</v>
      </c>
      <c r="H836" s="5"/>
      <c r="I836" s="6" t="s">
        <v>2067</v>
      </c>
    </row>
    <row r="837" customFormat="false" ht="15" hidden="false" customHeight="false" outlineLevel="0" collapsed="false">
      <c r="A837" s="5" t="s">
        <v>2042</v>
      </c>
      <c r="B837" s="5" t="s">
        <v>1005</v>
      </c>
      <c r="C837" s="5"/>
      <c r="D837" s="5" t="s">
        <v>1009</v>
      </c>
      <c r="E837" s="6" t="s">
        <v>2068</v>
      </c>
      <c r="F837" s="6" t="s">
        <v>2069</v>
      </c>
      <c r="G837" s="6" t="s">
        <v>2070</v>
      </c>
      <c r="H837" s="5"/>
      <c r="I837" s="6" t="s">
        <v>2071</v>
      </c>
    </row>
    <row r="838" customFormat="false" ht="15" hidden="false" customHeight="false" outlineLevel="0" collapsed="false">
      <c r="A838" s="5" t="s">
        <v>2042</v>
      </c>
      <c r="B838" s="5" t="s">
        <v>1005</v>
      </c>
      <c r="C838" s="5"/>
      <c r="D838" s="5" t="s">
        <v>1009</v>
      </c>
      <c r="E838" s="6" t="s">
        <v>2072</v>
      </c>
      <c r="F838" s="6" t="s">
        <v>2073</v>
      </c>
      <c r="G838" s="6" t="s">
        <v>2070</v>
      </c>
      <c r="H838" s="5"/>
      <c r="I838" s="6" t="s">
        <v>2071</v>
      </c>
    </row>
    <row r="839" customFormat="false" ht="15" hidden="false" customHeight="false" outlineLevel="0" collapsed="false">
      <c r="A839" s="5" t="s">
        <v>2042</v>
      </c>
      <c r="B839" s="5" t="s">
        <v>1005</v>
      </c>
      <c r="C839" s="5"/>
      <c r="D839" s="5" t="s">
        <v>1009</v>
      </c>
      <c r="E839" s="6" t="s">
        <v>2074</v>
      </c>
      <c r="F839" s="6" t="s">
        <v>2075</v>
      </c>
      <c r="G839" s="6" t="s">
        <v>2070</v>
      </c>
      <c r="H839" s="5"/>
      <c r="I839" s="6" t="s">
        <v>2071</v>
      </c>
    </row>
    <row r="840" customFormat="false" ht="23.85" hidden="false" customHeight="false" outlineLevel="0" collapsed="false">
      <c r="A840" s="5" t="s">
        <v>2042</v>
      </c>
      <c r="B840" s="5" t="s">
        <v>1005</v>
      </c>
      <c r="C840" s="5"/>
      <c r="D840" s="5" t="s">
        <v>1009</v>
      </c>
      <c r="E840" s="6" t="s">
        <v>2076</v>
      </c>
      <c r="F840" s="6" t="s">
        <v>2077</v>
      </c>
      <c r="G840" s="6" t="s">
        <v>2070</v>
      </c>
      <c r="H840" s="5"/>
      <c r="I840" s="6" t="s">
        <v>2071</v>
      </c>
    </row>
    <row r="841" customFormat="false" ht="15" hidden="false" customHeight="false" outlineLevel="0" collapsed="false">
      <c r="A841" s="5" t="s">
        <v>2042</v>
      </c>
      <c r="B841" s="5" t="s">
        <v>1005</v>
      </c>
      <c r="C841" s="5"/>
      <c r="D841" s="5" t="s">
        <v>1009</v>
      </c>
      <c r="E841" s="6" t="s">
        <v>2078</v>
      </c>
      <c r="F841" s="6" t="s">
        <v>2079</v>
      </c>
      <c r="G841" s="6" t="s">
        <v>2070</v>
      </c>
      <c r="H841" s="5"/>
      <c r="I841" s="6" t="s">
        <v>2071</v>
      </c>
    </row>
    <row r="842" customFormat="false" ht="15" hidden="false" customHeight="false" outlineLevel="0" collapsed="false">
      <c r="A842" s="5" t="s">
        <v>2042</v>
      </c>
      <c r="B842" s="5" t="s">
        <v>1005</v>
      </c>
      <c r="C842" s="5"/>
      <c r="D842" s="5" t="s">
        <v>1009</v>
      </c>
      <c r="E842" s="6" t="s">
        <v>2080</v>
      </c>
      <c r="F842" s="6" t="s">
        <v>2081</v>
      </c>
      <c r="G842" s="6" t="s">
        <v>2070</v>
      </c>
      <c r="H842" s="5"/>
      <c r="I842" s="6" t="s">
        <v>2071</v>
      </c>
    </row>
    <row r="843" customFormat="false" ht="15" hidden="false" customHeight="false" outlineLevel="0" collapsed="false">
      <c r="A843" s="5" t="s">
        <v>2042</v>
      </c>
      <c r="B843" s="5" t="s">
        <v>1005</v>
      </c>
      <c r="C843" s="5"/>
      <c r="D843" s="5" t="s">
        <v>1009</v>
      </c>
      <c r="E843" s="6" t="s">
        <v>2082</v>
      </c>
      <c r="F843" s="6" t="s">
        <v>2083</v>
      </c>
      <c r="G843" s="6" t="s">
        <v>2070</v>
      </c>
      <c r="H843" s="5"/>
      <c r="I843" s="6" t="s">
        <v>2071</v>
      </c>
    </row>
    <row r="844" customFormat="false" ht="15" hidden="false" customHeight="false" outlineLevel="0" collapsed="false">
      <c r="A844" s="5" t="s">
        <v>2042</v>
      </c>
      <c r="B844" s="5" t="s">
        <v>1005</v>
      </c>
      <c r="C844" s="5"/>
      <c r="D844" s="5" t="s">
        <v>1009</v>
      </c>
      <c r="E844" s="6" t="s">
        <v>2084</v>
      </c>
      <c r="F844" s="6" t="s">
        <v>2073</v>
      </c>
      <c r="G844" s="6" t="s">
        <v>2070</v>
      </c>
      <c r="H844" s="5"/>
      <c r="I844" s="6" t="s">
        <v>2071</v>
      </c>
    </row>
    <row r="845" customFormat="false" ht="15" hidden="false" customHeight="false" outlineLevel="0" collapsed="false">
      <c r="A845" s="5" t="s">
        <v>2042</v>
      </c>
      <c r="B845" s="5" t="s">
        <v>1005</v>
      </c>
      <c r="C845" s="5"/>
      <c r="D845" s="5" t="s">
        <v>1009</v>
      </c>
      <c r="E845" s="6" t="s">
        <v>2085</v>
      </c>
      <c r="F845" s="6" t="s">
        <v>2086</v>
      </c>
      <c r="G845" s="6" t="s">
        <v>2070</v>
      </c>
      <c r="H845" s="5"/>
      <c r="I845" s="6" t="s">
        <v>2071</v>
      </c>
    </row>
    <row r="846" customFormat="false" ht="23.85" hidden="false" customHeight="false" outlineLevel="0" collapsed="false">
      <c r="A846" s="5" t="s">
        <v>2042</v>
      </c>
      <c r="B846" s="5" t="s">
        <v>1005</v>
      </c>
      <c r="C846" s="5"/>
      <c r="D846" s="5" t="s">
        <v>1009</v>
      </c>
      <c r="E846" s="6" t="s">
        <v>2087</v>
      </c>
      <c r="F846" s="6" t="s">
        <v>2081</v>
      </c>
      <c r="G846" s="6" t="s">
        <v>2070</v>
      </c>
      <c r="H846" s="5"/>
      <c r="I846" s="6" t="s">
        <v>2071</v>
      </c>
    </row>
    <row r="847" customFormat="false" ht="15" hidden="false" customHeight="false" outlineLevel="0" collapsed="false">
      <c r="A847" s="5" t="s">
        <v>2042</v>
      </c>
      <c r="B847" s="5" t="s">
        <v>1005</v>
      </c>
      <c r="C847" s="5"/>
      <c r="D847" s="5" t="s">
        <v>1009</v>
      </c>
      <c r="E847" s="6" t="s">
        <v>2088</v>
      </c>
      <c r="F847" s="6" t="s">
        <v>2081</v>
      </c>
      <c r="G847" s="6" t="s">
        <v>2070</v>
      </c>
      <c r="H847" s="5"/>
      <c r="I847" s="6" t="s">
        <v>2071</v>
      </c>
    </row>
    <row r="848" customFormat="false" ht="15" hidden="false" customHeight="false" outlineLevel="0" collapsed="false">
      <c r="A848" s="5" t="s">
        <v>2042</v>
      </c>
      <c r="B848" s="5" t="s">
        <v>1005</v>
      </c>
      <c r="C848" s="5"/>
      <c r="D848" s="5" t="s">
        <v>1009</v>
      </c>
      <c r="E848" s="6" t="s">
        <v>2089</v>
      </c>
      <c r="F848" s="6" t="s">
        <v>2081</v>
      </c>
      <c r="G848" s="6" t="s">
        <v>2070</v>
      </c>
      <c r="H848" s="5"/>
      <c r="I848" s="6" t="s">
        <v>2071</v>
      </c>
    </row>
    <row r="849" customFormat="false" ht="15" hidden="false" customHeight="false" outlineLevel="0" collapsed="false">
      <c r="A849" s="5" t="s">
        <v>2042</v>
      </c>
      <c r="B849" s="5" t="s">
        <v>1005</v>
      </c>
      <c r="C849" s="5"/>
      <c r="D849" s="5" t="s">
        <v>1009</v>
      </c>
      <c r="E849" s="6" t="s">
        <v>2090</v>
      </c>
      <c r="F849" s="6" t="s">
        <v>2081</v>
      </c>
      <c r="G849" s="6" t="s">
        <v>2070</v>
      </c>
      <c r="H849" s="5"/>
      <c r="I849" s="6" t="s">
        <v>2071</v>
      </c>
    </row>
    <row r="850" customFormat="false" ht="15" hidden="false" customHeight="false" outlineLevel="0" collapsed="false">
      <c r="A850" s="5" t="s">
        <v>2042</v>
      </c>
      <c r="B850" s="5" t="s">
        <v>1005</v>
      </c>
      <c r="C850" s="5"/>
      <c r="D850" s="5" t="s">
        <v>1009</v>
      </c>
      <c r="E850" s="6" t="s">
        <v>2091</v>
      </c>
      <c r="F850" s="6" t="s">
        <v>2083</v>
      </c>
      <c r="G850" s="6" t="s">
        <v>2092</v>
      </c>
      <c r="H850" s="5"/>
      <c r="I850" s="6" t="s">
        <v>2093</v>
      </c>
    </row>
    <row r="851" customFormat="false" ht="15" hidden="false" customHeight="false" outlineLevel="0" collapsed="false">
      <c r="A851" s="5" t="s">
        <v>2042</v>
      </c>
      <c r="B851" s="5" t="s">
        <v>1005</v>
      </c>
      <c r="C851" s="5"/>
      <c r="D851" s="5" t="s">
        <v>1009</v>
      </c>
      <c r="E851" s="6" t="s">
        <v>2094</v>
      </c>
      <c r="F851" s="6" t="s">
        <v>2069</v>
      </c>
      <c r="G851" s="6" t="s">
        <v>2095</v>
      </c>
      <c r="H851" s="5"/>
      <c r="I851" s="6" t="s">
        <v>2093</v>
      </c>
    </row>
    <row r="852" customFormat="false" ht="15" hidden="false" customHeight="false" outlineLevel="0" collapsed="false">
      <c r="A852" s="5" t="s">
        <v>2042</v>
      </c>
      <c r="B852" s="5" t="s">
        <v>1005</v>
      </c>
      <c r="C852" s="5"/>
      <c r="D852" s="5" t="s">
        <v>1009</v>
      </c>
      <c r="E852" s="6" t="s">
        <v>2096</v>
      </c>
      <c r="F852" s="6" t="s">
        <v>2073</v>
      </c>
      <c r="G852" s="6" t="s">
        <v>2097</v>
      </c>
      <c r="H852" s="5"/>
      <c r="I852" s="6" t="s">
        <v>2093</v>
      </c>
    </row>
    <row r="853" customFormat="false" ht="15" hidden="false" customHeight="false" outlineLevel="0" collapsed="false">
      <c r="A853" s="5" t="s">
        <v>2042</v>
      </c>
      <c r="B853" s="5" t="s">
        <v>1005</v>
      </c>
      <c r="C853" s="5"/>
      <c r="D853" s="5" t="s">
        <v>1009</v>
      </c>
      <c r="E853" s="6" t="s">
        <v>2098</v>
      </c>
      <c r="F853" s="6" t="s">
        <v>2075</v>
      </c>
      <c r="G853" s="6" t="s">
        <v>2099</v>
      </c>
      <c r="H853" s="5"/>
      <c r="I853" s="6" t="s">
        <v>2093</v>
      </c>
    </row>
    <row r="854" customFormat="false" ht="15" hidden="false" customHeight="false" outlineLevel="0" collapsed="false">
      <c r="A854" s="5" t="s">
        <v>2042</v>
      </c>
      <c r="B854" s="5" t="s">
        <v>1005</v>
      </c>
      <c r="C854" s="5"/>
      <c r="D854" s="5" t="s">
        <v>1009</v>
      </c>
      <c r="E854" s="6" t="s">
        <v>2100</v>
      </c>
      <c r="F854" s="6" t="s">
        <v>2101</v>
      </c>
      <c r="G854" s="6" t="s">
        <v>2102</v>
      </c>
      <c r="H854" s="5"/>
      <c r="I854" s="6" t="s">
        <v>2103</v>
      </c>
    </row>
    <row r="855" customFormat="false" ht="23.85" hidden="false" customHeight="false" outlineLevel="0" collapsed="false">
      <c r="A855" s="5" t="s">
        <v>2042</v>
      </c>
      <c r="B855" s="5" t="s">
        <v>1005</v>
      </c>
      <c r="C855" s="5"/>
      <c r="D855" s="5" t="s">
        <v>1009</v>
      </c>
      <c r="E855" s="6" t="s">
        <v>2104</v>
      </c>
      <c r="F855" s="6" t="s">
        <v>2105</v>
      </c>
      <c r="G855" s="6" t="s">
        <v>2106</v>
      </c>
      <c r="H855" s="5"/>
      <c r="I855" s="6" t="s">
        <v>2103</v>
      </c>
    </row>
    <row r="856" customFormat="false" ht="15" hidden="false" customHeight="false" outlineLevel="0" collapsed="false">
      <c r="A856" s="5" t="s">
        <v>2042</v>
      </c>
      <c r="B856" s="5" t="s">
        <v>1005</v>
      </c>
      <c r="C856" s="5"/>
      <c r="D856" s="5" t="s">
        <v>1009</v>
      </c>
      <c r="E856" s="6" t="s">
        <v>2107</v>
      </c>
      <c r="F856" s="6" t="s">
        <v>2108</v>
      </c>
      <c r="G856" s="6" t="s">
        <v>2109</v>
      </c>
      <c r="H856" s="5"/>
      <c r="I856" s="6" t="s">
        <v>2103</v>
      </c>
    </row>
    <row r="857" customFormat="false" ht="15" hidden="false" customHeight="false" outlineLevel="0" collapsed="false">
      <c r="A857" s="5" t="s">
        <v>2042</v>
      </c>
      <c r="B857" s="5" t="s">
        <v>1005</v>
      </c>
      <c r="C857" s="5"/>
      <c r="D857" s="5" t="s">
        <v>1009</v>
      </c>
      <c r="E857" s="6" t="s">
        <v>2110</v>
      </c>
      <c r="F857" s="6" t="s">
        <v>2111</v>
      </c>
      <c r="G857" s="6" t="s">
        <v>2112</v>
      </c>
      <c r="H857" s="5"/>
      <c r="I857" s="6" t="s">
        <v>2103</v>
      </c>
    </row>
    <row r="858" customFormat="false" ht="15" hidden="false" customHeight="false" outlineLevel="0" collapsed="false">
      <c r="A858" s="5" t="s">
        <v>2042</v>
      </c>
      <c r="B858" s="5" t="s">
        <v>1005</v>
      </c>
      <c r="C858" s="5"/>
      <c r="D858" s="5" t="s">
        <v>1009</v>
      </c>
      <c r="E858" s="6" t="s">
        <v>2113</v>
      </c>
      <c r="F858" s="6" t="s">
        <v>2111</v>
      </c>
      <c r="G858" s="6" t="s">
        <v>2112</v>
      </c>
      <c r="H858" s="5"/>
      <c r="I858" s="6" t="s">
        <v>2103</v>
      </c>
    </row>
    <row r="859" customFormat="false" ht="15" hidden="false" customHeight="false" outlineLevel="0" collapsed="false">
      <c r="A859" s="5" t="s">
        <v>2042</v>
      </c>
      <c r="B859" s="5" t="s">
        <v>1005</v>
      </c>
      <c r="C859" s="5"/>
      <c r="D859" s="5" t="s">
        <v>1009</v>
      </c>
      <c r="E859" s="6" t="s">
        <v>2114</v>
      </c>
      <c r="F859" s="6" t="s">
        <v>2115</v>
      </c>
      <c r="G859" s="6" t="s">
        <v>2045</v>
      </c>
      <c r="H859" s="5"/>
      <c r="I859" s="6" t="s">
        <v>2116</v>
      </c>
    </row>
    <row r="860" customFormat="false" ht="15" hidden="false" customHeight="false" outlineLevel="0" collapsed="false">
      <c r="A860" s="5" t="s">
        <v>2042</v>
      </c>
      <c r="B860" s="5" t="s">
        <v>1005</v>
      </c>
      <c r="C860" s="5"/>
      <c r="D860" s="5" t="s">
        <v>1009</v>
      </c>
      <c r="E860" s="6" t="s">
        <v>2117</v>
      </c>
      <c r="F860" s="6" t="s">
        <v>2115</v>
      </c>
      <c r="G860" s="6" t="s">
        <v>2045</v>
      </c>
      <c r="H860" s="5"/>
      <c r="I860" s="6" t="s">
        <v>2116</v>
      </c>
    </row>
    <row r="861" customFormat="false" ht="15" hidden="false" customHeight="false" outlineLevel="0" collapsed="false">
      <c r="A861" s="5" t="s">
        <v>2042</v>
      </c>
      <c r="B861" s="5" t="s">
        <v>1005</v>
      </c>
      <c r="C861" s="5"/>
      <c r="D861" s="5" t="s">
        <v>1009</v>
      </c>
      <c r="E861" s="6" t="s">
        <v>2118</v>
      </c>
      <c r="F861" s="6" t="s">
        <v>2115</v>
      </c>
      <c r="G861" s="6" t="s">
        <v>2045</v>
      </c>
      <c r="H861" s="5"/>
      <c r="I861" s="6" t="s">
        <v>2116</v>
      </c>
    </row>
    <row r="862" customFormat="false" ht="35.05" hidden="false" customHeight="false" outlineLevel="0" collapsed="false">
      <c r="A862" s="5" t="s">
        <v>2119</v>
      </c>
      <c r="B862" s="5" t="s">
        <v>1005</v>
      </c>
      <c r="C862" s="5" t="s">
        <v>1017</v>
      </c>
      <c r="D862" s="5" t="s">
        <v>1017</v>
      </c>
      <c r="E862" s="6" t="s">
        <v>2043</v>
      </c>
      <c r="F862" s="6" t="s">
        <v>2044</v>
      </c>
      <c r="G862" s="6" t="s">
        <v>2045</v>
      </c>
      <c r="H862" s="5"/>
      <c r="I862" s="6" t="s">
        <v>2046</v>
      </c>
    </row>
    <row r="863" customFormat="false" ht="23.85" hidden="false" customHeight="false" outlineLevel="0" collapsed="false">
      <c r="A863" s="5" t="s">
        <v>2119</v>
      </c>
      <c r="B863" s="5" t="s">
        <v>1005</v>
      </c>
      <c r="C863" s="5" t="s">
        <v>1017</v>
      </c>
      <c r="D863" s="5" t="s">
        <v>1017</v>
      </c>
      <c r="E863" s="6" t="s">
        <v>2047</v>
      </c>
      <c r="F863" s="6" t="s">
        <v>2048</v>
      </c>
      <c r="G863" s="6" t="s">
        <v>2045</v>
      </c>
      <c r="H863" s="5"/>
      <c r="I863" s="6" t="s">
        <v>2049</v>
      </c>
    </row>
    <row r="864" customFormat="false" ht="15" hidden="false" customHeight="false" outlineLevel="0" collapsed="false">
      <c r="A864" s="5" t="s">
        <v>2119</v>
      </c>
      <c r="B864" s="5" t="s">
        <v>1005</v>
      </c>
      <c r="C864" s="5" t="s">
        <v>1017</v>
      </c>
      <c r="D864" s="5" t="s">
        <v>1017</v>
      </c>
      <c r="E864" s="6" t="s">
        <v>2050</v>
      </c>
      <c r="F864" s="6" t="s">
        <v>2051</v>
      </c>
      <c r="G864" s="6" t="s">
        <v>2120</v>
      </c>
      <c r="H864" s="5"/>
      <c r="I864" s="6" t="s">
        <v>2053</v>
      </c>
    </row>
    <row r="865" customFormat="false" ht="15" hidden="false" customHeight="false" outlineLevel="0" collapsed="false">
      <c r="A865" s="5" t="s">
        <v>2119</v>
      </c>
      <c r="B865" s="5" t="s">
        <v>1005</v>
      </c>
      <c r="C865" s="5" t="s">
        <v>1017</v>
      </c>
      <c r="D865" s="5" t="s">
        <v>1017</v>
      </c>
      <c r="E865" s="6" t="s">
        <v>2054</v>
      </c>
      <c r="F865" s="6" t="s">
        <v>2055</v>
      </c>
      <c r="G865" s="6" t="s">
        <v>2045</v>
      </c>
      <c r="H865" s="5"/>
      <c r="I865" s="6" t="s">
        <v>2056</v>
      </c>
    </row>
    <row r="866" customFormat="false" ht="15" hidden="false" customHeight="false" outlineLevel="0" collapsed="false">
      <c r="A866" s="5" t="s">
        <v>2119</v>
      </c>
      <c r="B866" s="5" t="s">
        <v>1005</v>
      </c>
      <c r="C866" s="5" t="s">
        <v>1017</v>
      </c>
      <c r="D866" s="5" t="s">
        <v>1017</v>
      </c>
      <c r="E866" s="6" t="s">
        <v>2057</v>
      </c>
      <c r="F866" s="6" t="s">
        <v>2121</v>
      </c>
      <c r="G866" s="6" t="s">
        <v>2122</v>
      </c>
      <c r="H866" s="5"/>
      <c r="I866" s="6" t="s">
        <v>2049</v>
      </c>
    </row>
    <row r="867" customFormat="false" ht="15" hidden="false" customHeight="false" outlineLevel="0" collapsed="false">
      <c r="A867" s="5" t="s">
        <v>2119</v>
      </c>
      <c r="B867" s="5" t="s">
        <v>1005</v>
      </c>
      <c r="C867" s="5" t="s">
        <v>1017</v>
      </c>
      <c r="D867" s="5" t="s">
        <v>1017</v>
      </c>
      <c r="E867" s="6" t="s">
        <v>2060</v>
      </c>
      <c r="F867" s="6" t="s">
        <v>2061</v>
      </c>
      <c r="G867" s="6" t="s">
        <v>2123</v>
      </c>
      <c r="H867" s="5"/>
      <c r="I867" s="6" t="s">
        <v>2049</v>
      </c>
    </row>
    <row r="868" customFormat="false" ht="15" hidden="false" customHeight="false" outlineLevel="0" collapsed="false">
      <c r="A868" s="5" t="s">
        <v>2119</v>
      </c>
      <c r="B868" s="5" t="s">
        <v>1005</v>
      </c>
      <c r="C868" s="5" t="s">
        <v>1017</v>
      </c>
      <c r="D868" s="5" t="s">
        <v>1017</v>
      </c>
      <c r="E868" s="6" t="s">
        <v>2063</v>
      </c>
      <c r="F868" s="6" t="s">
        <v>2061</v>
      </c>
      <c r="G868" s="6" t="s">
        <v>2124</v>
      </c>
      <c r="H868" s="5"/>
      <c r="I868" s="6" t="s">
        <v>2049</v>
      </c>
    </row>
    <row r="869" customFormat="false" ht="15" hidden="false" customHeight="false" outlineLevel="0" collapsed="false">
      <c r="A869" s="5" t="s">
        <v>2119</v>
      </c>
      <c r="B869" s="5" t="s">
        <v>1005</v>
      </c>
      <c r="C869" s="5" t="s">
        <v>1017</v>
      </c>
      <c r="D869" s="5" t="s">
        <v>1017</v>
      </c>
      <c r="E869" s="6" t="s">
        <v>2065</v>
      </c>
      <c r="F869" s="6" t="s">
        <v>2066</v>
      </c>
      <c r="G869" s="6" t="s">
        <v>1765</v>
      </c>
      <c r="H869" s="5"/>
      <c r="I869" s="6" t="s">
        <v>2067</v>
      </c>
    </row>
    <row r="870" customFormat="false" ht="15" hidden="false" customHeight="false" outlineLevel="0" collapsed="false">
      <c r="A870" s="5" t="s">
        <v>2119</v>
      </c>
      <c r="B870" s="5" t="s">
        <v>1005</v>
      </c>
      <c r="C870" s="5" t="s">
        <v>1017</v>
      </c>
      <c r="D870" s="5" t="s">
        <v>1017</v>
      </c>
      <c r="E870" s="6" t="s">
        <v>2068</v>
      </c>
      <c r="F870" s="6" t="s">
        <v>2069</v>
      </c>
      <c r="G870" s="6" t="s">
        <v>2070</v>
      </c>
      <c r="H870" s="5"/>
      <c r="I870" s="6" t="s">
        <v>2071</v>
      </c>
    </row>
    <row r="871" customFormat="false" ht="15" hidden="false" customHeight="false" outlineLevel="0" collapsed="false">
      <c r="A871" s="5" t="s">
        <v>2119</v>
      </c>
      <c r="B871" s="5" t="s">
        <v>1005</v>
      </c>
      <c r="C871" s="5" t="s">
        <v>1017</v>
      </c>
      <c r="D871" s="5" t="s">
        <v>1017</v>
      </c>
      <c r="E871" s="6" t="s">
        <v>2072</v>
      </c>
      <c r="F871" s="6" t="s">
        <v>2073</v>
      </c>
      <c r="G871" s="6" t="s">
        <v>2070</v>
      </c>
      <c r="H871" s="5"/>
      <c r="I871" s="6" t="s">
        <v>2071</v>
      </c>
    </row>
    <row r="872" customFormat="false" ht="15" hidden="false" customHeight="false" outlineLevel="0" collapsed="false">
      <c r="A872" s="5" t="s">
        <v>2119</v>
      </c>
      <c r="B872" s="5" t="s">
        <v>1005</v>
      </c>
      <c r="C872" s="5" t="s">
        <v>1017</v>
      </c>
      <c r="D872" s="5" t="s">
        <v>1017</v>
      </c>
      <c r="E872" s="6" t="s">
        <v>2074</v>
      </c>
      <c r="F872" s="6" t="s">
        <v>2075</v>
      </c>
      <c r="G872" s="6" t="s">
        <v>2070</v>
      </c>
      <c r="H872" s="5"/>
      <c r="I872" s="6" t="s">
        <v>2071</v>
      </c>
    </row>
    <row r="873" customFormat="false" ht="23.85" hidden="false" customHeight="false" outlineLevel="0" collapsed="false">
      <c r="A873" s="5" t="s">
        <v>2119</v>
      </c>
      <c r="B873" s="5" t="s">
        <v>1005</v>
      </c>
      <c r="C873" s="5" t="s">
        <v>1017</v>
      </c>
      <c r="D873" s="5" t="s">
        <v>1017</v>
      </c>
      <c r="E873" s="6" t="s">
        <v>2076</v>
      </c>
      <c r="F873" s="6" t="s">
        <v>2077</v>
      </c>
      <c r="G873" s="6" t="s">
        <v>2070</v>
      </c>
      <c r="H873" s="5"/>
      <c r="I873" s="6" t="s">
        <v>2071</v>
      </c>
    </row>
    <row r="874" customFormat="false" ht="15" hidden="false" customHeight="false" outlineLevel="0" collapsed="false">
      <c r="A874" s="5" t="s">
        <v>2119</v>
      </c>
      <c r="B874" s="5" t="s">
        <v>1005</v>
      </c>
      <c r="C874" s="5" t="s">
        <v>1017</v>
      </c>
      <c r="D874" s="5" t="s">
        <v>1017</v>
      </c>
      <c r="E874" s="6" t="s">
        <v>2078</v>
      </c>
      <c r="F874" s="6" t="s">
        <v>2079</v>
      </c>
      <c r="G874" s="6" t="s">
        <v>2070</v>
      </c>
      <c r="H874" s="5"/>
      <c r="I874" s="6" t="s">
        <v>2071</v>
      </c>
    </row>
    <row r="875" customFormat="false" ht="15" hidden="false" customHeight="false" outlineLevel="0" collapsed="false">
      <c r="A875" s="5" t="s">
        <v>2119</v>
      </c>
      <c r="B875" s="5" t="s">
        <v>1005</v>
      </c>
      <c r="C875" s="5" t="s">
        <v>1017</v>
      </c>
      <c r="D875" s="5" t="s">
        <v>1017</v>
      </c>
      <c r="E875" s="6" t="s">
        <v>2080</v>
      </c>
      <c r="F875" s="6" t="s">
        <v>2081</v>
      </c>
      <c r="G875" s="6" t="s">
        <v>2070</v>
      </c>
      <c r="H875" s="5"/>
      <c r="I875" s="6" t="s">
        <v>2071</v>
      </c>
    </row>
    <row r="876" customFormat="false" ht="15" hidden="false" customHeight="false" outlineLevel="0" collapsed="false">
      <c r="A876" s="5" t="s">
        <v>2119</v>
      </c>
      <c r="B876" s="5" t="s">
        <v>1005</v>
      </c>
      <c r="C876" s="5" t="s">
        <v>1017</v>
      </c>
      <c r="D876" s="5" t="s">
        <v>1017</v>
      </c>
      <c r="E876" s="6" t="s">
        <v>2082</v>
      </c>
      <c r="F876" s="6" t="s">
        <v>2083</v>
      </c>
      <c r="G876" s="6" t="s">
        <v>2070</v>
      </c>
      <c r="H876" s="5"/>
      <c r="I876" s="6" t="s">
        <v>2071</v>
      </c>
    </row>
    <row r="877" customFormat="false" ht="15" hidden="false" customHeight="false" outlineLevel="0" collapsed="false">
      <c r="A877" s="5" t="s">
        <v>2119</v>
      </c>
      <c r="B877" s="5" t="s">
        <v>1005</v>
      </c>
      <c r="C877" s="5" t="s">
        <v>1017</v>
      </c>
      <c r="D877" s="5" t="s">
        <v>1017</v>
      </c>
      <c r="E877" s="6" t="s">
        <v>2084</v>
      </c>
      <c r="F877" s="6" t="s">
        <v>2073</v>
      </c>
      <c r="G877" s="6" t="s">
        <v>2070</v>
      </c>
      <c r="H877" s="5"/>
      <c r="I877" s="6" t="s">
        <v>2071</v>
      </c>
    </row>
    <row r="878" customFormat="false" ht="15" hidden="false" customHeight="false" outlineLevel="0" collapsed="false">
      <c r="A878" s="5" t="s">
        <v>2119</v>
      </c>
      <c r="B878" s="5" t="s">
        <v>1005</v>
      </c>
      <c r="C878" s="5" t="s">
        <v>1017</v>
      </c>
      <c r="D878" s="5" t="s">
        <v>1017</v>
      </c>
      <c r="E878" s="6" t="s">
        <v>2085</v>
      </c>
      <c r="F878" s="6" t="s">
        <v>2086</v>
      </c>
      <c r="G878" s="6" t="s">
        <v>2070</v>
      </c>
      <c r="H878" s="5"/>
      <c r="I878" s="6" t="s">
        <v>2071</v>
      </c>
    </row>
    <row r="879" customFormat="false" ht="23.85" hidden="false" customHeight="false" outlineLevel="0" collapsed="false">
      <c r="A879" s="5" t="s">
        <v>2119</v>
      </c>
      <c r="B879" s="5" t="s">
        <v>1005</v>
      </c>
      <c r="C879" s="5" t="s">
        <v>1017</v>
      </c>
      <c r="D879" s="5" t="s">
        <v>1017</v>
      </c>
      <c r="E879" s="6" t="s">
        <v>2087</v>
      </c>
      <c r="F879" s="6" t="s">
        <v>2081</v>
      </c>
      <c r="G879" s="6" t="s">
        <v>2070</v>
      </c>
      <c r="H879" s="5"/>
      <c r="I879" s="6" t="s">
        <v>2071</v>
      </c>
    </row>
    <row r="880" customFormat="false" ht="15" hidden="false" customHeight="false" outlineLevel="0" collapsed="false">
      <c r="A880" s="5" t="s">
        <v>2119</v>
      </c>
      <c r="B880" s="5" t="s">
        <v>1005</v>
      </c>
      <c r="C880" s="5" t="s">
        <v>1017</v>
      </c>
      <c r="D880" s="5" t="s">
        <v>1017</v>
      </c>
      <c r="E880" s="6" t="s">
        <v>2088</v>
      </c>
      <c r="F880" s="6" t="s">
        <v>2081</v>
      </c>
      <c r="G880" s="6" t="s">
        <v>2070</v>
      </c>
      <c r="H880" s="5"/>
      <c r="I880" s="6" t="s">
        <v>2071</v>
      </c>
    </row>
    <row r="881" customFormat="false" ht="15" hidden="false" customHeight="false" outlineLevel="0" collapsed="false">
      <c r="A881" s="5" t="s">
        <v>2119</v>
      </c>
      <c r="B881" s="5" t="s">
        <v>1005</v>
      </c>
      <c r="C881" s="5" t="s">
        <v>1017</v>
      </c>
      <c r="D881" s="5" t="s">
        <v>1017</v>
      </c>
      <c r="E881" s="6" t="s">
        <v>2089</v>
      </c>
      <c r="F881" s="6" t="s">
        <v>2081</v>
      </c>
      <c r="G881" s="6" t="s">
        <v>2070</v>
      </c>
      <c r="H881" s="5"/>
      <c r="I881" s="6" t="s">
        <v>2071</v>
      </c>
    </row>
    <row r="882" customFormat="false" ht="15" hidden="false" customHeight="false" outlineLevel="0" collapsed="false">
      <c r="A882" s="5" t="s">
        <v>2119</v>
      </c>
      <c r="B882" s="5" t="s">
        <v>1005</v>
      </c>
      <c r="C882" s="5" t="s">
        <v>1017</v>
      </c>
      <c r="D882" s="5" t="s">
        <v>1017</v>
      </c>
      <c r="E882" s="6" t="s">
        <v>2090</v>
      </c>
      <c r="F882" s="6" t="s">
        <v>2081</v>
      </c>
      <c r="G882" s="6" t="s">
        <v>2070</v>
      </c>
      <c r="H882" s="5"/>
      <c r="I882" s="6" t="s">
        <v>2071</v>
      </c>
    </row>
    <row r="883" customFormat="false" ht="15" hidden="false" customHeight="false" outlineLevel="0" collapsed="false">
      <c r="A883" s="5" t="s">
        <v>2119</v>
      </c>
      <c r="B883" s="5" t="s">
        <v>1005</v>
      </c>
      <c r="C883" s="5" t="s">
        <v>1017</v>
      </c>
      <c r="D883" s="5" t="s">
        <v>1017</v>
      </c>
      <c r="E883" s="6" t="s">
        <v>2091</v>
      </c>
      <c r="F883" s="6" t="s">
        <v>2083</v>
      </c>
      <c r="G883" s="6" t="s">
        <v>2070</v>
      </c>
      <c r="H883" s="5"/>
      <c r="I883" s="6" t="s">
        <v>2093</v>
      </c>
    </row>
    <row r="884" customFormat="false" ht="15" hidden="false" customHeight="false" outlineLevel="0" collapsed="false">
      <c r="A884" s="5" t="s">
        <v>2119</v>
      </c>
      <c r="B884" s="5" t="s">
        <v>1005</v>
      </c>
      <c r="C884" s="5" t="s">
        <v>1017</v>
      </c>
      <c r="D884" s="5" t="s">
        <v>1017</v>
      </c>
      <c r="E884" s="6" t="s">
        <v>2094</v>
      </c>
      <c r="F884" s="6" t="s">
        <v>2069</v>
      </c>
      <c r="G884" s="6" t="s">
        <v>2070</v>
      </c>
      <c r="H884" s="5"/>
      <c r="I884" s="6" t="s">
        <v>2093</v>
      </c>
    </row>
    <row r="885" customFormat="false" ht="15" hidden="false" customHeight="false" outlineLevel="0" collapsed="false">
      <c r="A885" s="5" t="s">
        <v>2119</v>
      </c>
      <c r="B885" s="5" t="s">
        <v>1005</v>
      </c>
      <c r="C885" s="5" t="s">
        <v>1017</v>
      </c>
      <c r="D885" s="5" t="s">
        <v>1017</v>
      </c>
      <c r="E885" s="6" t="s">
        <v>2096</v>
      </c>
      <c r="F885" s="6" t="s">
        <v>2073</v>
      </c>
      <c r="G885" s="6" t="s">
        <v>2070</v>
      </c>
      <c r="H885" s="5"/>
      <c r="I885" s="6" t="s">
        <v>2093</v>
      </c>
    </row>
    <row r="886" customFormat="false" ht="15" hidden="false" customHeight="false" outlineLevel="0" collapsed="false">
      <c r="A886" s="5" t="s">
        <v>2119</v>
      </c>
      <c r="B886" s="5" t="s">
        <v>1005</v>
      </c>
      <c r="C886" s="5" t="s">
        <v>1017</v>
      </c>
      <c r="D886" s="5" t="s">
        <v>1017</v>
      </c>
      <c r="E886" s="6" t="s">
        <v>2098</v>
      </c>
      <c r="F886" s="6" t="s">
        <v>2075</v>
      </c>
      <c r="G886" s="6" t="s">
        <v>2070</v>
      </c>
      <c r="H886" s="5"/>
      <c r="I886" s="6" t="s">
        <v>2093</v>
      </c>
    </row>
    <row r="887" customFormat="false" ht="15" hidden="false" customHeight="false" outlineLevel="0" collapsed="false">
      <c r="A887" s="5" t="s">
        <v>2119</v>
      </c>
      <c r="B887" s="5" t="s">
        <v>1005</v>
      </c>
      <c r="C887" s="5" t="s">
        <v>1017</v>
      </c>
      <c r="D887" s="5" t="s">
        <v>1017</v>
      </c>
      <c r="E887" s="6" t="s">
        <v>2100</v>
      </c>
      <c r="F887" s="6" t="s">
        <v>2125</v>
      </c>
      <c r="G887" s="6" t="s">
        <v>2126</v>
      </c>
      <c r="H887" s="5"/>
      <c r="I887" s="6" t="s">
        <v>2103</v>
      </c>
    </row>
    <row r="888" customFormat="false" ht="23.85" hidden="false" customHeight="false" outlineLevel="0" collapsed="false">
      <c r="A888" s="5" t="s">
        <v>2119</v>
      </c>
      <c r="B888" s="5" t="s">
        <v>1005</v>
      </c>
      <c r="C888" s="5" t="s">
        <v>1017</v>
      </c>
      <c r="D888" s="5" t="s">
        <v>1017</v>
      </c>
      <c r="E888" s="6" t="s">
        <v>2104</v>
      </c>
      <c r="F888" s="6" t="s">
        <v>2127</v>
      </c>
      <c r="G888" s="6" t="s">
        <v>2128</v>
      </c>
      <c r="H888" s="5"/>
      <c r="I888" s="6" t="s">
        <v>2103</v>
      </c>
    </row>
    <row r="889" customFormat="false" ht="15" hidden="false" customHeight="false" outlineLevel="0" collapsed="false">
      <c r="A889" s="5" t="s">
        <v>2119</v>
      </c>
      <c r="B889" s="5" t="s">
        <v>1005</v>
      </c>
      <c r="C889" s="5" t="s">
        <v>1017</v>
      </c>
      <c r="D889" s="5" t="s">
        <v>1017</v>
      </c>
      <c r="E889" s="6" t="s">
        <v>2107</v>
      </c>
      <c r="F889" s="6" t="s">
        <v>2129</v>
      </c>
      <c r="G889" s="6" t="s">
        <v>1930</v>
      </c>
      <c r="H889" s="5"/>
      <c r="I889" s="6" t="s">
        <v>2103</v>
      </c>
    </row>
    <row r="890" customFormat="false" ht="15" hidden="false" customHeight="false" outlineLevel="0" collapsed="false">
      <c r="A890" s="5" t="s">
        <v>2119</v>
      </c>
      <c r="B890" s="5" t="s">
        <v>1005</v>
      </c>
      <c r="C890" s="5" t="s">
        <v>1017</v>
      </c>
      <c r="D890" s="5" t="s">
        <v>1017</v>
      </c>
      <c r="E890" s="6" t="s">
        <v>2130</v>
      </c>
      <c r="F890" s="6" t="s">
        <v>2111</v>
      </c>
      <c r="G890" s="6" t="s">
        <v>2112</v>
      </c>
      <c r="H890" s="5"/>
      <c r="I890" s="6" t="s">
        <v>2103</v>
      </c>
    </row>
    <row r="891" customFormat="false" ht="15" hidden="false" customHeight="false" outlineLevel="0" collapsed="false">
      <c r="A891" s="5" t="s">
        <v>2119</v>
      </c>
      <c r="B891" s="5" t="s">
        <v>1005</v>
      </c>
      <c r="C891" s="5" t="s">
        <v>1017</v>
      </c>
      <c r="D891" s="5" t="s">
        <v>1017</v>
      </c>
      <c r="E891" s="6" t="s">
        <v>2131</v>
      </c>
      <c r="F891" s="6" t="s">
        <v>2111</v>
      </c>
      <c r="G891" s="6" t="s">
        <v>2112</v>
      </c>
      <c r="H891" s="5"/>
      <c r="I891" s="6" t="s">
        <v>2103</v>
      </c>
    </row>
    <row r="892" customFormat="false" ht="15" hidden="false" customHeight="false" outlineLevel="0" collapsed="false">
      <c r="A892" s="5" t="s">
        <v>2119</v>
      </c>
      <c r="B892" s="5" t="s">
        <v>1005</v>
      </c>
      <c r="C892" s="5" t="s">
        <v>1017</v>
      </c>
      <c r="D892" s="5" t="s">
        <v>1017</v>
      </c>
      <c r="E892" s="6" t="s">
        <v>2114</v>
      </c>
      <c r="F892" s="6" t="s">
        <v>2115</v>
      </c>
      <c r="G892" s="6" t="s">
        <v>2045</v>
      </c>
      <c r="H892" s="5"/>
      <c r="I892" s="6" t="s">
        <v>2116</v>
      </c>
    </row>
    <row r="893" customFormat="false" ht="15" hidden="false" customHeight="false" outlineLevel="0" collapsed="false">
      <c r="A893" s="5" t="s">
        <v>2119</v>
      </c>
      <c r="B893" s="5" t="s">
        <v>1005</v>
      </c>
      <c r="C893" s="5" t="s">
        <v>1017</v>
      </c>
      <c r="D893" s="5" t="s">
        <v>1017</v>
      </c>
      <c r="E893" s="6" t="s">
        <v>2117</v>
      </c>
      <c r="F893" s="6" t="s">
        <v>2115</v>
      </c>
      <c r="G893" s="6" t="s">
        <v>2045</v>
      </c>
      <c r="H893" s="5"/>
      <c r="I893" s="6" t="s">
        <v>2116</v>
      </c>
    </row>
    <row r="894" customFormat="false" ht="15" hidden="false" customHeight="false" outlineLevel="0" collapsed="false">
      <c r="A894" s="5" t="s">
        <v>2119</v>
      </c>
      <c r="B894" s="5" t="s">
        <v>1005</v>
      </c>
      <c r="C894" s="5" t="s">
        <v>1017</v>
      </c>
      <c r="D894" s="5" t="s">
        <v>1017</v>
      </c>
      <c r="E894" s="6" t="s">
        <v>2118</v>
      </c>
      <c r="F894" s="6" t="s">
        <v>2115</v>
      </c>
      <c r="G894" s="6" t="s">
        <v>2045</v>
      </c>
      <c r="H894" s="5"/>
      <c r="I894" s="6" t="s">
        <v>2116</v>
      </c>
    </row>
    <row r="895" customFormat="false" ht="35.05" hidden="false" customHeight="false" outlineLevel="0" collapsed="false">
      <c r="A895" s="5" t="s">
        <v>2132</v>
      </c>
      <c r="B895" s="5" t="s">
        <v>1005</v>
      </c>
      <c r="C895" s="5" t="s">
        <v>1026</v>
      </c>
      <c r="D895" s="5" t="s">
        <v>1026</v>
      </c>
      <c r="E895" s="6" t="s">
        <v>2043</v>
      </c>
      <c r="F895" s="6" t="s">
        <v>2044</v>
      </c>
      <c r="G895" s="6" t="s">
        <v>2045</v>
      </c>
      <c r="H895" s="5"/>
      <c r="I895" s="6" t="s">
        <v>2046</v>
      </c>
    </row>
    <row r="896" customFormat="false" ht="23.85" hidden="false" customHeight="false" outlineLevel="0" collapsed="false">
      <c r="A896" s="5" t="s">
        <v>2132</v>
      </c>
      <c r="B896" s="5" t="s">
        <v>1005</v>
      </c>
      <c r="C896" s="5" t="s">
        <v>1026</v>
      </c>
      <c r="D896" s="5" t="s">
        <v>1026</v>
      </c>
      <c r="E896" s="6" t="s">
        <v>2047</v>
      </c>
      <c r="F896" s="6" t="s">
        <v>2048</v>
      </c>
      <c r="G896" s="6" t="s">
        <v>2045</v>
      </c>
      <c r="H896" s="5"/>
      <c r="I896" s="6" t="s">
        <v>2049</v>
      </c>
    </row>
    <row r="897" customFormat="false" ht="15" hidden="false" customHeight="false" outlineLevel="0" collapsed="false">
      <c r="A897" s="5" t="s">
        <v>2132</v>
      </c>
      <c r="B897" s="5" t="s">
        <v>1005</v>
      </c>
      <c r="C897" s="5" t="s">
        <v>1026</v>
      </c>
      <c r="D897" s="5" t="s">
        <v>1026</v>
      </c>
      <c r="E897" s="6" t="s">
        <v>2050</v>
      </c>
      <c r="F897" s="6" t="s">
        <v>2051</v>
      </c>
      <c r="G897" s="6" t="s">
        <v>2133</v>
      </c>
      <c r="H897" s="5"/>
      <c r="I897" s="6" t="s">
        <v>2053</v>
      </c>
    </row>
    <row r="898" customFormat="false" ht="15" hidden="false" customHeight="false" outlineLevel="0" collapsed="false">
      <c r="A898" s="5" t="s">
        <v>2132</v>
      </c>
      <c r="B898" s="5" t="s">
        <v>1005</v>
      </c>
      <c r="C898" s="5" t="s">
        <v>1026</v>
      </c>
      <c r="D898" s="5" t="s">
        <v>1026</v>
      </c>
      <c r="E898" s="6" t="s">
        <v>2054</v>
      </c>
      <c r="F898" s="6" t="s">
        <v>2055</v>
      </c>
      <c r="G898" s="6" t="s">
        <v>2045</v>
      </c>
      <c r="H898" s="5"/>
      <c r="I898" s="6" t="s">
        <v>2056</v>
      </c>
    </row>
    <row r="899" customFormat="false" ht="15" hidden="false" customHeight="false" outlineLevel="0" collapsed="false">
      <c r="A899" s="5" t="s">
        <v>2132</v>
      </c>
      <c r="B899" s="5" t="s">
        <v>1005</v>
      </c>
      <c r="C899" s="5" t="s">
        <v>1026</v>
      </c>
      <c r="D899" s="5" t="s">
        <v>1026</v>
      </c>
      <c r="E899" s="6" t="s">
        <v>2057</v>
      </c>
      <c r="F899" s="6" t="s">
        <v>2134</v>
      </c>
      <c r="G899" s="6" t="s">
        <v>2135</v>
      </c>
      <c r="H899" s="5"/>
      <c r="I899" s="6" t="s">
        <v>2049</v>
      </c>
    </row>
    <row r="900" customFormat="false" ht="15" hidden="false" customHeight="false" outlineLevel="0" collapsed="false">
      <c r="A900" s="5" t="s">
        <v>2132</v>
      </c>
      <c r="B900" s="5" t="s">
        <v>1005</v>
      </c>
      <c r="C900" s="5" t="s">
        <v>1026</v>
      </c>
      <c r="D900" s="5" t="s">
        <v>1026</v>
      </c>
      <c r="E900" s="6" t="s">
        <v>2060</v>
      </c>
      <c r="F900" s="6" t="s">
        <v>2061</v>
      </c>
      <c r="G900" s="6" t="s">
        <v>2136</v>
      </c>
      <c r="H900" s="5"/>
      <c r="I900" s="6" t="s">
        <v>2049</v>
      </c>
    </row>
    <row r="901" customFormat="false" ht="15" hidden="false" customHeight="false" outlineLevel="0" collapsed="false">
      <c r="A901" s="5" t="s">
        <v>2132</v>
      </c>
      <c r="B901" s="5" t="s">
        <v>1005</v>
      </c>
      <c r="C901" s="5" t="s">
        <v>1026</v>
      </c>
      <c r="D901" s="5" t="s">
        <v>1026</v>
      </c>
      <c r="E901" s="6" t="s">
        <v>2063</v>
      </c>
      <c r="F901" s="6" t="s">
        <v>2061</v>
      </c>
      <c r="G901" s="6" t="s">
        <v>2064</v>
      </c>
      <c r="H901" s="5"/>
      <c r="I901" s="6" t="s">
        <v>2049</v>
      </c>
    </row>
    <row r="902" customFormat="false" ht="15" hidden="false" customHeight="false" outlineLevel="0" collapsed="false">
      <c r="A902" s="5" t="s">
        <v>2132</v>
      </c>
      <c r="B902" s="5" t="s">
        <v>1005</v>
      </c>
      <c r="C902" s="5" t="s">
        <v>1026</v>
      </c>
      <c r="D902" s="5" t="s">
        <v>1026</v>
      </c>
      <c r="E902" s="6" t="s">
        <v>2065</v>
      </c>
      <c r="F902" s="6" t="s">
        <v>2066</v>
      </c>
      <c r="G902" s="6" t="s">
        <v>1765</v>
      </c>
      <c r="H902" s="5"/>
      <c r="I902" s="6" t="s">
        <v>2067</v>
      </c>
    </row>
    <row r="903" customFormat="false" ht="15" hidden="false" customHeight="false" outlineLevel="0" collapsed="false">
      <c r="A903" s="5" t="s">
        <v>2132</v>
      </c>
      <c r="B903" s="5" t="s">
        <v>1005</v>
      </c>
      <c r="C903" s="5" t="s">
        <v>1026</v>
      </c>
      <c r="D903" s="5" t="s">
        <v>1026</v>
      </c>
      <c r="E903" s="6" t="s">
        <v>2068</v>
      </c>
      <c r="F903" s="6" t="s">
        <v>2069</v>
      </c>
      <c r="G903" s="6" t="s">
        <v>2070</v>
      </c>
      <c r="H903" s="5"/>
      <c r="I903" s="6" t="s">
        <v>2071</v>
      </c>
    </row>
    <row r="904" customFormat="false" ht="15" hidden="false" customHeight="false" outlineLevel="0" collapsed="false">
      <c r="A904" s="5" t="s">
        <v>2132</v>
      </c>
      <c r="B904" s="5" t="s">
        <v>1005</v>
      </c>
      <c r="C904" s="5" t="s">
        <v>1026</v>
      </c>
      <c r="D904" s="5" t="s">
        <v>1026</v>
      </c>
      <c r="E904" s="6" t="s">
        <v>2072</v>
      </c>
      <c r="F904" s="6" t="s">
        <v>2073</v>
      </c>
      <c r="G904" s="6" t="s">
        <v>2070</v>
      </c>
      <c r="H904" s="5"/>
      <c r="I904" s="6" t="s">
        <v>2071</v>
      </c>
    </row>
    <row r="905" customFormat="false" ht="15" hidden="false" customHeight="false" outlineLevel="0" collapsed="false">
      <c r="A905" s="5" t="s">
        <v>2132</v>
      </c>
      <c r="B905" s="5" t="s">
        <v>1005</v>
      </c>
      <c r="C905" s="5" t="s">
        <v>1026</v>
      </c>
      <c r="D905" s="5" t="s">
        <v>1026</v>
      </c>
      <c r="E905" s="6" t="s">
        <v>2074</v>
      </c>
      <c r="F905" s="6" t="s">
        <v>2075</v>
      </c>
      <c r="G905" s="6" t="s">
        <v>2070</v>
      </c>
      <c r="H905" s="5"/>
      <c r="I905" s="6" t="s">
        <v>2071</v>
      </c>
    </row>
    <row r="906" customFormat="false" ht="23.85" hidden="false" customHeight="false" outlineLevel="0" collapsed="false">
      <c r="A906" s="5" t="s">
        <v>2132</v>
      </c>
      <c r="B906" s="5" t="s">
        <v>1005</v>
      </c>
      <c r="C906" s="5" t="s">
        <v>1026</v>
      </c>
      <c r="D906" s="5" t="s">
        <v>1026</v>
      </c>
      <c r="E906" s="6" t="s">
        <v>2076</v>
      </c>
      <c r="F906" s="6" t="s">
        <v>2077</v>
      </c>
      <c r="G906" s="6" t="s">
        <v>2070</v>
      </c>
      <c r="H906" s="5"/>
      <c r="I906" s="6" t="s">
        <v>2071</v>
      </c>
    </row>
    <row r="907" customFormat="false" ht="15" hidden="false" customHeight="false" outlineLevel="0" collapsed="false">
      <c r="A907" s="5" t="s">
        <v>2132</v>
      </c>
      <c r="B907" s="5" t="s">
        <v>1005</v>
      </c>
      <c r="C907" s="5" t="s">
        <v>1026</v>
      </c>
      <c r="D907" s="5" t="s">
        <v>1026</v>
      </c>
      <c r="E907" s="6" t="s">
        <v>2078</v>
      </c>
      <c r="F907" s="6" t="s">
        <v>2079</v>
      </c>
      <c r="G907" s="6" t="s">
        <v>2070</v>
      </c>
      <c r="H907" s="5"/>
      <c r="I907" s="6" t="s">
        <v>2071</v>
      </c>
    </row>
    <row r="908" customFormat="false" ht="15" hidden="false" customHeight="false" outlineLevel="0" collapsed="false">
      <c r="A908" s="5" t="s">
        <v>2132</v>
      </c>
      <c r="B908" s="5" t="s">
        <v>1005</v>
      </c>
      <c r="C908" s="5" t="s">
        <v>1026</v>
      </c>
      <c r="D908" s="5" t="s">
        <v>1026</v>
      </c>
      <c r="E908" s="6" t="s">
        <v>2080</v>
      </c>
      <c r="F908" s="6" t="s">
        <v>2081</v>
      </c>
      <c r="G908" s="6" t="s">
        <v>2070</v>
      </c>
      <c r="H908" s="5"/>
      <c r="I908" s="6" t="s">
        <v>2071</v>
      </c>
    </row>
    <row r="909" customFormat="false" ht="15" hidden="false" customHeight="false" outlineLevel="0" collapsed="false">
      <c r="A909" s="5" t="s">
        <v>2132</v>
      </c>
      <c r="B909" s="5" t="s">
        <v>1005</v>
      </c>
      <c r="C909" s="5" t="s">
        <v>1026</v>
      </c>
      <c r="D909" s="5" t="s">
        <v>1026</v>
      </c>
      <c r="E909" s="6" t="s">
        <v>2082</v>
      </c>
      <c r="F909" s="6" t="s">
        <v>2083</v>
      </c>
      <c r="G909" s="6" t="s">
        <v>2070</v>
      </c>
      <c r="H909" s="5"/>
      <c r="I909" s="6" t="s">
        <v>2071</v>
      </c>
    </row>
    <row r="910" customFormat="false" ht="15" hidden="false" customHeight="false" outlineLevel="0" collapsed="false">
      <c r="A910" s="5" t="s">
        <v>2132</v>
      </c>
      <c r="B910" s="5" t="s">
        <v>1005</v>
      </c>
      <c r="C910" s="5" t="s">
        <v>1026</v>
      </c>
      <c r="D910" s="5" t="s">
        <v>1026</v>
      </c>
      <c r="E910" s="6" t="s">
        <v>2084</v>
      </c>
      <c r="F910" s="6" t="s">
        <v>2073</v>
      </c>
      <c r="G910" s="6" t="s">
        <v>2070</v>
      </c>
      <c r="H910" s="5"/>
      <c r="I910" s="6" t="s">
        <v>2071</v>
      </c>
    </row>
    <row r="911" customFormat="false" ht="15" hidden="false" customHeight="false" outlineLevel="0" collapsed="false">
      <c r="A911" s="5" t="s">
        <v>2132</v>
      </c>
      <c r="B911" s="5" t="s">
        <v>1005</v>
      </c>
      <c r="C911" s="5" t="s">
        <v>1026</v>
      </c>
      <c r="D911" s="5" t="s">
        <v>1026</v>
      </c>
      <c r="E911" s="6" t="s">
        <v>2085</v>
      </c>
      <c r="F911" s="6" t="s">
        <v>2086</v>
      </c>
      <c r="G911" s="6" t="s">
        <v>2070</v>
      </c>
      <c r="H911" s="5"/>
      <c r="I911" s="6" t="s">
        <v>2071</v>
      </c>
    </row>
    <row r="912" customFormat="false" ht="23.85" hidden="false" customHeight="false" outlineLevel="0" collapsed="false">
      <c r="A912" s="5" t="s">
        <v>2132</v>
      </c>
      <c r="B912" s="5" t="s">
        <v>1005</v>
      </c>
      <c r="C912" s="5" t="s">
        <v>1026</v>
      </c>
      <c r="D912" s="5" t="s">
        <v>1026</v>
      </c>
      <c r="E912" s="6" t="s">
        <v>2087</v>
      </c>
      <c r="F912" s="6" t="s">
        <v>2081</v>
      </c>
      <c r="G912" s="6" t="s">
        <v>2070</v>
      </c>
      <c r="H912" s="5"/>
      <c r="I912" s="6" t="s">
        <v>2071</v>
      </c>
    </row>
    <row r="913" customFormat="false" ht="15" hidden="false" customHeight="false" outlineLevel="0" collapsed="false">
      <c r="A913" s="5" t="s">
        <v>2132</v>
      </c>
      <c r="B913" s="5" t="s">
        <v>1005</v>
      </c>
      <c r="C913" s="5" t="s">
        <v>1026</v>
      </c>
      <c r="D913" s="5" t="s">
        <v>1026</v>
      </c>
      <c r="E913" s="6" t="s">
        <v>2088</v>
      </c>
      <c r="F913" s="6" t="s">
        <v>2081</v>
      </c>
      <c r="G913" s="6" t="s">
        <v>2070</v>
      </c>
      <c r="H913" s="5"/>
      <c r="I913" s="6" t="s">
        <v>2071</v>
      </c>
    </row>
    <row r="914" customFormat="false" ht="15" hidden="false" customHeight="false" outlineLevel="0" collapsed="false">
      <c r="A914" s="5" t="s">
        <v>2132</v>
      </c>
      <c r="B914" s="5" t="s">
        <v>1005</v>
      </c>
      <c r="C914" s="5" t="s">
        <v>1026</v>
      </c>
      <c r="D914" s="5" t="s">
        <v>1026</v>
      </c>
      <c r="E914" s="6" t="s">
        <v>2089</v>
      </c>
      <c r="F914" s="6" t="s">
        <v>2081</v>
      </c>
      <c r="G914" s="6" t="s">
        <v>2070</v>
      </c>
      <c r="H914" s="5"/>
      <c r="I914" s="6" t="s">
        <v>2071</v>
      </c>
    </row>
    <row r="915" customFormat="false" ht="15" hidden="false" customHeight="false" outlineLevel="0" collapsed="false">
      <c r="A915" s="5" t="s">
        <v>2132</v>
      </c>
      <c r="B915" s="5" t="s">
        <v>1005</v>
      </c>
      <c r="C915" s="5" t="s">
        <v>1026</v>
      </c>
      <c r="D915" s="5" t="s">
        <v>1026</v>
      </c>
      <c r="E915" s="6" t="s">
        <v>2090</v>
      </c>
      <c r="F915" s="6" t="s">
        <v>2081</v>
      </c>
      <c r="G915" s="6" t="s">
        <v>2070</v>
      </c>
      <c r="H915" s="5"/>
      <c r="I915" s="6" t="s">
        <v>2071</v>
      </c>
    </row>
    <row r="916" customFormat="false" ht="15" hidden="false" customHeight="false" outlineLevel="0" collapsed="false">
      <c r="A916" s="5" t="s">
        <v>2132</v>
      </c>
      <c r="B916" s="5" t="s">
        <v>1005</v>
      </c>
      <c r="C916" s="5" t="s">
        <v>1026</v>
      </c>
      <c r="D916" s="5" t="s">
        <v>1026</v>
      </c>
      <c r="E916" s="6" t="s">
        <v>2091</v>
      </c>
      <c r="F916" s="6" t="s">
        <v>2083</v>
      </c>
      <c r="G916" s="6" t="s">
        <v>2070</v>
      </c>
      <c r="H916" s="5"/>
      <c r="I916" s="6" t="s">
        <v>2093</v>
      </c>
    </row>
    <row r="917" customFormat="false" ht="15" hidden="false" customHeight="false" outlineLevel="0" collapsed="false">
      <c r="A917" s="5" t="s">
        <v>2132</v>
      </c>
      <c r="B917" s="5" t="s">
        <v>1005</v>
      </c>
      <c r="C917" s="5" t="s">
        <v>1026</v>
      </c>
      <c r="D917" s="5" t="s">
        <v>1026</v>
      </c>
      <c r="E917" s="6" t="s">
        <v>2094</v>
      </c>
      <c r="F917" s="6" t="s">
        <v>2069</v>
      </c>
      <c r="G917" s="6" t="s">
        <v>2070</v>
      </c>
      <c r="H917" s="5"/>
      <c r="I917" s="6" t="s">
        <v>2093</v>
      </c>
    </row>
    <row r="918" customFormat="false" ht="15" hidden="false" customHeight="false" outlineLevel="0" collapsed="false">
      <c r="A918" s="5" t="s">
        <v>2132</v>
      </c>
      <c r="B918" s="5" t="s">
        <v>1005</v>
      </c>
      <c r="C918" s="5" t="s">
        <v>1026</v>
      </c>
      <c r="D918" s="5" t="s">
        <v>1026</v>
      </c>
      <c r="E918" s="6" t="s">
        <v>2096</v>
      </c>
      <c r="F918" s="6" t="s">
        <v>2073</v>
      </c>
      <c r="G918" s="6" t="s">
        <v>2070</v>
      </c>
      <c r="H918" s="5"/>
      <c r="I918" s="6" t="s">
        <v>2093</v>
      </c>
    </row>
    <row r="919" customFormat="false" ht="15" hidden="false" customHeight="false" outlineLevel="0" collapsed="false">
      <c r="A919" s="5" t="s">
        <v>2132</v>
      </c>
      <c r="B919" s="5" t="s">
        <v>1005</v>
      </c>
      <c r="C919" s="5" t="s">
        <v>1026</v>
      </c>
      <c r="D919" s="5" t="s">
        <v>1026</v>
      </c>
      <c r="E919" s="6" t="s">
        <v>2098</v>
      </c>
      <c r="F919" s="6" t="s">
        <v>2075</v>
      </c>
      <c r="G919" s="6" t="s">
        <v>2137</v>
      </c>
      <c r="H919" s="5"/>
      <c r="I919" s="6" t="s">
        <v>2093</v>
      </c>
    </row>
    <row r="920" customFormat="false" ht="15" hidden="false" customHeight="false" outlineLevel="0" collapsed="false">
      <c r="A920" s="5" t="s">
        <v>2132</v>
      </c>
      <c r="B920" s="5" t="s">
        <v>1005</v>
      </c>
      <c r="C920" s="5" t="s">
        <v>1026</v>
      </c>
      <c r="D920" s="5" t="s">
        <v>1026</v>
      </c>
      <c r="E920" s="6" t="s">
        <v>2100</v>
      </c>
      <c r="F920" s="6" t="s">
        <v>2125</v>
      </c>
      <c r="G920" s="6" t="s">
        <v>1930</v>
      </c>
      <c r="H920" s="5"/>
      <c r="I920" s="6" t="s">
        <v>2138</v>
      </c>
    </row>
    <row r="921" customFormat="false" ht="23.85" hidden="false" customHeight="false" outlineLevel="0" collapsed="false">
      <c r="A921" s="5" t="s">
        <v>2132</v>
      </c>
      <c r="B921" s="5" t="s">
        <v>1005</v>
      </c>
      <c r="C921" s="5" t="s">
        <v>1026</v>
      </c>
      <c r="D921" s="5" t="s">
        <v>1026</v>
      </c>
      <c r="E921" s="6" t="s">
        <v>2104</v>
      </c>
      <c r="F921" s="6" t="s">
        <v>2127</v>
      </c>
      <c r="G921" s="6" t="s">
        <v>1930</v>
      </c>
      <c r="H921" s="5"/>
      <c r="I921" s="6" t="s">
        <v>2138</v>
      </c>
    </row>
    <row r="922" customFormat="false" ht="15" hidden="false" customHeight="false" outlineLevel="0" collapsed="false">
      <c r="A922" s="5" t="s">
        <v>2132</v>
      </c>
      <c r="B922" s="5" t="s">
        <v>1005</v>
      </c>
      <c r="C922" s="5" t="s">
        <v>1026</v>
      </c>
      <c r="D922" s="5" t="s">
        <v>1026</v>
      </c>
      <c r="E922" s="6" t="s">
        <v>2107</v>
      </c>
      <c r="F922" s="6" t="s">
        <v>2129</v>
      </c>
      <c r="G922" s="6" t="s">
        <v>1930</v>
      </c>
      <c r="H922" s="5"/>
      <c r="I922" s="6" t="s">
        <v>2138</v>
      </c>
    </row>
    <row r="923" customFormat="false" ht="15" hidden="false" customHeight="false" outlineLevel="0" collapsed="false">
      <c r="A923" s="5" t="s">
        <v>2132</v>
      </c>
      <c r="B923" s="5" t="s">
        <v>1005</v>
      </c>
      <c r="C923" s="5" t="s">
        <v>1026</v>
      </c>
      <c r="D923" s="5" t="s">
        <v>1026</v>
      </c>
      <c r="E923" s="6" t="s">
        <v>2130</v>
      </c>
      <c r="F923" s="6" t="s">
        <v>2111</v>
      </c>
      <c r="G923" s="6" t="s">
        <v>2112</v>
      </c>
      <c r="H923" s="5"/>
      <c r="I923" s="6" t="s">
        <v>2138</v>
      </c>
    </row>
    <row r="924" customFormat="false" ht="15" hidden="false" customHeight="false" outlineLevel="0" collapsed="false">
      <c r="A924" s="5" t="s">
        <v>2132</v>
      </c>
      <c r="B924" s="5" t="s">
        <v>1005</v>
      </c>
      <c r="C924" s="5" t="s">
        <v>1026</v>
      </c>
      <c r="D924" s="5" t="s">
        <v>1026</v>
      </c>
      <c r="E924" s="6" t="s">
        <v>2131</v>
      </c>
      <c r="F924" s="6" t="s">
        <v>2111</v>
      </c>
      <c r="G924" s="6" t="s">
        <v>2112</v>
      </c>
      <c r="H924" s="5"/>
      <c r="I924" s="6" t="s">
        <v>2138</v>
      </c>
    </row>
    <row r="925" customFormat="false" ht="15" hidden="false" customHeight="false" outlineLevel="0" collapsed="false">
      <c r="A925" s="5" t="s">
        <v>2132</v>
      </c>
      <c r="B925" s="5" t="s">
        <v>1005</v>
      </c>
      <c r="C925" s="5" t="s">
        <v>1026</v>
      </c>
      <c r="D925" s="5" t="s">
        <v>1026</v>
      </c>
      <c r="E925" s="6" t="s">
        <v>2114</v>
      </c>
      <c r="F925" s="6" t="s">
        <v>2115</v>
      </c>
      <c r="G925" s="6" t="s">
        <v>2045</v>
      </c>
      <c r="H925" s="5"/>
      <c r="I925" s="6" t="s">
        <v>2116</v>
      </c>
    </row>
    <row r="926" customFormat="false" ht="15" hidden="false" customHeight="false" outlineLevel="0" collapsed="false">
      <c r="A926" s="5" t="s">
        <v>2132</v>
      </c>
      <c r="B926" s="5" t="s">
        <v>1005</v>
      </c>
      <c r="C926" s="5" t="s">
        <v>1026</v>
      </c>
      <c r="D926" s="5" t="s">
        <v>1026</v>
      </c>
      <c r="E926" s="6" t="s">
        <v>2117</v>
      </c>
      <c r="F926" s="6" t="s">
        <v>2115</v>
      </c>
      <c r="G926" s="6" t="s">
        <v>2045</v>
      </c>
      <c r="H926" s="5"/>
      <c r="I926" s="6" t="s">
        <v>2116</v>
      </c>
    </row>
    <row r="927" customFormat="false" ht="15" hidden="false" customHeight="false" outlineLevel="0" collapsed="false">
      <c r="A927" s="5" t="s">
        <v>2132</v>
      </c>
      <c r="B927" s="5" t="s">
        <v>1005</v>
      </c>
      <c r="C927" s="5" t="s">
        <v>1026</v>
      </c>
      <c r="D927" s="5" t="s">
        <v>1026</v>
      </c>
      <c r="E927" s="6" t="s">
        <v>2118</v>
      </c>
      <c r="F927" s="6" t="s">
        <v>2115</v>
      </c>
      <c r="G927" s="6" t="s">
        <v>2045</v>
      </c>
      <c r="H927" s="5"/>
      <c r="I927" s="6" t="s">
        <v>2116</v>
      </c>
    </row>
    <row r="928" customFormat="false" ht="35.05" hidden="false" customHeight="false" outlineLevel="0" collapsed="false">
      <c r="A928" s="5" t="s">
        <v>2139</v>
      </c>
      <c r="B928" s="5" t="s">
        <v>1005</v>
      </c>
      <c r="C928" s="5" t="s">
        <v>1033</v>
      </c>
      <c r="D928" s="5" t="s">
        <v>1033</v>
      </c>
      <c r="E928" s="6" t="s">
        <v>2043</v>
      </c>
      <c r="F928" s="6" t="s">
        <v>2044</v>
      </c>
      <c r="G928" s="6" t="s">
        <v>2045</v>
      </c>
      <c r="H928" s="5"/>
      <c r="I928" s="6" t="s">
        <v>2046</v>
      </c>
    </row>
    <row r="929" customFormat="false" ht="23.85" hidden="false" customHeight="false" outlineLevel="0" collapsed="false">
      <c r="A929" s="5" t="s">
        <v>2139</v>
      </c>
      <c r="B929" s="5" t="s">
        <v>1005</v>
      </c>
      <c r="C929" s="5" t="s">
        <v>1033</v>
      </c>
      <c r="D929" s="5" t="s">
        <v>1033</v>
      </c>
      <c r="E929" s="6" t="s">
        <v>2047</v>
      </c>
      <c r="F929" s="6" t="s">
        <v>2048</v>
      </c>
      <c r="G929" s="6" t="s">
        <v>2045</v>
      </c>
      <c r="H929" s="5"/>
      <c r="I929" s="6" t="s">
        <v>2049</v>
      </c>
    </row>
    <row r="930" customFormat="false" ht="15" hidden="false" customHeight="false" outlineLevel="0" collapsed="false">
      <c r="A930" s="5" t="s">
        <v>2139</v>
      </c>
      <c r="B930" s="5" t="s">
        <v>1005</v>
      </c>
      <c r="C930" s="5" t="s">
        <v>1033</v>
      </c>
      <c r="D930" s="5" t="s">
        <v>1033</v>
      </c>
      <c r="E930" s="6" t="s">
        <v>2050</v>
      </c>
      <c r="F930" s="6" t="s">
        <v>2051</v>
      </c>
      <c r="G930" s="6" t="s">
        <v>2140</v>
      </c>
      <c r="H930" s="5"/>
      <c r="I930" s="6" t="s">
        <v>2053</v>
      </c>
    </row>
    <row r="931" customFormat="false" ht="15" hidden="false" customHeight="false" outlineLevel="0" collapsed="false">
      <c r="A931" s="5" t="s">
        <v>2139</v>
      </c>
      <c r="B931" s="5" t="s">
        <v>1005</v>
      </c>
      <c r="C931" s="5" t="s">
        <v>1033</v>
      </c>
      <c r="D931" s="5" t="s">
        <v>1033</v>
      </c>
      <c r="E931" s="6" t="s">
        <v>2054</v>
      </c>
      <c r="F931" s="6" t="s">
        <v>2055</v>
      </c>
      <c r="G931" s="6" t="s">
        <v>2045</v>
      </c>
      <c r="H931" s="5"/>
      <c r="I931" s="6" t="s">
        <v>2056</v>
      </c>
    </row>
    <row r="932" customFormat="false" ht="15" hidden="false" customHeight="false" outlineLevel="0" collapsed="false">
      <c r="A932" s="5" t="s">
        <v>2139</v>
      </c>
      <c r="B932" s="5" t="s">
        <v>1005</v>
      </c>
      <c r="C932" s="5" t="s">
        <v>1033</v>
      </c>
      <c r="D932" s="5" t="s">
        <v>1033</v>
      </c>
      <c r="E932" s="6" t="s">
        <v>2141</v>
      </c>
      <c r="F932" s="6" t="s">
        <v>2142</v>
      </c>
      <c r="G932" s="6" t="s">
        <v>2143</v>
      </c>
      <c r="H932" s="5"/>
      <c r="I932" s="6" t="s">
        <v>2049</v>
      </c>
    </row>
    <row r="933" customFormat="false" ht="15" hidden="false" customHeight="false" outlineLevel="0" collapsed="false">
      <c r="A933" s="5" t="s">
        <v>2139</v>
      </c>
      <c r="B933" s="5" t="s">
        <v>1005</v>
      </c>
      <c r="C933" s="5" t="s">
        <v>1033</v>
      </c>
      <c r="D933" s="5" t="s">
        <v>1033</v>
      </c>
      <c r="E933" s="6" t="s">
        <v>2060</v>
      </c>
      <c r="F933" s="6" t="s">
        <v>2061</v>
      </c>
      <c r="G933" s="6" t="s">
        <v>2123</v>
      </c>
      <c r="H933" s="5"/>
      <c r="I933" s="6" t="s">
        <v>2049</v>
      </c>
    </row>
    <row r="934" customFormat="false" ht="15" hidden="false" customHeight="false" outlineLevel="0" collapsed="false">
      <c r="A934" s="5" t="s">
        <v>2139</v>
      </c>
      <c r="B934" s="5" t="s">
        <v>1005</v>
      </c>
      <c r="C934" s="5" t="s">
        <v>1033</v>
      </c>
      <c r="D934" s="5" t="s">
        <v>1033</v>
      </c>
      <c r="E934" s="6" t="s">
        <v>2063</v>
      </c>
      <c r="F934" s="6" t="s">
        <v>2061</v>
      </c>
      <c r="G934" s="6" t="s">
        <v>2144</v>
      </c>
      <c r="H934" s="5"/>
      <c r="I934" s="6" t="s">
        <v>2049</v>
      </c>
    </row>
    <row r="935" customFormat="false" ht="15" hidden="false" customHeight="false" outlineLevel="0" collapsed="false">
      <c r="A935" s="5" t="s">
        <v>2139</v>
      </c>
      <c r="B935" s="5" t="s">
        <v>1005</v>
      </c>
      <c r="C935" s="5" t="s">
        <v>1033</v>
      </c>
      <c r="D935" s="5" t="s">
        <v>1033</v>
      </c>
      <c r="E935" s="6" t="s">
        <v>2065</v>
      </c>
      <c r="F935" s="6" t="s">
        <v>2066</v>
      </c>
      <c r="G935" s="6" t="s">
        <v>1765</v>
      </c>
      <c r="H935" s="5"/>
      <c r="I935" s="6" t="s">
        <v>2067</v>
      </c>
    </row>
    <row r="936" customFormat="false" ht="15" hidden="false" customHeight="false" outlineLevel="0" collapsed="false">
      <c r="A936" s="5" t="s">
        <v>2139</v>
      </c>
      <c r="B936" s="5" t="s">
        <v>1005</v>
      </c>
      <c r="C936" s="5" t="s">
        <v>1033</v>
      </c>
      <c r="D936" s="5" t="s">
        <v>1033</v>
      </c>
      <c r="E936" s="6" t="s">
        <v>2068</v>
      </c>
      <c r="F936" s="6" t="s">
        <v>2069</v>
      </c>
      <c r="G936" s="6" t="s">
        <v>2070</v>
      </c>
      <c r="H936" s="5"/>
      <c r="I936" s="6" t="s">
        <v>2071</v>
      </c>
    </row>
    <row r="937" customFormat="false" ht="15" hidden="false" customHeight="false" outlineLevel="0" collapsed="false">
      <c r="A937" s="5" t="s">
        <v>2139</v>
      </c>
      <c r="B937" s="5" t="s">
        <v>1005</v>
      </c>
      <c r="C937" s="5" t="s">
        <v>1033</v>
      </c>
      <c r="D937" s="5" t="s">
        <v>1033</v>
      </c>
      <c r="E937" s="6" t="s">
        <v>2072</v>
      </c>
      <c r="F937" s="6" t="s">
        <v>2073</v>
      </c>
      <c r="G937" s="6" t="s">
        <v>2070</v>
      </c>
      <c r="H937" s="5"/>
      <c r="I937" s="6" t="s">
        <v>2071</v>
      </c>
    </row>
    <row r="938" customFormat="false" ht="15" hidden="false" customHeight="false" outlineLevel="0" collapsed="false">
      <c r="A938" s="5" t="s">
        <v>2139</v>
      </c>
      <c r="B938" s="5" t="s">
        <v>1005</v>
      </c>
      <c r="C938" s="5" t="s">
        <v>1033</v>
      </c>
      <c r="D938" s="5" t="s">
        <v>1033</v>
      </c>
      <c r="E938" s="6" t="s">
        <v>2074</v>
      </c>
      <c r="F938" s="6" t="s">
        <v>2075</v>
      </c>
      <c r="G938" s="6" t="s">
        <v>2070</v>
      </c>
      <c r="H938" s="5"/>
      <c r="I938" s="6" t="s">
        <v>2071</v>
      </c>
    </row>
    <row r="939" customFormat="false" ht="23.85" hidden="false" customHeight="false" outlineLevel="0" collapsed="false">
      <c r="A939" s="5" t="s">
        <v>2139</v>
      </c>
      <c r="B939" s="5" t="s">
        <v>1005</v>
      </c>
      <c r="C939" s="5" t="s">
        <v>1033</v>
      </c>
      <c r="D939" s="5" t="s">
        <v>1033</v>
      </c>
      <c r="E939" s="6" t="s">
        <v>2076</v>
      </c>
      <c r="F939" s="6" t="s">
        <v>2077</v>
      </c>
      <c r="G939" s="6" t="s">
        <v>2070</v>
      </c>
      <c r="H939" s="5"/>
      <c r="I939" s="6" t="s">
        <v>2071</v>
      </c>
    </row>
    <row r="940" customFormat="false" ht="15" hidden="false" customHeight="false" outlineLevel="0" collapsed="false">
      <c r="A940" s="5" t="s">
        <v>2139</v>
      </c>
      <c r="B940" s="5" t="s">
        <v>1005</v>
      </c>
      <c r="C940" s="5" t="s">
        <v>1033</v>
      </c>
      <c r="D940" s="5" t="s">
        <v>1033</v>
      </c>
      <c r="E940" s="6" t="s">
        <v>2078</v>
      </c>
      <c r="F940" s="6" t="s">
        <v>2079</v>
      </c>
      <c r="G940" s="6" t="s">
        <v>2070</v>
      </c>
      <c r="H940" s="5"/>
      <c r="I940" s="6" t="s">
        <v>2071</v>
      </c>
    </row>
    <row r="941" customFormat="false" ht="15" hidden="false" customHeight="false" outlineLevel="0" collapsed="false">
      <c r="A941" s="5" t="s">
        <v>2139</v>
      </c>
      <c r="B941" s="5" t="s">
        <v>1005</v>
      </c>
      <c r="C941" s="5" t="s">
        <v>1033</v>
      </c>
      <c r="D941" s="5" t="s">
        <v>1033</v>
      </c>
      <c r="E941" s="6" t="s">
        <v>2080</v>
      </c>
      <c r="F941" s="6" t="s">
        <v>2081</v>
      </c>
      <c r="G941" s="6" t="s">
        <v>2070</v>
      </c>
      <c r="H941" s="5"/>
      <c r="I941" s="6" t="s">
        <v>2071</v>
      </c>
    </row>
    <row r="942" customFormat="false" ht="15" hidden="false" customHeight="false" outlineLevel="0" collapsed="false">
      <c r="A942" s="5" t="s">
        <v>2139</v>
      </c>
      <c r="B942" s="5" t="s">
        <v>1005</v>
      </c>
      <c r="C942" s="5" t="s">
        <v>1033</v>
      </c>
      <c r="D942" s="5" t="s">
        <v>1033</v>
      </c>
      <c r="E942" s="6" t="s">
        <v>2082</v>
      </c>
      <c r="F942" s="6" t="s">
        <v>2083</v>
      </c>
      <c r="G942" s="6" t="s">
        <v>2070</v>
      </c>
      <c r="H942" s="5"/>
      <c r="I942" s="6" t="s">
        <v>2071</v>
      </c>
    </row>
    <row r="943" customFormat="false" ht="15" hidden="false" customHeight="false" outlineLevel="0" collapsed="false">
      <c r="A943" s="5" t="s">
        <v>2139</v>
      </c>
      <c r="B943" s="5" t="s">
        <v>1005</v>
      </c>
      <c r="C943" s="5" t="s">
        <v>1033</v>
      </c>
      <c r="D943" s="5" t="s">
        <v>1033</v>
      </c>
      <c r="E943" s="6" t="s">
        <v>2084</v>
      </c>
      <c r="F943" s="6" t="s">
        <v>2073</v>
      </c>
      <c r="G943" s="6" t="s">
        <v>2070</v>
      </c>
      <c r="H943" s="5"/>
      <c r="I943" s="6" t="s">
        <v>2071</v>
      </c>
    </row>
    <row r="944" customFormat="false" ht="15" hidden="false" customHeight="false" outlineLevel="0" collapsed="false">
      <c r="A944" s="5" t="s">
        <v>2139</v>
      </c>
      <c r="B944" s="5" t="s">
        <v>1005</v>
      </c>
      <c r="C944" s="5" t="s">
        <v>1033</v>
      </c>
      <c r="D944" s="5" t="s">
        <v>1033</v>
      </c>
      <c r="E944" s="6" t="s">
        <v>2085</v>
      </c>
      <c r="F944" s="6" t="s">
        <v>2086</v>
      </c>
      <c r="G944" s="6" t="s">
        <v>2070</v>
      </c>
      <c r="H944" s="5"/>
      <c r="I944" s="6" t="s">
        <v>2071</v>
      </c>
    </row>
    <row r="945" customFormat="false" ht="23.85" hidden="false" customHeight="false" outlineLevel="0" collapsed="false">
      <c r="A945" s="5" t="s">
        <v>2139</v>
      </c>
      <c r="B945" s="5" t="s">
        <v>1005</v>
      </c>
      <c r="C945" s="5" t="s">
        <v>1033</v>
      </c>
      <c r="D945" s="5" t="s">
        <v>1033</v>
      </c>
      <c r="E945" s="6" t="s">
        <v>2087</v>
      </c>
      <c r="F945" s="6" t="s">
        <v>2081</v>
      </c>
      <c r="G945" s="6" t="s">
        <v>2070</v>
      </c>
      <c r="H945" s="5"/>
      <c r="I945" s="6" t="s">
        <v>2071</v>
      </c>
    </row>
    <row r="946" customFormat="false" ht="15" hidden="false" customHeight="false" outlineLevel="0" collapsed="false">
      <c r="A946" s="5" t="s">
        <v>2139</v>
      </c>
      <c r="B946" s="5" t="s">
        <v>1005</v>
      </c>
      <c r="C946" s="5" t="s">
        <v>1033</v>
      </c>
      <c r="D946" s="5" t="s">
        <v>1033</v>
      </c>
      <c r="E946" s="6" t="s">
        <v>2088</v>
      </c>
      <c r="F946" s="6" t="s">
        <v>2081</v>
      </c>
      <c r="G946" s="6" t="s">
        <v>2070</v>
      </c>
      <c r="H946" s="5"/>
      <c r="I946" s="6" t="s">
        <v>2071</v>
      </c>
    </row>
    <row r="947" customFormat="false" ht="15" hidden="false" customHeight="false" outlineLevel="0" collapsed="false">
      <c r="A947" s="5" t="s">
        <v>2139</v>
      </c>
      <c r="B947" s="5" t="s">
        <v>1005</v>
      </c>
      <c r="C947" s="5" t="s">
        <v>1033</v>
      </c>
      <c r="D947" s="5" t="s">
        <v>1033</v>
      </c>
      <c r="E947" s="6" t="s">
        <v>2089</v>
      </c>
      <c r="F947" s="6" t="s">
        <v>2081</v>
      </c>
      <c r="G947" s="6" t="s">
        <v>2070</v>
      </c>
      <c r="H947" s="5"/>
      <c r="I947" s="6" t="s">
        <v>2071</v>
      </c>
    </row>
    <row r="948" customFormat="false" ht="15" hidden="false" customHeight="false" outlineLevel="0" collapsed="false">
      <c r="A948" s="5" t="s">
        <v>2139</v>
      </c>
      <c r="B948" s="5" t="s">
        <v>1005</v>
      </c>
      <c r="C948" s="5" t="s">
        <v>1033</v>
      </c>
      <c r="D948" s="5" t="s">
        <v>1033</v>
      </c>
      <c r="E948" s="6" t="s">
        <v>2090</v>
      </c>
      <c r="F948" s="6" t="s">
        <v>2081</v>
      </c>
      <c r="G948" s="6" t="s">
        <v>2070</v>
      </c>
      <c r="H948" s="5"/>
      <c r="I948" s="6" t="s">
        <v>2071</v>
      </c>
    </row>
    <row r="949" customFormat="false" ht="15" hidden="false" customHeight="false" outlineLevel="0" collapsed="false">
      <c r="A949" s="5" t="s">
        <v>2139</v>
      </c>
      <c r="B949" s="5" t="s">
        <v>1005</v>
      </c>
      <c r="C949" s="5" t="s">
        <v>1033</v>
      </c>
      <c r="D949" s="5" t="s">
        <v>1033</v>
      </c>
      <c r="E949" s="6" t="s">
        <v>2091</v>
      </c>
      <c r="F949" s="6" t="s">
        <v>2083</v>
      </c>
      <c r="G949" s="6" t="s">
        <v>2145</v>
      </c>
      <c r="H949" s="5"/>
      <c r="I949" s="6" t="s">
        <v>2093</v>
      </c>
    </row>
    <row r="950" customFormat="false" ht="15" hidden="false" customHeight="false" outlineLevel="0" collapsed="false">
      <c r="A950" s="5" t="s">
        <v>2139</v>
      </c>
      <c r="B950" s="5" t="s">
        <v>1005</v>
      </c>
      <c r="C950" s="5" t="s">
        <v>1033</v>
      </c>
      <c r="D950" s="5" t="s">
        <v>1033</v>
      </c>
      <c r="E950" s="6" t="s">
        <v>2094</v>
      </c>
      <c r="F950" s="6" t="s">
        <v>2069</v>
      </c>
      <c r="G950" s="6" t="s">
        <v>2146</v>
      </c>
      <c r="H950" s="5"/>
      <c r="I950" s="6" t="s">
        <v>2093</v>
      </c>
    </row>
    <row r="951" customFormat="false" ht="15" hidden="false" customHeight="false" outlineLevel="0" collapsed="false">
      <c r="A951" s="5" t="s">
        <v>2139</v>
      </c>
      <c r="B951" s="5" t="s">
        <v>1005</v>
      </c>
      <c r="C951" s="5" t="s">
        <v>1033</v>
      </c>
      <c r="D951" s="5" t="s">
        <v>1033</v>
      </c>
      <c r="E951" s="6" t="s">
        <v>2096</v>
      </c>
      <c r="F951" s="6" t="s">
        <v>2073</v>
      </c>
      <c r="G951" s="6" t="s">
        <v>2070</v>
      </c>
      <c r="H951" s="5"/>
      <c r="I951" s="6" t="s">
        <v>2093</v>
      </c>
    </row>
    <row r="952" customFormat="false" ht="15" hidden="false" customHeight="false" outlineLevel="0" collapsed="false">
      <c r="A952" s="5" t="s">
        <v>2139</v>
      </c>
      <c r="B952" s="5" t="s">
        <v>1005</v>
      </c>
      <c r="C952" s="5" t="s">
        <v>1033</v>
      </c>
      <c r="D952" s="5" t="s">
        <v>1033</v>
      </c>
      <c r="E952" s="6" t="s">
        <v>2098</v>
      </c>
      <c r="F952" s="6" t="s">
        <v>2075</v>
      </c>
      <c r="G952" s="6" t="s">
        <v>2099</v>
      </c>
      <c r="H952" s="5"/>
      <c r="I952" s="6" t="s">
        <v>2093</v>
      </c>
    </row>
    <row r="953" customFormat="false" ht="15" hidden="false" customHeight="false" outlineLevel="0" collapsed="false">
      <c r="A953" s="5" t="s">
        <v>2139</v>
      </c>
      <c r="B953" s="5" t="s">
        <v>1005</v>
      </c>
      <c r="C953" s="5" t="s">
        <v>1033</v>
      </c>
      <c r="D953" s="5" t="s">
        <v>1033</v>
      </c>
      <c r="E953" s="6" t="s">
        <v>2100</v>
      </c>
      <c r="F953" s="6" t="s">
        <v>2125</v>
      </c>
      <c r="G953" s="6" t="s">
        <v>1930</v>
      </c>
      <c r="H953" s="5"/>
      <c r="I953" s="6" t="s">
        <v>2138</v>
      </c>
    </row>
    <row r="954" customFormat="false" ht="23.85" hidden="false" customHeight="false" outlineLevel="0" collapsed="false">
      <c r="A954" s="5" t="s">
        <v>2139</v>
      </c>
      <c r="B954" s="5" t="s">
        <v>1005</v>
      </c>
      <c r="C954" s="5" t="s">
        <v>1033</v>
      </c>
      <c r="D954" s="5" t="s">
        <v>1033</v>
      </c>
      <c r="E954" s="6" t="s">
        <v>2104</v>
      </c>
      <c r="F954" s="6" t="s">
        <v>2127</v>
      </c>
      <c r="G954" s="6" t="s">
        <v>1930</v>
      </c>
      <c r="H954" s="5"/>
      <c r="I954" s="6" t="s">
        <v>2138</v>
      </c>
    </row>
    <row r="955" customFormat="false" ht="15" hidden="false" customHeight="false" outlineLevel="0" collapsed="false">
      <c r="A955" s="5" t="s">
        <v>2139</v>
      </c>
      <c r="B955" s="5" t="s">
        <v>1005</v>
      </c>
      <c r="C955" s="5" t="s">
        <v>1033</v>
      </c>
      <c r="D955" s="5" t="s">
        <v>1033</v>
      </c>
      <c r="E955" s="6" t="s">
        <v>2107</v>
      </c>
      <c r="F955" s="6" t="s">
        <v>2129</v>
      </c>
      <c r="G955" s="6" t="s">
        <v>1930</v>
      </c>
      <c r="H955" s="5"/>
      <c r="I955" s="6" t="s">
        <v>2138</v>
      </c>
    </row>
    <row r="956" customFormat="false" ht="15" hidden="false" customHeight="false" outlineLevel="0" collapsed="false">
      <c r="A956" s="5" t="s">
        <v>2139</v>
      </c>
      <c r="B956" s="5" t="s">
        <v>1005</v>
      </c>
      <c r="C956" s="5" t="s">
        <v>1033</v>
      </c>
      <c r="D956" s="5" t="s">
        <v>1033</v>
      </c>
      <c r="E956" s="6" t="s">
        <v>2130</v>
      </c>
      <c r="F956" s="6" t="s">
        <v>2111</v>
      </c>
      <c r="G956" s="6" t="s">
        <v>2112</v>
      </c>
      <c r="H956" s="5"/>
      <c r="I956" s="6" t="s">
        <v>2138</v>
      </c>
    </row>
    <row r="957" customFormat="false" ht="15" hidden="false" customHeight="false" outlineLevel="0" collapsed="false">
      <c r="A957" s="5" t="s">
        <v>2139</v>
      </c>
      <c r="B957" s="5" t="s">
        <v>1005</v>
      </c>
      <c r="C957" s="5" t="s">
        <v>1033</v>
      </c>
      <c r="D957" s="5" t="s">
        <v>1033</v>
      </c>
      <c r="E957" s="6" t="s">
        <v>2131</v>
      </c>
      <c r="F957" s="6" t="s">
        <v>2111</v>
      </c>
      <c r="G957" s="6" t="s">
        <v>2112</v>
      </c>
      <c r="H957" s="5"/>
      <c r="I957" s="6" t="s">
        <v>2138</v>
      </c>
    </row>
    <row r="958" customFormat="false" ht="15" hidden="false" customHeight="false" outlineLevel="0" collapsed="false">
      <c r="A958" s="5" t="s">
        <v>2139</v>
      </c>
      <c r="B958" s="5" t="s">
        <v>1005</v>
      </c>
      <c r="C958" s="5" t="s">
        <v>1033</v>
      </c>
      <c r="D958" s="5" t="s">
        <v>1033</v>
      </c>
      <c r="E958" s="6" t="s">
        <v>2114</v>
      </c>
      <c r="F958" s="6" t="s">
        <v>2115</v>
      </c>
      <c r="G958" s="6" t="s">
        <v>2045</v>
      </c>
      <c r="H958" s="5"/>
      <c r="I958" s="6" t="s">
        <v>2116</v>
      </c>
    </row>
    <row r="959" customFormat="false" ht="15" hidden="false" customHeight="false" outlineLevel="0" collapsed="false">
      <c r="A959" s="5" t="s">
        <v>2139</v>
      </c>
      <c r="B959" s="5" t="s">
        <v>1005</v>
      </c>
      <c r="C959" s="5" t="s">
        <v>1033</v>
      </c>
      <c r="D959" s="5" t="s">
        <v>1033</v>
      </c>
      <c r="E959" s="6" t="s">
        <v>2117</v>
      </c>
      <c r="F959" s="6" t="s">
        <v>2115</v>
      </c>
      <c r="G959" s="6" t="s">
        <v>2045</v>
      </c>
      <c r="H959" s="5"/>
      <c r="I959" s="6" t="s">
        <v>2116</v>
      </c>
    </row>
    <row r="960" customFormat="false" ht="15" hidden="false" customHeight="false" outlineLevel="0" collapsed="false">
      <c r="A960" s="5" t="s">
        <v>2139</v>
      </c>
      <c r="B960" s="5" t="s">
        <v>1005</v>
      </c>
      <c r="C960" s="5" t="s">
        <v>1033</v>
      </c>
      <c r="D960" s="5" t="s">
        <v>1033</v>
      </c>
      <c r="E960" s="6" t="s">
        <v>2118</v>
      </c>
      <c r="F960" s="6" t="s">
        <v>2115</v>
      </c>
      <c r="G960" s="6" t="s">
        <v>2045</v>
      </c>
      <c r="H960" s="5"/>
      <c r="I960" s="6" t="s">
        <v>2116</v>
      </c>
    </row>
    <row r="961" customFormat="false" ht="35.05" hidden="false" customHeight="false" outlineLevel="0" collapsed="false">
      <c r="A961" s="5" t="s">
        <v>2147</v>
      </c>
      <c r="B961" s="5" t="s">
        <v>1005</v>
      </c>
      <c r="C961" s="5" t="s">
        <v>1040</v>
      </c>
      <c r="D961" s="5" t="s">
        <v>1040</v>
      </c>
      <c r="E961" s="6" t="s">
        <v>2043</v>
      </c>
      <c r="F961" s="6" t="s">
        <v>2044</v>
      </c>
      <c r="G961" s="6" t="s">
        <v>2045</v>
      </c>
      <c r="H961" s="5"/>
      <c r="I961" s="6" t="s">
        <v>2046</v>
      </c>
    </row>
    <row r="962" customFormat="false" ht="23.85" hidden="false" customHeight="false" outlineLevel="0" collapsed="false">
      <c r="A962" s="5" t="s">
        <v>2147</v>
      </c>
      <c r="B962" s="5" t="s">
        <v>1005</v>
      </c>
      <c r="C962" s="5" t="s">
        <v>1040</v>
      </c>
      <c r="D962" s="5" t="s">
        <v>1040</v>
      </c>
      <c r="E962" s="6" t="s">
        <v>2047</v>
      </c>
      <c r="F962" s="6" t="s">
        <v>2048</v>
      </c>
      <c r="G962" s="6" t="s">
        <v>2045</v>
      </c>
      <c r="H962" s="5"/>
      <c r="I962" s="6" t="s">
        <v>2049</v>
      </c>
    </row>
    <row r="963" customFormat="false" ht="15" hidden="false" customHeight="false" outlineLevel="0" collapsed="false">
      <c r="A963" s="5" t="s">
        <v>2147</v>
      </c>
      <c r="B963" s="5" t="s">
        <v>1005</v>
      </c>
      <c r="C963" s="5" t="s">
        <v>1040</v>
      </c>
      <c r="D963" s="5" t="s">
        <v>1040</v>
      </c>
      <c r="E963" s="6" t="s">
        <v>2050</v>
      </c>
      <c r="F963" s="6" t="s">
        <v>2051</v>
      </c>
      <c r="G963" s="6" t="s">
        <v>2148</v>
      </c>
      <c r="H963" s="5"/>
      <c r="I963" s="6" t="s">
        <v>2053</v>
      </c>
    </row>
    <row r="964" customFormat="false" ht="15" hidden="false" customHeight="false" outlineLevel="0" collapsed="false">
      <c r="A964" s="5" t="s">
        <v>2147</v>
      </c>
      <c r="B964" s="5" t="s">
        <v>1005</v>
      </c>
      <c r="C964" s="5" t="s">
        <v>1040</v>
      </c>
      <c r="D964" s="5" t="s">
        <v>1040</v>
      </c>
      <c r="E964" s="6" t="s">
        <v>2054</v>
      </c>
      <c r="F964" s="6" t="s">
        <v>2055</v>
      </c>
      <c r="G964" s="6" t="s">
        <v>2045</v>
      </c>
      <c r="H964" s="5"/>
      <c r="I964" s="6" t="s">
        <v>2056</v>
      </c>
    </row>
    <row r="965" customFormat="false" ht="15" hidden="false" customHeight="false" outlineLevel="0" collapsed="false">
      <c r="A965" s="5" t="s">
        <v>2147</v>
      </c>
      <c r="B965" s="5" t="s">
        <v>1005</v>
      </c>
      <c r="C965" s="5" t="s">
        <v>1040</v>
      </c>
      <c r="D965" s="5" t="s">
        <v>1040</v>
      </c>
      <c r="E965" s="6" t="s">
        <v>2057</v>
      </c>
      <c r="F965" s="6" t="s">
        <v>2149</v>
      </c>
      <c r="G965" s="6" t="s">
        <v>2150</v>
      </c>
      <c r="H965" s="5"/>
      <c r="I965" s="6" t="s">
        <v>2049</v>
      </c>
    </row>
    <row r="966" customFormat="false" ht="15" hidden="false" customHeight="false" outlineLevel="0" collapsed="false">
      <c r="A966" s="5" t="s">
        <v>2147</v>
      </c>
      <c r="B966" s="5" t="s">
        <v>1005</v>
      </c>
      <c r="C966" s="5" t="s">
        <v>1040</v>
      </c>
      <c r="D966" s="5" t="s">
        <v>1040</v>
      </c>
      <c r="E966" s="6" t="s">
        <v>2060</v>
      </c>
      <c r="F966" s="6" t="s">
        <v>2061</v>
      </c>
      <c r="G966" s="6" t="s">
        <v>2123</v>
      </c>
      <c r="H966" s="5"/>
      <c r="I966" s="6" t="s">
        <v>2049</v>
      </c>
    </row>
    <row r="967" customFormat="false" ht="15" hidden="false" customHeight="false" outlineLevel="0" collapsed="false">
      <c r="A967" s="5" t="s">
        <v>2147</v>
      </c>
      <c r="B967" s="5" t="s">
        <v>1005</v>
      </c>
      <c r="C967" s="5" t="s">
        <v>1040</v>
      </c>
      <c r="D967" s="5" t="s">
        <v>1040</v>
      </c>
      <c r="E967" s="6" t="s">
        <v>2063</v>
      </c>
      <c r="F967" s="6" t="s">
        <v>2061</v>
      </c>
      <c r="G967" s="6" t="s">
        <v>2151</v>
      </c>
      <c r="H967" s="5"/>
      <c r="I967" s="6" t="s">
        <v>2049</v>
      </c>
    </row>
    <row r="968" customFormat="false" ht="15" hidden="false" customHeight="false" outlineLevel="0" collapsed="false">
      <c r="A968" s="5" t="s">
        <v>2147</v>
      </c>
      <c r="B968" s="5" t="s">
        <v>1005</v>
      </c>
      <c r="C968" s="5" t="s">
        <v>1040</v>
      </c>
      <c r="D968" s="5" t="s">
        <v>1040</v>
      </c>
      <c r="E968" s="6" t="s">
        <v>2065</v>
      </c>
      <c r="F968" s="6" t="s">
        <v>2066</v>
      </c>
      <c r="G968" s="6" t="s">
        <v>1765</v>
      </c>
      <c r="H968" s="5"/>
      <c r="I968" s="6" t="s">
        <v>2067</v>
      </c>
    </row>
    <row r="969" customFormat="false" ht="15" hidden="false" customHeight="false" outlineLevel="0" collapsed="false">
      <c r="A969" s="5" t="s">
        <v>2147</v>
      </c>
      <c r="B969" s="5" t="s">
        <v>1005</v>
      </c>
      <c r="C969" s="5" t="s">
        <v>1040</v>
      </c>
      <c r="D969" s="5" t="s">
        <v>1040</v>
      </c>
      <c r="E969" s="6" t="s">
        <v>2068</v>
      </c>
      <c r="F969" s="6" t="s">
        <v>2069</v>
      </c>
      <c r="G969" s="6" t="s">
        <v>2070</v>
      </c>
      <c r="H969" s="5"/>
      <c r="I969" s="6" t="s">
        <v>2071</v>
      </c>
    </row>
    <row r="970" customFormat="false" ht="15" hidden="false" customHeight="false" outlineLevel="0" collapsed="false">
      <c r="A970" s="5" t="s">
        <v>2147</v>
      </c>
      <c r="B970" s="5" t="s">
        <v>1005</v>
      </c>
      <c r="C970" s="5" t="s">
        <v>1040</v>
      </c>
      <c r="D970" s="5" t="s">
        <v>1040</v>
      </c>
      <c r="E970" s="6" t="s">
        <v>2072</v>
      </c>
      <c r="F970" s="6" t="s">
        <v>2073</v>
      </c>
      <c r="G970" s="6" t="s">
        <v>2070</v>
      </c>
      <c r="H970" s="5"/>
      <c r="I970" s="6" t="s">
        <v>2071</v>
      </c>
    </row>
    <row r="971" customFormat="false" ht="15" hidden="false" customHeight="false" outlineLevel="0" collapsed="false">
      <c r="A971" s="5" t="s">
        <v>2147</v>
      </c>
      <c r="B971" s="5" t="s">
        <v>1005</v>
      </c>
      <c r="C971" s="5" t="s">
        <v>1040</v>
      </c>
      <c r="D971" s="5" t="s">
        <v>1040</v>
      </c>
      <c r="E971" s="6" t="s">
        <v>2074</v>
      </c>
      <c r="F971" s="6" t="s">
        <v>2075</v>
      </c>
      <c r="G971" s="6" t="s">
        <v>2070</v>
      </c>
      <c r="H971" s="5"/>
      <c r="I971" s="6" t="s">
        <v>2071</v>
      </c>
    </row>
    <row r="972" customFormat="false" ht="23.85" hidden="false" customHeight="false" outlineLevel="0" collapsed="false">
      <c r="A972" s="5" t="s">
        <v>2147</v>
      </c>
      <c r="B972" s="5" t="s">
        <v>1005</v>
      </c>
      <c r="C972" s="5" t="s">
        <v>1040</v>
      </c>
      <c r="D972" s="5" t="s">
        <v>1040</v>
      </c>
      <c r="E972" s="6" t="s">
        <v>2076</v>
      </c>
      <c r="F972" s="6" t="s">
        <v>2077</v>
      </c>
      <c r="G972" s="6" t="s">
        <v>2070</v>
      </c>
      <c r="H972" s="5"/>
      <c r="I972" s="6" t="s">
        <v>2071</v>
      </c>
    </row>
    <row r="973" customFormat="false" ht="15" hidden="false" customHeight="false" outlineLevel="0" collapsed="false">
      <c r="A973" s="5" t="s">
        <v>2147</v>
      </c>
      <c r="B973" s="5" t="s">
        <v>1005</v>
      </c>
      <c r="C973" s="5" t="s">
        <v>1040</v>
      </c>
      <c r="D973" s="5" t="s">
        <v>1040</v>
      </c>
      <c r="E973" s="6" t="s">
        <v>2078</v>
      </c>
      <c r="F973" s="6" t="s">
        <v>2079</v>
      </c>
      <c r="G973" s="6" t="s">
        <v>2070</v>
      </c>
      <c r="H973" s="5"/>
      <c r="I973" s="6" t="s">
        <v>2071</v>
      </c>
    </row>
    <row r="974" customFormat="false" ht="15" hidden="false" customHeight="false" outlineLevel="0" collapsed="false">
      <c r="A974" s="5" t="s">
        <v>2147</v>
      </c>
      <c r="B974" s="5" t="s">
        <v>1005</v>
      </c>
      <c r="C974" s="5" t="s">
        <v>1040</v>
      </c>
      <c r="D974" s="5" t="s">
        <v>1040</v>
      </c>
      <c r="E974" s="6" t="s">
        <v>2080</v>
      </c>
      <c r="F974" s="6" t="s">
        <v>2081</v>
      </c>
      <c r="G974" s="6" t="s">
        <v>2070</v>
      </c>
      <c r="H974" s="5"/>
      <c r="I974" s="6" t="s">
        <v>2071</v>
      </c>
    </row>
    <row r="975" customFormat="false" ht="15" hidden="false" customHeight="false" outlineLevel="0" collapsed="false">
      <c r="A975" s="5" t="s">
        <v>2147</v>
      </c>
      <c r="B975" s="5" t="s">
        <v>1005</v>
      </c>
      <c r="C975" s="5" t="s">
        <v>1040</v>
      </c>
      <c r="D975" s="5" t="s">
        <v>1040</v>
      </c>
      <c r="E975" s="6" t="s">
        <v>2082</v>
      </c>
      <c r="F975" s="6" t="s">
        <v>2083</v>
      </c>
      <c r="G975" s="6" t="s">
        <v>2070</v>
      </c>
      <c r="H975" s="5"/>
      <c r="I975" s="6" t="s">
        <v>2071</v>
      </c>
    </row>
    <row r="976" customFormat="false" ht="15" hidden="false" customHeight="false" outlineLevel="0" collapsed="false">
      <c r="A976" s="5" t="s">
        <v>2147</v>
      </c>
      <c r="B976" s="5" t="s">
        <v>1005</v>
      </c>
      <c r="C976" s="5" t="s">
        <v>1040</v>
      </c>
      <c r="D976" s="5" t="s">
        <v>1040</v>
      </c>
      <c r="E976" s="6" t="s">
        <v>2084</v>
      </c>
      <c r="F976" s="6" t="s">
        <v>2073</v>
      </c>
      <c r="G976" s="6" t="s">
        <v>2070</v>
      </c>
      <c r="H976" s="5"/>
      <c r="I976" s="6" t="s">
        <v>2071</v>
      </c>
    </row>
    <row r="977" customFormat="false" ht="15" hidden="false" customHeight="false" outlineLevel="0" collapsed="false">
      <c r="A977" s="5" t="s">
        <v>2147</v>
      </c>
      <c r="B977" s="5" t="s">
        <v>1005</v>
      </c>
      <c r="C977" s="5" t="s">
        <v>1040</v>
      </c>
      <c r="D977" s="5" t="s">
        <v>1040</v>
      </c>
      <c r="E977" s="6" t="s">
        <v>2085</v>
      </c>
      <c r="F977" s="6" t="s">
        <v>2086</v>
      </c>
      <c r="G977" s="6" t="s">
        <v>2070</v>
      </c>
      <c r="H977" s="5"/>
      <c r="I977" s="6" t="s">
        <v>2071</v>
      </c>
    </row>
    <row r="978" customFormat="false" ht="23.85" hidden="false" customHeight="false" outlineLevel="0" collapsed="false">
      <c r="A978" s="5" t="s">
        <v>2147</v>
      </c>
      <c r="B978" s="5" t="s">
        <v>1005</v>
      </c>
      <c r="C978" s="5" t="s">
        <v>1040</v>
      </c>
      <c r="D978" s="5" t="s">
        <v>1040</v>
      </c>
      <c r="E978" s="6" t="s">
        <v>2087</v>
      </c>
      <c r="F978" s="6" t="s">
        <v>2081</v>
      </c>
      <c r="G978" s="6" t="s">
        <v>2070</v>
      </c>
      <c r="H978" s="5"/>
      <c r="I978" s="6" t="s">
        <v>2071</v>
      </c>
    </row>
    <row r="979" customFormat="false" ht="15" hidden="false" customHeight="false" outlineLevel="0" collapsed="false">
      <c r="A979" s="5" t="s">
        <v>2147</v>
      </c>
      <c r="B979" s="5" t="s">
        <v>1005</v>
      </c>
      <c r="C979" s="5" t="s">
        <v>1040</v>
      </c>
      <c r="D979" s="5" t="s">
        <v>1040</v>
      </c>
      <c r="E979" s="6" t="s">
        <v>2088</v>
      </c>
      <c r="F979" s="6" t="s">
        <v>2081</v>
      </c>
      <c r="G979" s="6" t="s">
        <v>2070</v>
      </c>
      <c r="H979" s="5"/>
      <c r="I979" s="6" t="s">
        <v>2071</v>
      </c>
    </row>
    <row r="980" customFormat="false" ht="15" hidden="false" customHeight="false" outlineLevel="0" collapsed="false">
      <c r="A980" s="5" t="s">
        <v>2147</v>
      </c>
      <c r="B980" s="5" t="s">
        <v>1005</v>
      </c>
      <c r="C980" s="5" t="s">
        <v>1040</v>
      </c>
      <c r="D980" s="5" t="s">
        <v>1040</v>
      </c>
      <c r="E980" s="6" t="s">
        <v>2089</v>
      </c>
      <c r="F980" s="6" t="s">
        <v>2081</v>
      </c>
      <c r="G980" s="6" t="s">
        <v>2070</v>
      </c>
      <c r="H980" s="5"/>
      <c r="I980" s="6" t="s">
        <v>2071</v>
      </c>
    </row>
    <row r="981" customFormat="false" ht="15" hidden="false" customHeight="false" outlineLevel="0" collapsed="false">
      <c r="A981" s="5" t="s">
        <v>2147</v>
      </c>
      <c r="B981" s="5" t="s">
        <v>1005</v>
      </c>
      <c r="C981" s="5" t="s">
        <v>1040</v>
      </c>
      <c r="D981" s="5" t="s">
        <v>1040</v>
      </c>
      <c r="E981" s="6" t="s">
        <v>2090</v>
      </c>
      <c r="F981" s="6" t="s">
        <v>2081</v>
      </c>
      <c r="G981" s="6" t="s">
        <v>2070</v>
      </c>
      <c r="H981" s="5"/>
      <c r="I981" s="6" t="s">
        <v>2071</v>
      </c>
    </row>
    <row r="982" customFormat="false" ht="15" hidden="false" customHeight="false" outlineLevel="0" collapsed="false">
      <c r="A982" s="5" t="s">
        <v>2147</v>
      </c>
      <c r="B982" s="5" t="s">
        <v>1005</v>
      </c>
      <c r="C982" s="5" t="s">
        <v>1040</v>
      </c>
      <c r="D982" s="5" t="s">
        <v>1040</v>
      </c>
      <c r="E982" s="6" t="s">
        <v>2091</v>
      </c>
      <c r="F982" s="6" t="s">
        <v>2083</v>
      </c>
      <c r="G982" s="6" t="s">
        <v>2099</v>
      </c>
      <c r="H982" s="5"/>
      <c r="I982" s="6" t="s">
        <v>2093</v>
      </c>
    </row>
    <row r="983" customFormat="false" ht="15" hidden="false" customHeight="false" outlineLevel="0" collapsed="false">
      <c r="A983" s="5" t="s">
        <v>2147</v>
      </c>
      <c r="B983" s="5" t="s">
        <v>1005</v>
      </c>
      <c r="C983" s="5" t="s">
        <v>1040</v>
      </c>
      <c r="D983" s="5" t="s">
        <v>1040</v>
      </c>
      <c r="E983" s="6" t="s">
        <v>2094</v>
      </c>
      <c r="F983" s="6" t="s">
        <v>2069</v>
      </c>
      <c r="G983" s="6" t="s">
        <v>2152</v>
      </c>
      <c r="H983" s="5"/>
      <c r="I983" s="6" t="s">
        <v>2093</v>
      </c>
    </row>
    <row r="984" customFormat="false" ht="15" hidden="false" customHeight="false" outlineLevel="0" collapsed="false">
      <c r="A984" s="5" t="s">
        <v>2147</v>
      </c>
      <c r="B984" s="5" t="s">
        <v>1005</v>
      </c>
      <c r="C984" s="5" t="s">
        <v>1040</v>
      </c>
      <c r="D984" s="5" t="s">
        <v>1040</v>
      </c>
      <c r="E984" s="6" t="s">
        <v>2096</v>
      </c>
      <c r="F984" s="6" t="s">
        <v>2073</v>
      </c>
      <c r="G984" s="6" t="s">
        <v>2153</v>
      </c>
      <c r="H984" s="5"/>
      <c r="I984" s="6" t="s">
        <v>2093</v>
      </c>
    </row>
    <row r="985" customFormat="false" ht="15" hidden="false" customHeight="false" outlineLevel="0" collapsed="false">
      <c r="A985" s="5" t="s">
        <v>2147</v>
      </c>
      <c r="B985" s="5" t="s">
        <v>1005</v>
      </c>
      <c r="C985" s="5" t="s">
        <v>1040</v>
      </c>
      <c r="D985" s="5" t="s">
        <v>1040</v>
      </c>
      <c r="E985" s="6" t="s">
        <v>2098</v>
      </c>
      <c r="F985" s="6" t="s">
        <v>2075</v>
      </c>
      <c r="G985" s="6" t="s">
        <v>2154</v>
      </c>
      <c r="H985" s="5"/>
      <c r="I985" s="6" t="s">
        <v>2093</v>
      </c>
    </row>
    <row r="986" customFormat="false" ht="15" hidden="false" customHeight="false" outlineLevel="0" collapsed="false">
      <c r="A986" s="5" t="s">
        <v>2147</v>
      </c>
      <c r="B986" s="5" t="s">
        <v>1005</v>
      </c>
      <c r="C986" s="5" t="s">
        <v>1040</v>
      </c>
      <c r="D986" s="5" t="s">
        <v>1040</v>
      </c>
      <c r="E986" s="6" t="s">
        <v>2100</v>
      </c>
      <c r="F986" s="6" t="s">
        <v>2125</v>
      </c>
      <c r="G986" s="6" t="s">
        <v>2155</v>
      </c>
      <c r="H986" s="5"/>
      <c r="I986" s="6" t="s">
        <v>2103</v>
      </c>
    </row>
    <row r="987" customFormat="false" ht="23.85" hidden="false" customHeight="false" outlineLevel="0" collapsed="false">
      <c r="A987" s="5" t="s">
        <v>2147</v>
      </c>
      <c r="B987" s="5" t="s">
        <v>1005</v>
      </c>
      <c r="C987" s="5" t="s">
        <v>1040</v>
      </c>
      <c r="D987" s="5" t="s">
        <v>1040</v>
      </c>
      <c r="E987" s="6" t="s">
        <v>2104</v>
      </c>
      <c r="F987" s="6" t="s">
        <v>2127</v>
      </c>
      <c r="G987" s="6" t="s">
        <v>2156</v>
      </c>
      <c r="H987" s="5"/>
      <c r="I987" s="6" t="s">
        <v>2103</v>
      </c>
    </row>
    <row r="988" customFormat="false" ht="15" hidden="false" customHeight="false" outlineLevel="0" collapsed="false">
      <c r="A988" s="5" t="s">
        <v>2147</v>
      </c>
      <c r="B988" s="5" t="s">
        <v>1005</v>
      </c>
      <c r="C988" s="5" t="s">
        <v>1040</v>
      </c>
      <c r="D988" s="5" t="s">
        <v>1040</v>
      </c>
      <c r="E988" s="6" t="s">
        <v>2107</v>
      </c>
      <c r="F988" s="6" t="s">
        <v>2129</v>
      </c>
      <c r="G988" s="6" t="s">
        <v>1930</v>
      </c>
      <c r="H988" s="5"/>
      <c r="I988" s="6" t="s">
        <v>2103</v>
      </c>
    </row>
    <row r="989" customFormat="false" ht="15" hidden="false" customHeight="false" outlineLevel="0" collapsed="false">
      <c r="A989" s="5" t="s">
        <v>2147</v>
      </c>
      <c r="B989" s="5" t="s">
        <v>1005</v>
      </c>
      <c r="C989" s="5" t="s">
        <v>1040</v>
      </c>
      <c r="D989" s="5" t="s">
        <v>1040</v>
      </c>
      <c r="E989" s="6" t="s">
        <v>2130</v>
      </c>
      <c r="F989" s="6" t="s">
        <v>2111</v>
      </c>
      <c r="G989" s="6" t="s">
        <v>2112</v>
      </c>
      <c r="H989" s="5"/>
      <c r="I989" s="6" t="s">
        <v>2103</v>
      </c>
    </row>
    <row r="990" customFormat="false" ht="15" hidden="false" customHeight="false" outlineLevel="0" collapsed="false">
      <c r="A990" s="5" t="s">
        <v>2147</v>
      </c>
      <c r="B990" s="5" t="s">
        <v>1005</v>
      </c>
      <c r="C990" s="5" t="s">
        <v>1040</v>
      </c>
      <c r="D990" s="5" t="s">
        <v>1040</v>
      </c>
      <c r="E990" s="6" t="s">
        <v>2131</v>
      </c>
      <c r="F990" s="6" t="s">
        <v>2111</v>
      </c>
      <c r="G990" s="6" t="s">
        <v>2112</v>
      </c>
      <c r="H990" s="5"/>
      <c r="I990" s="6" t="s">
        <v>2103</v>
      </c>
    </row>
    <row r="991" customFormat="false" ht="15" hidden="false" customHeight="false" outlineLevel="0" collapsed="false">
      <c r="A991" s="5" t="s">
        <v>2147</v>
      </c>
      <c r="B991" s="5" t="s">
        <v>1005</v>
      </c>
      <c r="C991" s="5" t="s">
        <v>1040</v>
      </c>
      <c r="D991" s="5" t="s">
        <v>1040</v>
      </c>
      <c r="E991" s="6" t="s">
        <v>2114</v>
      </c>
      <c r="F991" s="6" t="s">
        <v>2115</v>
      </c>
      <c r="G991" s="6" t="s">
        <v>2045</v>
      </c>
      <c r="H991" s="5"/>
      <c r="I991" s="6" t="s">
        <v>2116</v>
      </c>
    </row>
    <row r="992" customFormat="false" ht="15" hidden="false" customHeight="false" outlineLevel="0" collapsed="false">
      <c r="A992" s="5" t="s">
        <v>2147</v>
      </c>
      <c r="B992" s="5" t="s">
        <v>1005</v>
      </c>
      <c r="C992" s="5" t="s">
        <v>1040</v>
      </c>
      <c r="D992" s="5" t="s">
        <v>1040</v>
      </c>
      <c r="E992" s="6" t="s">
        <v>2117</v>
      </c>
      <c r="F992" s="6" t="s">
        <v>2115</v>
      </c>
      <c r="G992" s="6" t="s">
        <v>2045</v>
      </c>
      <c r="H992" s="5"/>
      <c r="I992" s="6" t="s">
        <v>2116</v>
      </c>
    </row>
    <row r="993" customFormat="false" ht="15" hidden="false" customHeight="false" outlineLevel="0" collapsed="false">
      <c r="A993" s="5" t="s">
        <v>2147</v>
      </c>
      <c r="B993" s="5" t="s">
        <v>1005</v>
      </c>
      <c r="C993" s="5" t="s">
        <v>1040</v>
      </c>
      <c r="D993" s="5" t="s">
        <v>1040</v>
      </c>
      <c r="E993" s="6" t="s">
        <v>2118</v>
      </c>
      <c r="F993" s="6" t="s">
        <v>2115</v>
      </c>
      <c r="G993" s="6" t="s">
        <v>2045</v>
      </c>
      <c r="H993" s="5"/>
      <c r="I993" s="6" t="s">
        <v>2116</v>
      </c>
    </row>
    <row r="994" customFormat="false" ht="35.05" hidden="false" customHeight="false" outlineLevel="0" collapsed="false">
      <c r="A994" s="5" t="s">
        <v>2157</v>
      </c>
      <c r="B994" s="5" t="s">
        <v>1005</v>
      </c>
      <c r="C994" s="5" t="s">
        <v>1047</v>
      </c>
      <c r="D994" s="5" t="s">
        <v>1047</v>
      </c>
      <c r="E994" s="6" t="s">
        <v>2043</v>
      </c>
      <c r="F994" s="6" t="s">
        <v>2044</v>
      </c>
      <c r="G994" s="6" t="s">
        <v>2045</v>
      </c>
      <c r="H994" s="5"/>
      <c r="I994" s="6" t="s">
        <v>2046</v>
      </c>
    </row>
    <row r="995" customFormat="false" ht="23.85" hidden="false" customHeight="false" outlineLevel="0" collapsed="false">
      <c r="A995" s="5" t="s">
        <v>2157</v>
      </c>
      <c r="B995" s="5" t="s">
        <v>1005</v>
      </c>
      <c r="C995" s="5" t="s">
        <v>1047</v>
      </c>
      <c r="D995" s="5" t="s">
        <v>1047</v>
      </c>
      <c r="E995" s="6" t="s">
        <v>2047</v>
      </c>
      <c r="F995" s="6" t="s">
        <v>2048</v>
      </c>
      <c r="G995" s="6" t="s">
        <v>2045</v>
      </c>
      <c r="H995" s="5"/>
      <c r="I995" s="6" t="s">
        <v>2049</v>
      </c>
    </row>
    <row r="996" customFormat="false" ht="15" hidden="false" customHeight="false" outlineLevel="0" collapsed="false">
      <c r="A996" s="5" t="s">
        <v>2157</v>
      </c>
      <c r="B996" s="5" t="s">
        <v>1005</v>
      </c>
      <c r="C996" s="5" t="s">
        <v>1047</v>
      </c>
      <c r="D996" s="5" t="s">
        <v>1047</v>
      </c>
      <c r="E996" s="6" t="s">
        <v>2050</v>
      </c>
      <c r="F996" s="6" t="s">
        <v>2051</v>
      </c>
      <c r="G996" s="6" t="s">
        <v>2158</v>
      </c>
      <c r="H996" s="5"/>
      <c r="I996" s="6" t="s">
        <v>2053</v>
      </c>
    </row>
    <row r="997" customFormat="false" ht="15" hidden="false" customHeight="false" outlineLevel="0" collapsed="false">
      <c r="A997" s="5" t="s">
        <v>2157</v>
      </c>
      <c r="B997" s="5" t="s">
        <v>1005</v>
      </c>
      <c r="C997" s="5" t="s">
        <v>1047</v>
      </c>
      <c r="D997" s="5" t="s">
        <v>1047</v>
      </c>
      <c r="E997" s="6" t="s">
        <v>2054</v>
      </c>
      <c r="F997" s="6" t="s">
        <v>2055</v>
      </c>
      <c r="G997" s="6" t="s">
        <v>2045</v>
      </c>
      <c r="H997" s="5"/>
      <c r="I997" s="6" t="s">
        <v>2056</v>
      </c>
    </row>
    <row r="998" customFormat="false" ht="15" hidden="false" customHeight="false" outlineLevel="0" collapsed="false">
      <c r="A998" s="5" t="s">
        <v>2157</v>
      </c>
      <c r="B998" s="5" t="s">
        <v>1005</v>
      </c>
      <c r="C998" s="5" t="s">
        <v>1047</v>
      </c>
      <c r="D998" s="5" t="s">
        <v>1047</v>
      </c>
      <c r="E998" s="6" t="s">
        <v>2141</v>
      </c>
      <c r="F998" s="6" t="s">
        <v>2134</v>
      </c>
      <c r="G998" s="6" t="s">
        <v>2159</v>
      </c>
      <c r="H998" s="5"/>
      <c r="I998" s="6" t="s">
        <v>2049</v>
      </c>
    </row>
    <row r="999" customFormat="false" ht="15" hidden="false" customHeight="false" outlineLevel="0" collapsed="false">
      <c r="A999" s="5" t="s">
        <v>2157</v>
      </c>
      <c r="B999" s="5" t="s">
        <v>1005</v>
      </c>
      <c r="C999" s="5" t="s">
        <v>1047</v>
      </c>
      <c r="D999" s="5" t="s">
        <v>1047</v>
      </c>
      <c r="E999" s="6" t="s">
        <v>2060</v>
      </c>
      <c r="F999" s="6" t="s">
        <v>2061</v>
      </c>
      <c r="G999" s="6" t="s">
        <v>2160</v>
      </c>
      <c r="H999" s="5"/>
      <c r="I999" s="6" t="s">
        <v>2049</v>
      </c>
    </row>
    <row r="1000" customFormat="false" ht="15" hidden="false" customHeight="false" outlineLevel="0" collapsed="false">
      <c r="A1000" s="5" t="s">
        <v>2157</v>
      </c>
      <c r="B1000" s="5" t="s">
        <v>1005</v>
      </c>
      <c r="C1000" s="5" t="s">
        <v>1047</v>
      </c>
      <c r="D1000" s="5" t="s">
        <v>1047</v>
      </c>
      <c r="E1000" s="6" t="s">
        <v>2063</v>
      </c>
      <c r="F1000" s="6" t="s">
        <v>2061</v>
      </c>
      <c r="G1000" s="6" t="s">
        <v>2064</v>
      </c>
      <c r="H1000" s="5"/>
      <c r="I1000" s="6" t="s">
        <v>2049</v>
      </c>
    </row>
    <row r="1001" customFormat="false" ht="15" hidden="false" customHeight="false" outlineLevel="0" collapsed="false">
      <c r="A1001" s="5" t="s">
        <v>2157</v>
      </c>
      <c r="B1001" s="5" t="s">
        <v>1005</v>
      </c>
      <c r="C1001" s="5" t="s">
        <v>1047</v>
      </c>
      <c r="D1001" s="5" t="s">
        <v>1047</v>
      </c>
      <c r="E1001" s="6" t="s">
        <v>2065</v>
      </c>
      <c r="F1001" s="6" t="s">
        <v>2066</v>
      </c>
      <c r="G1001" s="6" t="s">
        <v>1765</v>
      </c>
      <c r="H1001" s="5"/>
      <c r="I1001" s="6" t="s">
        <v>2067</v>
      </c>
    </row>
    <row r="1002" customFormat="false" ht="15" hidden="false" customHeight="false" outlineLevel="0" collapsed="false">
      <c r="A1002" s="5" t="s">
        <v>2157</v>
      </c>
      <c r="B1002" s="5" t="s">
        <v>1005</v>
      </c>
      <c r="C1002" s="5" t="s">
        <v>1047</v>
      </c>
      <c r="D1002" s="5" t="s">
        <v>1047</v>
      </c>
      <c r="E1002" s="6" t="s">
        <v>2068</v>
      </c>
      <c r="F1002" s="6" t="s">
        <v>2069</v>
      </c>
      <c r="G1002" s="6" t="s">
        <v>2070</v>
      </c>
      <c r="H1002" s="5"/>
      <c r="I1002" s="6" t="s">
        <v>2071</v>
      </c>
    </row>
    <row r="1003" customFormat="false" ht="15" hidden="false" customHeight="false" outlineLevel="0" collapsed="false">
      <c r="A1003" s="5" t="s">
        <v>2157</v>
      </c>
      <c r="B1003" s="5" t="s">
        <v>1005</v>
      </c>
      <c r="C1003" s="5" t="s">
        <v>1047</v>
      </c>
      <c r="D1003" s="5" t="s">
        <v>1047</v>
      </c>
      <c r="E1003" s="6" t="s">
        <v>2072</v>
      </c>
      <c r="F1003" s="6" t="s">
        <v>2073</v>
      </c>
      <c r="G1003" s="6" t="s">
        <v>2070</v>
      </c>
      <c r="H1003" s="5"/>
      <c r="I1003" s="6" t="s">
        <v>2071</v>
      </c>
    </row>
    <row r="1004" customFormat="false" ht="15" hidden="false" customHeight="false" outlineLevel="0" collapsed="false">
      <c r="A1004" s="5" t="s">
        <v>2157</v>
      </c>
      <c r="B1004" s="5" t="s">
        <v>1005</v>
      </c>
      <c r="C1004" s="5" t="s">
        <v>1047</v>
      </c>
      <c r="D1004" s="5" t="s">
        <v>1047</v>
      </c>
      <c r="E1004" s="6" t="s">
        <v>2074</v>
      </c>
      <c r="F1004" s="6" t="s">
        <v>2075</v>
      </c>
      <c r="G1004" s="6" t="s">
        <v>2070</v>
      </c>
      <c r="H1004" s="5"/>
      <c r="I1004" s="6" t="s">
        <v>2071</v>
      </c>
    </row>
    <row r="1005" customFormat="false" ht="23.85" hidden="false" customHeight="false" outlineLevel="0" collapsed="false">
      <c r="A1005" s="5" t="s">
        <v>2157</v>
      </c>
      <c r="B1005" s="5" t="s">
        <v>1005</v>
      </c>
      <c r="C1005" s="5" t="s">
        <v>1047</v>
      </c>
      <c r="D1005" s="5" t="s">
        <v>1047</v>
      </c>
      <c r="E1005" s="6" t="s">
        <v>2076</v>
      </c>
      <c r="F1005" s="6" t="s">
        <v>2077</v>
      </c>
      <c r="G1005" s="6" t="s">
        <v>2070</v>
      </c>
      <c r="H1005" s="5"/>
      <c r="I1005" s="6" t="s">
        <v>2071</v>
      </c>
    </row>
    <row r="1006" customFormat="false" ht="15" hidden="false" customHeight="false" outlineLevel="0" collapsed="false">
      <c r="A1006" s="5" t="s">
        <v>2157</v>
      </c>
      <c r="B1006" s="5" t="s">
        <v>1005</v>
      </c>
      <c r="C1006" s="5" t="s">
        <v>1047</v>
      </c>
      <c r="D1006" s="5" t="s">
        <v>1047</v>
      </c>
      <c r="E1006" s="6" t="s">
        <v>2078</v>
      </c>
      <c r="F1006" s="6" t="s">
        <v>2079</v>
      </c>
      <c r="G1006" s="6" t="s">
        <v>2070</v>
      </c>
      <c r="H1006" s="5"/>
      <c r="I1006" s="6" t="s">
        <v>2071</v>
      </c>
    </row>
    <row r="1007" customFormat="false" ht="15" hidden="false" customHeight="false" outlineLevel="0" collapsed="false">
      <c r="A1007" s="5" t="s">
        <v>2157</v>
      </c>
      <c r="B1007" s="5" t="s">
        <v>1005</v>
      </c>
      <c r="C1007" s="5" t="s">
        <v>1047</v>
      </c>
      <c r="D1007" s="5" t="s">
        <v>1047</v>
      </c>
      <c r="E1007" s="6" t="s">
        <v>2080</v>
      </c>
      <c r="F1007" s="6" t="s">
        <v>2081</v>
      </c>
      <c r="G1007" s="6" t="s">
        <v>2070</v>
      </c>
      <c r="H1007" s="5"/>
      <c r="I1007" s="6" t="s">
        <v>2071</v>
      </c>
    </row>
    <row r="1008" customFormat="false" ht="15" hidden="false" customHeight="false" outlineLevel="0" collapsed="false">
      <c r="A1008" s="5" t="s">
        <v>2157</v>
      </c>
      <c r="B1008" s="5" t="s">
        <v>1005</v>
      </c>
      <c r="C1008" s="5" t="s">
        <v>1047</v>
      </c>
      <c r="D1008" s="5" t="s">
        <v>1047</v>
      </c>
      <c r="E1008" s="6" t="s">
        <v>2082</v>
      </c>
      <c r="F1008" s="6" t="s">
        <v>2083</v>
      </c>
      <c r="G1008" s="6" t="s">
        <v>2070</v>
      </c>
      <c r="H1008" s="5"/>
      <c r="I1008" s="6" t="s">
        <v>2071</v>
      </c>
    </row>
    <row r="1009" customFormat="false" ht="15" hidden="false" customHeight="false" outlineLevel="0" collapsed="false">
      <c r="A1009" s="5" t="s">
        <v>2157</v>
      </c>
      <c r="B1009" s="5" t="s">
        <v>1005</v>
      </c>
      <c r="C1009" s="5" t="s">
        <v>1047</v>
      </c>
      <c r="D1009" s="5" t="s">
        <v>1047</v>
      </c>
      <c r="E1009" s="6" t="s">
        <v>2084</v>
      </c>
      <c r="F1009" s="6" t="s">
        <v>2073</v>
      </c>
      <c r="G1009" s="6" t="s">
        <v>2070</v>
      </c>
      <c r="H1009" s="5"/>
      <c r="I1009" s="6" t="s">
        <v>2071</v>
      </c>
    </row>
    <row r="1010" customFormat="false" ht="15" hidden="false" customHeight="false" outlineLevel="0" collapsed="false">
      <c r="A1010" s="5" t="s">
        <v>2157</v>
      </c>
      <c r="B1010" s="5" t="s">
        <v>1005</v>
      </c>
      <c r="C1010" s="5" t="s">
        <v>1047</v>
      </c>
      <c r="D1010" s="5" t="s">
        <v>1047</v>
      </c>
      <c r="E1010" s="6" t="s">
        <v>2085</v>
      </c>
      <c r="F1010" s="6" t="s">
        <v>2086</v>
      </c>
      <c r="G1010" s="6" t="s">
        <v>2070</v>
      </c>
      <c r="H1010" s="5"/>
      <c r="I1010" s="6" t="s">
        <v>2071</v>
      </c>
    </row>
    <row r="1011" customFormat="false" ht="23.85" hidden="false" customHeight="false" outlineLevel="0" collapsed="false">
      <c r="A1011" s="5" t="s">
        <v>2157</v>
      </c>
      <c r="B1011" s="5" t="s">
        <v>1005</v>
      </c>
      <c r="C1011" s="5" t="s">
        <v>1047</v>
      </c>
      <c r="D1011" s="5" t="s">
        <v>1047</v>
      </c>
      <c r="E1011" s="6" t="s">
        <v>2087</v>
      </c>
      <c r="F1011" s="6" t="s">
        <v>2081</v>
      </c>
      <c r="G1011" s="6" t="s">
        <v>2070</v>
      </c>
      <c r="H1011" s="5"/>
      <c r="I1011" s="6" t="s">
        <v>2071</v>
      </c>
    </row>
    <row r="1012" customFormat="false" ht="15" hidden="false" customHeight="false" outlineLevel="0" collapsed="false">
      <c r="A1012" s="5" t="s">
        <v>2157</v>
      </c>
      <c r="B1012" s="5" t="s">
        <v>1005</v>
      </c>
      <c r="C1012" s="5" t="s">
        <v>1047</v>
      </c>
      <c r="D1012" s="5" t="s">
        <v>1047</v>
      </c>
      <c r="E1012" s="6" t="s">
        <v>2088</v>
      </c>
      <c r="F1012" s="6" t="s">
        <v>2081</v>
      </c>
      <c r="G1012" s="6" t="s">
        <v>2070</v>
      </c>
      <c r="H1012" s="5"/>
      <c r="I1012" s="6" t="s">
        <v>2071</v>
      </c>
    </row>
    <row r="1013" customFormat="false" ht="15" hidden="false" customHeight="false" outlineLevel="0" collapsed="false">
      <c r="A1013" s="5" t="s">
        <v>2157</v>
      </c>
      <c r="B1013" s="5" t="s">
        <v>1005</v>
      </c>
      <c r="C1013" s="5" t="s">
        <v>1047</v>
      </c>
      <c r="D1013" s="5" t="s">
        <v>1047</v>
      </c>
      <c r="E1013" s="6" t="s">
        <v>2089</v>
      </c>
      <c r="F1013" s="6" t="s">
        <v>2081</v>
      </c>
      <c r="G1013" s="6" t="s">
        <v>2070</v>
      </c>
      <c r="H1013" s="5"/>
      <c r="I1013" s="6" t="s">
        <v>2071</v>
      </c>
    </row>
    <row r="1014" customFormat="false" ht="15" hidden="false" customHeight="false" outlineLevel="0" collapsed="false">
      <c r="A1014" s="5" t="s">
        <v>2157</v>
      </c>
      <c r="B1014" s="5" t="s">
        <v>1005</v>
      </c>
      <c r="C1014" s="5" t="s">
        <v>1047</v>
      </c>
      <c r="D1014" s="5" t="s">
        <v>1047</v>
      </c>
      <c r="E1014" s="6" t="s">
        <v>2090</v>
      </c>
      <c r="F1014" s="6" t="s">
        <v>2081</v>
      </c>
      <c r="G1014" s="6" t="s">
        <v>2070</v>
      </c>
      <c r="H1014" s="5"/>
      <c r="I1014" s="6" t="s">
        <v>2071</v>
      </c>
    </row>
    <row r="1015" customFormat="false" ht="15" hidden="false" customHeight="false" outlineLevel="0" collapsed="false">
      <c r="A1015" s="5" t="s">
        <v>2157</v>
      </c>
      <c r="B1015" s="5" t="s">
        <v>1005</v>
      </c>
      <c r="C1015" s="5" t="s">
        <v>1047</v>
      </c>
      <c r="D1015" s="5" t="s">
        <v>1047</v>
      </c>
      <c r="E1015" s="6" t="s">
        <v>2091</v>
      </c>
      <c r="F1015" s="6" t="s">
        <v>2083</v>
      </c>
      <c r="G1015" s="6" t="s">
        <v>2070</v>
      </c>
      <c r="H1015" s="5"/>
      <c r="I1015" s="6" t="s">
        <v>2093</v>
      </c>
    </row>
    <row r="1016" customFormat="false" ht="15" hidden="false" customHeight="false" outlineLevel="0" collapsed="false">
      <c r="A1016" s="5" t="s">
        <v>2157</v>
      </c>
      <c r="B1016" s="5" t="s">
        <v>1005</v>
      </c>
      <c r="C1016" s="5" t="s">
        <v>1047</v>
      </c>
      <c r="D1016" s="5" t="s">
        <v>1047</v>
      </c>
      <c r="E1016" s="6" t="s">
        <v>2094</v>
      </c>
      <c r="F1016" s="6" t="s">
        <v>2069</v>
      </c>
      <c r="G1016" s="6" t="s">
        <v>2070</v>
      </c>
      <c r="H1016" s="5"/>
      <c r="I1016" s="6" t="s">
        <v>2093</v>
      </c>
    </row>
    <row r="1017" customFormat="false" ht="15" hidden="false" customHeight="false" outlineLevel="0" collapsed="false">
      <c r="A1017" s="5" t="s">
        <v>2157</v>
      </c>
      <c r="B1017" s="5" t="s">
        <v>1005</v>
      </c>
      <c r="C1017" s="5" t="s">
        <v>1047</v>
      </c>
      <c r="D1017" s="5" t="s">
        <v>1047</v>
      </c>
      <c r="E1017" s="6" t="s">
        <v>2096</v>
      </c>
      <c r="F1017" s="6" t="s">
        <v>2073</v>
      </c>
      <c r="G1017" s="6" t="s">
        <v>2070</v>
      </c>
      <c r="H1017" s="5"/>
      <c r="I1017" s="6" t="s">
        <v>2093</v>
      </c>
    </row>
    <row r="1018" customFormat="false" ht="15" hidden="false" customHeight="false" outlineLevel="0" collapsed="false">
      <c r="A1018" s="5" t="s">
        <v>2157</v>
      </c>
      <c r="B1018" s="5" t="s">
        <v>1005</v>
      </c>
      <c r="C1018" s="5" t="s">
        <v>1047</v>
      </c>
      <c r="D1018" s="5" t="s">
        <v>1047</v>
      </c>
      <c r="E1018" s="6" t="s">
        <v>2098</v>
      </c>
      <c r="F1018" s="6" t="s">
        <v>2075</v>
      </c>
      <c r="G1018" s="6" t="s">
        <v>2161</v>
      </c>
      <c r="H1018" s="5"/>
      <c r="I1018" s="6" t="s">
        <v>2093</v>
      </c>
    </row>
    <row r="1019" customFormat="false" ht="15" hidden="false" customHeight="false" outlineLevel="0" collapsed="false">
      <c r="A1019" s="5" t="s">
        <v>2157</v>
      </c>
      <c r="B1019" s="5" t="s">
        <v>1005</v>
      </c>
      <c r="C1019" s="5" t="s">
        <v>1047</v>
      </c>
      <c r="D1019" s="5" t="s">
        <v>1047</v>
      </c>
      <c r="E1019" s="6" t="s">
        <v>2100</v>
      </c>
      <c r="F1019" s="6" t="s">
        <v>2125</v>
      </c>
      <c r="G1019" s="6" t="s">
        <v>2162</v>
      </c>
      <c r="H1019" s="5"/>
      <c r="I1019" s="6" t="s">
        <v>2103</v>
      </c>
    </row>
    <row r="1020" customFormat="false" ht="23.85" hidden="false" customHeight="false" outlineLevel="0" collapsed="false">
      <c r="A1020" s="5" t="s">
        <v>2157</v>
      </c>
      <c r="B1020" s="5" t="s">
        <v>1005</v>
      </c>
      <c r="C1020" s="5" t="s">
        <v>1047</v>
      </c>
      <c r="D1020" s="5" t="s">
        <v>1047</v>
      </c>
      <c r="E1020" s="6" t="s">
        <v>2104</v>
      </c>
      <c r="F1020" s="6" t="s">
        <v>2127</v>
      </c>
      <c r="G1020" s="6" t="s">
        <v>2163</v>
      </c>
      <c r="H1020" s="5"/>
      <c r="I1020" s="6" t="s">
        <v>2103</v>
      </c>
    </row>
    <row r="1021" customFormat="false" ht="15" hidden="false" customHeight="false" outlineLevel="0" collapsed="false">
      <c r="A1021" s="5" t="s">
        <v>2157</v>
      </c>
      <c r="B1021" s="5" t="s">
        <v>1005</v>
      </c>
      <c r="C1021" s="5" t="s">
        <v>1047</v>
      </c>
      <c r="D1021" s="5" t="s">
        <v>1047</v>
      </c>
      <c r="E1021" s="6" t="s">
        <v>2107</v>
      </c>
      <c r="F1021" s="6" t="s">
        <v>2129</v>
      </c>
      <c r="G1021" s="6" t="s">
        <v>2164</v>
      </c>
      <c r="H1021" s="5"/>
      <c r="I1021" s="6" t="s">
        <v>2103</v>
      </c>
    </row>
    <row r="1022" customFormat="false" ht="15" hidden="false" customHeight="false" outlineLevel="0" collapsed="false">
      <c r="A1022" s="5" t="s">
        <v>2157</v>
      </c>
      <c r="B1022" s="5" t="s">
        <v>1005</v>
      </c>
      <c r="C1022" s="5" t="s">
        <v>1047</v>
      </c>
      <c r="D1022" s="5" t="s">
        <v>1047</v>
      </c>
      <c r="E1022" s="6" t="s">
        <v>2130</v>
      </c>
      <c r="F1022" s="6" t="s">
        <v>2111</v>
      </c>
      <c r="G1022" s="6" t="s">
        <v>2112</v>
      </c>
      <c r="H1022" s="5"/>
      <c r="I1022" s="6" t="s">
        <v>2103</v>
      </c>
    </row>
    <row r="1023" customFormat="false" ht="15" hidden="false" customHeight="false" outlineLevel="0" collapsed="false">
      <c r="A1023" s="5" t="s">
        <v>2157</v>
      </c>
      <c r="B1023" s="5" t="s">
        <v>1005</v>
      </c>
      <c r="C1023" s="5" t="s">
        <v>1047</v>
      </c>
      <c r="D1023" s="5" t="s">
        <v>1047</v>
      </c>
      <c r="E1023" s="6" t="s">
        <v>2131</v>
      </c>
      <c r="F1023" s="6" t="s">
        <v>2111</v>
      </c>
      <c r="G1023" s="6" t="s">
        <v>2112</v>
      </c>
      <c r="H1023" s="5"/>
      <c r="I1023" s="6" t="s">
        <v>2103</v>
      </c>
    </row>
    <row r="1024" customFormat="false" ht="15" hidden="false" customHeight="false" outlineLevel="0" collapsed="false">
      <c r="A1024" s="5" t="s">
        <v>2157</v>
      </c>
      <c r="B1024" s="5" t="s">
        <v>1005</v>
      </c>
      <c r="C1024" s="5" t="s">
        <v>1047</v>
      </c>
      <c r="D1024" s="5" t="s">
        <v>1047</v>
      </c>
      <c r="E1024" s="6" t="s">
        <v>2114</v>
      </c>
      <c r="F1024" s="6" t="s">
        <v>2115</v>
      </c>
      <c r="G1024" s="6" t="s">
        <v>2045</v>
      </c>
      <c r="H1024" s="5"/>
      <c r="I1024" s="6" t="s">
        <v>2116</v>
      </c>
    </row>
    <row r="1025" customFormat="false" ht="15" hidden="false" customHeight="false" outlineLevel="0" collapsed="false">
      <c r="A1025" s="5" t="s">
        <v>2157</v>
      </c>
      <c r="B1025" s="5" t="s">
        <v>1005</v>
      </c>
      <c r="C1025" s="5" t="s">
        <v>1047</v>
      </c>
      <c r="D1025" s="5" t="s">
        <v>1047</v>
      </c>
      <c r="E1025" s="6" t="s">
        <v>2117</v>
      </c>
      <c r="F1025" s="6" t="s">
        <v>2115</v>
      </c>
      <c r="G1025" s="6" t="s">
        <v>2045</v>
      </c>
      <c r="H1025" s="5"/>
      <c r="I1025" s="6" t="s">
        <v>2116</v>
      </c>
    </row>
    <row r="1026" customFormat="false" ht="15" hidden="false" customHeight="false" outlineLevel="0" collapsed="false">
      <c r="A1026" s="5" t="s">
        <v>2157</v>
      </c>
      <c r="B1026" s="5" t="s">
        <v>1005</v>
      </c>
      <c r="C1026" s="5" t="s">
        <v>1047</v>
      </c>
      <c r="D1026" s="5" t="s">
        <v>1047</v>
      </c>
      <c r="E1026" s="6" t="s">
        <v>2118</v>
      </c>
      <c r="F1026" s="6" t="s">
        <v>2115</v>
      </c>
      <c r="G1026" s="6" t="s">
        <v>2045</v>
      </c>
      <c r="H1026" s="5"/>
      <c r="I1026" s="6" t="s">
        <v>2116</v>
      </c>
    </row>
    <row r="1027" customFormat="false" ht="35.05" hidden="false" customHeight="false" outlineLevel="0" collapsed="false">
      <c r="A1027" s="5" t="s">
        <v>2165</v>
      </c>
      <c r="B1027" s="5" t="s">
        <v>1005</v>
      </c>
      <c r="C1027" s="5" t="s">
        <v>1053</v>
      </c>
      <c r="D1027" s="5" t="s">
        <v>1053</v>
      </c>
      <c r="E1027" s="6" t="s">
        <v>2043</v>
      </c>
      <c r="F1027" s="6" t="s">
        <v>2044</v>
      </c>
      <c r="G1027" s="6" t="s">
        <v>2045</v>
      </c>
      <c r="H1027" s="5"/>
      <c r="I1027" s="6" t="s">
        <v>2046</v>
      </c>
    </row>
    <row r="1028" customFormat="false" ht="23.85" hidden="false" customHeight="false" outlineLevel="0" collapsed="false">
      <c r="A1028" s="5" t="s">
        <v>2165</v>
      </c>
      <c r="B1028" s="5" t="s">
        <v>1005</v>
      </c>
      <c r="C1028" s="5" t="s">
        <v>1053</v>
      </c>
      <c r="D1028" s="5" t="s">
        <v>1053</v>
      </c>
      <c r="E1028" s="6" t="s">
        <v>2047</v>
      </c>
      <c r="F1028" s="6" t="s">
        <v>2048</v>
      </c>
      <c r="G1028" s="6" t="s">
        <v>2045</v>
      </c>
      <c r="H1028" s="5"/>
      <c r="I1028" s="6" t="s">
        <v>2049</v>
      </c>
    </row>
    <row r="1029" customFormat="false" ht="15" hidden="false" customHeight="false" outlineLevel="0" collapsed="false">
      <c r="A1029" s="5" t="s">
        <v>2165</v>
      </c>
      <c r="B1029" s="5" t="s">
        <v>1005</v>
      </c>
      <c r="C1029" s="5" t="s">
        <v>1053</v>
      </c>
      <c r="D1029" s="5" t="s">
        <v>1053</v>
      </c>
      <c r="E1029" s="6" t="s">
        <v>2050</v>
      </c>
      <c r="F1029" s="6" t="s">
        <v>2051</v>
      </c>
      <c r="G1029" s="6" t="s">
        <v>2166</v>
      </c>
      <c r="H1029" s="5"/>
      <c r="I1029" s="6" t="s">
        <v>2053</v>
      </c>
    </row>
    <row r="1030" customFormat="false" ht="15" hidden="false" customHeight="false" outlineLevel="0" collapsed="false">
      <c r="A1030" s="5" t="s">
        <v>2165</v>
      </c>
      <c r="B1030" s="5" t="s">
        <v>1005</v>
      </c>
      <c r="C1030" s="5" t="s">
        <v>1053</v>
      </c>
      <c r="D1030" s="5" t="s">
        <v>1053</v>
      </c>
      <c r="E1030" s="6" t="s">
        <v>2054</v>
      </c>
      <c r="F1030" s="6" t="s">
        <v>2055</v>
      </c>
      <c r="G1030" s="6" t="s">
        <v>2045</v>
      </c>
      <c r="H1030" s="5"/>
      <c r="I1030" s="6" t="s">
        <v>2056</v>
      </c>
    </row>
    <row r="1031" customFormat="false" ht="15" hidden="false" customHeight="false" outlineLevel="0" collapsed="false">
      <c r="A1031" s="5" t="s">
        <v>2165</v>
      </c>
      <c r="B1031" s="5" t="s">
        <v>1005</v>
      </c>
      <c r="C1031" s="5" t="s">
        <v>1053</v>
      </c>
      <c r="D1031" s="5" t="s">
        <v>1053</v>
      </c>
      <c r="E1031" s="6" t="s">
        <v>2141</v>
      </c>
      <c r="F1031" s="6" t="s">
        <v>2167</v>
      </c>
      <c r="G1031" s="6" t="s">
        <v>2168</v>
      </c>
      <c r="H1031" s="5"/>
      <c r="I1031" s="6" t="s">
        <v>2049</v>
      </c>
    </row>
    <row r="1032" customFormat="false" ht="15" hidden="false" customHeight="false" outlineLevel="0" collapsed="false">
      <c r="A1032" s="5" t="s">
        <v>2165</v>
      </c>
      <c r="B1032" s="5" t="s">
        <v>1005</v>
      </c>
      <c r="C1032" s="5" t="s">
        <v>1053</v>
      </c>
      <c r="D1032" s="5" t="s">
        <v>1053</v>
      </c>
      <c r="E1032" s="6" t="s">
        <v>2060</v>
      </c>
      <c r="F1032" s="6" t="s">
        <v>2061</v>
      </c>
      <c r="G1032" s="6" t="s">
        <v>2169</v>
      </c>
      <c r="H1032" s="5"/>
      <c r="I1032" s="6" t="s">
        <v>2049</v>
      </c>
    </row>
    <row r="1033" customFormat="false" ht="15" hidden="false" customHeight="false" outlineLevel="0" collapsed="false">
      <c r="A1033" s="5" t="s">
        <v>2165</v>
      </c>
      <c r="B1033" s="5" t="s">
        <v>1005</v>
      </c>
      <c r="C1033" s="5" t="s">
        <v>1053</v>
      </c>
      <c r="D1033" s="5" t="s">
        <v>1053</v>
      </c>
      <c r="E1033" s="6" t="s">
        <v>2063</v>
      </c>
      <c r="F1033" s="6" t="s">
        <v>2061</v>
      </c>
      <c r="G1033" s="6" t="s">
        <v>2124</v>
      </c>
      <c r="H1033" s="5"/>
      <c r="I1033" s="6" t="s">
        <v>2049</v>
      </c>
    </row>
    <row r="1034" customFormat="false" ht="15" hidden="false" customHeight="false" outlineLevel="0" collapsed="false">
      <c r="A1034" s="5" t="s">
        <v>2165</v>
      </c>
      <c r="B1034" s="5" t="s">
        <v>1005</v>
      </c>
      <c r="C1034" s="5" t="s">
        <v>1053</v>
      </c>
      <c r="D1034" s="5" t="s">
        <v>1053</v>
      </c>
      <c r="E1034" s="6" t="s">
        <v>2065</v>
      </c>
      <c r="F1034" s="6" t="s">
        <v>2066</v>
      </c>
      <c r="G1034" s="6" t="s">
        <v>2170</v>
      </c>
      <c r="H1034" s="5"/>
      <c r="I1034" s="6" t="s">
        <v>2067</v>
      </c>
    </row>
    <row r="1035" customFormat="false" ht="15" hidden="false" customHeight="false" outlineLevel="0" collapsed="false">
      <c r="A1035" s="5" t="s">
        <v>2165</v>
      </c>
      <c r="B1035" s="5" t="s">
        <v>1005</v>
      </c>
      <c r="C1035" s="5" t="s">
        <v>1053</v>
      </c>
      <c r="D1035" s="5" t="s">
        <v>1053</v>
      </c>
      <c r="E1035" s="6" t="s">
        <v>2068</v>
      </c>
      <c r="F1035" s="6" t="s">
        <v>2069</v>
      </c>
      <c r="G1035" s="6" t="s">
        <v>2070</v>
      </c>
      <c r="H1035" s="5"/>
      <c r="I1035" s="6" t="s">
        <v>2071</v>
      </c>
    </row>
    <row r="1036" customFormat="false" ht="15" hidden="false" customHeight="false" outlineLevel="0" collapsed="false">
      <c r="A1036" s="5" t="s">
        <v>2165</v>
      </c>
      <c r="B1036" s="5" t="s">
        <v>1005</v>
      </c>
      <c r="C1036" s="5" t="s">
        <v>1053</v>
      </c>
      <c r="D1036" s="5" t="s">
        <v>1053</v>
      </c>
      <c r="E1036" s="6" t="s">
        <v>2072</v>
      </c>
      <c r="F1036" s="6" t="s">
        <v>2073</v>
      </c>
      <c r="G1036" s="6" t="s">
        <v>2070</v>
      </c>
      <c r="H1036" s="5"/>
      <c r="I1036" s="6" t="s">
        <v>2071</v>
      </c>
    </row>
    <row r="1037" customFormat="false" ht="15" hidden="false" customHeight="false" outlineLevel="0" collapsed="false">
      <c r="A1037" s="5" t="s">
        <v>2165</v>
      </c>
      <c r="B1037" s="5" t="s">
        <v>1005</v>
      </c>
      <c r="C1037" s="5" t="s">
        <v>1053</v>
      </c>
      <c r="D1037" s="5" t="s">
        <v>1053</v>
      </c>
      <c r="E1037" s="6" t="s">
        <v>2074</v>
      </c>
      <c r="F1037" s="6" t="s">
        <v>2075</v>
      </c>
      <c r="G1037" s="6" t="s">
        <v>2070</v>
      </c>
      <c r="H1037" s="5"/>
      <c r="I1037" s="6" t="s">
        <v>2071</v>
      </c>
    </row>
    <row r="1038" customFormat="false" ht="23.85" hidden="false" customHeight="false" outlineLevel="0" collapsed="false">
      <c r="A1038" s="5" t="s">
        <v>2165</v>
      </c>
      <c r="B1038" s="5" t="s">
        <v>1005</v>
      </c>
      <c r="C1038" s="5" t="s">
        <v>1053</v>
      </c>
      <c r="D1038" s="5" t="s">
        <v>1053</v>
      </c>
      <c r="E1038" s="6" t="s">
        <v>2076</v>
      </c>
      <c r="F1038" s="6" t="s">
        <v>2077</v>
      </c>
      <c r="G1038" s="6" t="s">
        <v>2070</v>
      </c>
      <c r="H1038" s="5"/>
      <c r="I1038" s="6" t="s">
        <v>2071</v>
      </c>
    </row>
    <row r="1039" customFormat="false" ht="15" hidden="false" customHeight="false" outlineLevel="0" collapsed="false">
      <c r="A1039" s="5" t="s">
        <v>2165</v>
      </c>
      <c r="B1039" s="5" t="s">
        <v>1005</v>
      </c>
      <c r="C1039" s="5" t="s">
        <v>1053</v>
      </c>
      <c r="D1039" s="5" t="s">
        <v>1053</v>
      </c>
      <c r="E1039" s="6" t="s">
        <v>2078</v>
      </c>
      <c r="F1039" s="6" t="s">
        <v>2079</v>
      </c>
      <c r="G1039" s="6" t="s">
        <v>2070</v>
      </c>
      <c r="H1039" s="5"/>
      <c r="I1039" s="6" t="s">
        <v>2071</v>
      </c>
    </row>
    <row r="1040" customFormat="false" ht="15" hidden="false" customHeight="false" outlineLevel="0" collapsed="false">
      <c r="A1040" s="5" t="s">
        <v>2165</v>
      </c>
      <c r="B1040" s="5" t="s">
        <v>1005</v>
      </c>
      <c r="C1040" s="5" t="s">
        <v>1053</v>
      </c>
      <c r="D1040" s="5" t="s">
        <v>1053</v>
      </c>
      <c r="E1040" s="6" t="s">
        <v>2080</v>
      </c>
      <c r="F1040" s="6" t="s">
        <v>2081</v>
      </c>
      <c r="G1040" s="6" t="s">
        <v>2070</v>
      </c>
      <c r="H1040" s="5"/>
      <c r="I1040" s="6" t="s">
        <v>2071</v>
      </c>
    </row>
    <row r="1041" customFormat="false" ht="15" hidden="false" customHeight="false" outlineLevel="0" collapsed="false">
      <c r="A1041" s="5" t="s">
        <v>2165</v>
      </c>
      <c r="B1041" s="5" t="s">
        <v>1005</v>
      </c>
      <c r="C1041" s="5" t="s">
        <v>1053</v>
      </c>
      <c r="D1041" s="5" t="s">
        <v>1053</v>
      </c>
      <c r="E1041" s="6" t="s">
        <v>2082</v>
      </c>
      <c r="F1041" s="6" t="s">
        <v>2083</v>
      </c>
      <c r="G1041" s="6" t="s">
        <v>2070</v>
      </c>
      <c r="H1041" s="5"/>
      <c r="I1041" s="6" t="s">
        <v>2071</v>
      </c>
    </row>
    <row r="1042" customFormat="false" ht="15" hidden="false" customHeight="false" outlineLevel="0" collapsed="false">
      <c r="A1042" s="5" t="s">
        <v>2165</v>
      </c>
      <c r="B1042" s="5" t="s">
        <v>1005</v>
      </c>
      <c r="C1042" s="5" t="s">
        <v>1053</v>
      </c>
      <c r="D1042" s="5" t="s">
        <v>1053</v>
      </c>
      <c r="E1042" s="6" t="s">
        <v>2084</v>
      </c>
      <c r="F1042" s="6" t="s">
        <v>2073</v>
      </c>
      <c r="G1042" s="6" t="s">
        <v>2070</v>
      </c>
      <c r="H1042" s="5"/>
      <c r="I1042" s="6" t="s">
        <v>2071</v>
      </c>
    </row>
    <row r="1043" customFormat="false" ht="15" hidden="false" customHeight="false" outlineLevel="0" collapsed="false">
      <c r="A1043" s="5" t="s">
        <v>2165</v>
      </c>
      <c r="B1043" s="5" t="s">
        <v>1005</v>
      </c>
      <c r="C1043" s="5" t="s">
        <v>1053</v>
      </c>
      <c r="D1043" s="5" t="s">
        <v>1053</v>
      </c>
      <c r="E1043" s="6" t="s">
        <v>2085</v>
      </c>
      <c r="F1043" s="6" t="s">
        <v>2086</v>
      </c>
      <c r="G1043" s="6" t="s">
        <v>2070</v>
      </c>
      <c r="H1043" s="5"/>
      <c r="I1043" s="6" t="s">
        <v>2071</v>
      </c>
    </row>
    <row r="1044" customFormat="false" ht="23.85" hidden="false" customHeight="false" outlineLevel="0" collapsed="false">
      <c r="A1044" s="5" t="s">
        <v>2165</v>
      </c>
      <c r="B1044" s="5" t="s">
        <v>1005</v>
      </c>
      <c r="C1044" s="5" t="s">
        <v>1053</v>
      </c>
      <c r="D1044" s="5" t="s">
        <v>1053</v>
      </c>
      <c r="E1044" s="6" t="s">
        <v>2087</v>
      </c>
      <c r="F1044" s="6" t="s">
        <v>2081</v>
      </c>
      <c r="G1044" s="6" t="s">
        <v>2070</v>
      </c>
      <c r="H1044" s="5"/>
      <c r="I1044" s="6" t="s">
        <v>2071</v>
      </c>
    </row>
    <row r="1045" customFormat="false" ht="15" hidden="false" customHeight="false" outlineLevel="0" collapsed="false">
      <c r="A1045" s="5" t="s">
        <v>2165</v>
      </c>
      <c r="B1045" s="5" t="s">
        <v>1005</v>
      </c>
      <c r="C1045" s="5" t="s">
        <v>1053</v>
      </c>
      <c r="D1045" s="5" t="s">
        <v>1053</v>
      </c>
      <c r="E1045" s="6" t="s">
        <v>2088</v>
      </c>
      <c r="F1045" s="6" t="s">
        <v>2081</v>
      </c>
      <c r="G1045" s="6" t="s">
        <v>2070</v>
      </c>
      <c r="H1045" s="5"/>
      <c r="I1045" s="6" t="s">
        <v>2071</v>
      </c>
    </row>
    <row r="1046" customFormat="false" ht="15" hidden="false" customHeight="false" outlineLevel="0" collapsed="false">
      <c r="A1046" s="5" t="s">
        <v>2165</v>
      </c>
      <c r="B1046" s="5" t="s">
        <v>1005</v>
      </c>
      <c r="C1046" s="5" t="s">
        <v>1053</v>
      </c>
      <c r="D1046" s="5" t="s">
        <v>1053</v>
      </c>
      <c r="E1046" s="6" t="s">
        <v>2089</v>
      </c>
      <c r="F1046" s="6" t="s">
        <v>2081</v>
      </c>
      <c r="G1046" s="6" t="s">
        <v>2070</v>
      </c>
      <c r="H1046" s="5"/>
      <c r="I1046" s="6" t="s">
        <v>2071</v>
      </c>
    </row>
    <row r="1047" customFormat="false" ht="15" hidden="false" customHeight="false" outlineLevel="0" collapsed="false">
      <c r="A1047" s="5" t="s">
        <v>2165</v>
      </c>
      <c r="B1047" s="5" t="s">
        <v>1005</v>
      </c>
      <c r="C1047" s="5" t="s">
        <v>1053</v>
      </c>
      <c r="D1047" s="5" t="s">
        <v>1053</v>
      </c>
      <c r="E1047" s="6" t="s">
        <v>2090</v>
      </c>
      <c r="F1047" s="6" t="s">
        <v>2081</v>
      </c>
      <c r="G1047" s="6" t="s">
        <v>2070</v>
      </c>
      <c r="H1047" s="5"/>
      <c r="I1047" s="6" t="s">
        <v>2071</v>
      </c>
    </row>
    <row r="1048" customFormat="false" ht="15" hidden="false" customHeight="false" outlineLevel="0" collapsed="false">
      <c r="A1048" s="5" t="s">
        <v>2165</v>
      </c>
      <c r="B1048" s="5" t="s">
        <v>1005</v>
      </c>
      <c r="C1048" s="5" t="s">
        <v>1053</v>
      </c>
      <c r="D1048" s="5" t="s">
        <v>1053</v>
      </c>
      <c r="E1048" s="6" t="s">
        <v>2091</v>
      </c>
      <c r="F1048" s="6" t="s">
        <v>2083</v>
      </c>
      <c r="G1048" s="6" t="s">
        <v>2070</v>
      </c>
      <c r="H1048" s="5"/>
      <c r="I1048" s="6" t="s">
        <v>2093</v>
      </c>
    </row>
    <row r="1049" customFormat="false" ht="15" hidden="false" customHeight="false" outlineLevel="0" collapsed="false">
      <c r="A1049" s="5" t="s">
        <v>2165</v>
      </c>
      <c r="B1049" s="5" t="s">
        <v>1005</v>
      </c>
      <c r="C1049" s="5" t="s">
        <v>1053</v>
      </c>
      <c r="D1049" s="5" t="s">
        <v>1053</v>
      </c>
      <c r="E1049" s="6" t="s">
        <v>2094</v>
      </c>
      <c r="F1049" s="6" t="s">
        <v>2069</v>
      </c>
      <c r="G1049" s="6" t="s">
        <v>2070</v>
      </c>
      <c r="H1049" s="5"/>
      <c r="I1049" s="6" t="s">
        <v>2093</v>
      </c>
    </row>
    <row r="1050" customFormat="false" ht="15" hidden="false" customHeight="false" outlineLevel="0" collapsed="false">
      <c r="A1050" s="5" t="s">
        <v>2165</v>
      </c>
      <c r="B1050" s="5" t="s">
        <v>1005</v>
      </c>
      <c r="C1050" s="5" t="s">
        <v>1053</v>
      </c>
      <c r="D1050" s="5" t="s">
        <v>1053</v>
      </c>
      <c r="E1050" s="6" t="s">
        <v>2096</v>
      </c>
      <c r="F1050" s="6" t="s">
        <v>2073</v>
      </c>
      <c r="G1050" s="6" t="s">
        <v>2171</v>
      </c>
      <c r="H1050" s="5"/>
      <c r="I1050" s="6" t="s">
        <v>2093</v>
      </c>
    </row>
    <row r="1051" customFormat="false" ht="15" hidden="false" customHeight="false" outlineLevel="0" collapsed="false">
      <c r="A1051" s="5" t="s">
        <v>2165</v>
      </c>
      <c r="B1051" s="5" t="s">
        <v>1005</v>
      </c>
      <c r="C1051" s="5" t="s">
        <v>1053</v>
      </c>
      <c r="D1051" s="5" t="s">
        <v>1053</v>
      </c>
      <c r="E1051" s="6" t="s">
        <v>2098</v>
      </c>
      <c r="F1051" s="6" t="s">
        <v>2075</v>
      </c>
      <c r="G1051" s="6" t="s">
        <v>2172</v>
      </c>
      <c r="H1051" s="5"/>
      <c r="I1051" s="6" t="s">
        <v>2093</v>
      </c>
    </row>
    <row r="1052" customFormat="false" ht="15" hidden="false" customHeight="false" outlineLevel="0" collapsed="false">
      <c r="A1052" s="5" t="s">
        <v>2165</v>
      </c>
      <c r="B1052" s="5" t="s">
        <v>1005</v>
      </c>
      <c r="C1052" s="5" t="s">
        <v>1053</v>
      </c>
      <c r="D1052" s="5" t="s">
        <v>1053</v>
      </c>
      <c r="E1052" s="6" t="s">
        <v>2100</v>
      </c>
      <c r="F1052" s="6" t="s">
        <v>2125</v>
      </c>
      <c r="G1052" s="6" t="s">
        <v>2173</v>
      </c>
      <c r="H1052" s="5"/>
      <c r="I1052" s="6" t="s">
        <v>2103</v>
      </c>
    </row>
    <row r="1053" customFormat="false" ht="23.85" hidden="false" customHeight="false" outlineLevel="0" collapsed="false">
      <c r="A1053" s="5" t="s">
        <v>2165</v>
      </c>
      <c r="B1053" s="5" t="s">
        <v>1005</v>
      </c>
      <c r="C1053" s="5" t="s">
        <v>1053</v>
      </c>
      <c r="D1053" s="5" t="s">
        <v>1053</v>
      </c>
      <c r="E1053" s="6" t="s">
        <v>2104</v>
      </c>
      <c r="F1053" s="6" t="s">
        <v>2127</v>
      </c>
      <c r="G1053" s="6" t="s">
        <v>2174</v>
      </c>
      <c r="H1053" s="5"/>
      <c r="I1053" s="6" t="s">
        <v>2103</v>
      </c>
    </row>
    <row r="1054" customFormat="false" ht="15" hidden="false" customHeight="false" outlineLevel="0" collapsed="false">
      <c r="A1054" s="5" t="s">
        <v>2165</v>
      </c>
      <c r="B1054" s="5" t="s">
        <v>1005</v>
      </c>
      <c r="C1054" s="5" t="s">
        <v>1053</v>
      </c>
      <c r="D1054" s="5" t="s">
        <v>1053</v>
      </c>
      <c r="E1054" s="6" t="s">
        <v>2107</v>
      </c>
      <c r="F1054" s="6" t="s">
        <v>2129</v>
      </c>
      <c r="G1054" s="6" t="s">
        <v>1893</v>
      </c>
      <c r="H1054" s="5"/>
      <c r="I1054" s="6" t="s">
        <v>2103</v>
      </c>
    </row>
    <row r="1055" customFormat="false" ht="15" hidden="false" customHeight="false" outlineLevel="0" collapsed="false">
      <c r="A1055" s="5" t="s">
        <v>2165</v>
      </c>
      <c r="B1055" s="5" t="s">
        <v>1005</v>
      </c>
      <c r="C1055" s="5" t="s">
        <v>1053</v>
      </c>
      <c r="D1055" s="5" t="s">
        <v>1053</v>
      </c>
      <c r="E1055" s="6" t="s">
        <v>2110</v>
      </c>
      <c r="F1055" s="6" t="s">
        <v>2111</v>
      </c>
      <c r="G1055" s="6" t="s">
        <v>2112</v>
      </c>
      <c r="H1055" s="5"/>
      <c r="I1055" s="6" t="s">
        <v>2103</v>
      </c>
    </row>
    <row r="1056" customFormat="false" ht="15" hidden="false" customHeight="false" outlineLevel="0" collapsed="false">
      <c r="A1056" s="5" t="s">
        <v>2165</v>
      </c>
      <c r="B1056" s="5" t="s">
        <v>1005</v>
      </c>
      <c r="C1056" s="5" t="s">
        <v>1053</v>
      </c>
      <c r="D1056" s="5" t="s">
        <v>1053</v>
      </c>
      <c r="E1056" s="6" t="s">
        <v>2113</v>
      </c>
      <c r="F1056" s="6" t="s">
        <v>2111</v>
      </c>
      <c r="G1056" s="6" t="s">
        <v>2112</v>
      </c>
      <c r="H1056" s="5"/>
      <c r="I1056" s="6" t="s">
        <v>2103</v>
      </c>
    </row>
    <row r="1057" customFormat="false" ht="15" hidden="false" customHeight="false" outlineLevel="0" collapsed="false">
      <c r="A1057" s="5" t="s">
        <v>2165</v>
      </c>
      <c r="B1057" s="5" t="s">
        <v>1005</v>
      </c>
      <c r="C1057" s="5" t="s">
        <v>1053</v>
      </c>
      <c r="D1057" s="5" t="s">
        <v>1053</v>
      </c>
      <c r="E1057" s="6" t="s">
        <v>2114</v>
      </c>
      <c r="F1057" s="6" t="s">
        <v>2115</v>
      </c>
      <c r="G1057" s="6" t="s">
        <v>2045</v>
      </c>
      <c r="H1057" s="5"/>
      <c r="I1057" s="6" t="s">
        <v>2116</v>
      </c>
    </row>
    <row r="1058" customFormat="false" ht="15" hidden="false" customHeight="false" outlineLevel="0" collapsed="false">
      <c r="A1058" s="5" t="s">
        <v>2165</v>
      </c>
      <c r="B1058" s="5" t="s">
        <v>1005</v>
      </c>
      <c r="C1058" s="5" t="s">
        <v>1053</v>
      </c>
      <c r="D1058" s="5" t="s">
        <v>1053</v>
      </c>
      <c r="E1058" s="6" t="s">
        <v>2117</v>
      </c>
      <c r="F1058" s="6" t="s">
        <v>2115</v>
      </c>
      <c r="G1058" s="6" t="s">
        <v>2045</v>
      </c>
      <c r="H1058" s="5"/>
      <c r="I1058" s="6" t="s">
        <v>2116</v>
      </c>
    </row>
    <row r="1059" customFormat="false" ht="15" hidden="false" customHeight="false" outlineLevel="0" collapsed="false">
      <c r="A1059" s="5" t="s">
        <v>2165</v>
      </c>
      <c r="B1059" s="5" t="s">
        <v>1005</v>
      </c>
      <c r="C1059" s="5" t="s">
        <v>1053</v>
      </c>
      <c r="D1059" s="5" t="s">
        <v>1053</v>
      </c>
      <c r="E1059" s="6" t="s">
        <v>2118</v>
      </c>
      <c r="F1059" s="6" t="s">
        <v>2115</v>
      </c>
      <c r="G1059" s="6" t="s">
        <v>2045</v>
      </c>
      <c r="H1059" s="5"/>
      <c r="I1059" s="6" t="s">
        <v>2116</v>
      </c>
    </row>
    <row r="1060" customFormat="false" ht="35.05" hidden="false" customHeight="false" outlineLevel="0" collapsed="false">
      <c r="A1060" s="5" t="s">
        <v>2175</v>
      </c>
      <c r="B1060" s="5" t="s">
        <v>1005</v>
      </c>
      <c r="C1060" s="5" t="s">
        <v>1059</v>
      </c>
      <c r="D1060" s="5" t="s">
        <v>1059</v>
      </c>
      <c r="E1060" s="6" t="s">
        <v>2043</v>
      </c>
      <c r="F1060" s="6" t="s">
        <v>2044</v>
      </c>
      <c r="G1060" s="6" t="s">
        <v>2045</v>
      </c>
      <c r="H1060" s="5"/>
      <c r="I1060" s="6" t="s">
        <v>2046</v>
      </c>
    </row>
    <row r="1061" customFormat="false" ht="23.85" hidden="false" customHeight="false" outlineLevel="0" collapsed="false">
      <c r="A1061" s="5" t="s">
        <v>2175</v>
      </c>
      <c r="B1061" s="5" t="s">
        <v>1005</v>
      </c>
      <c r="C1061" s="5" t="s">
        <v>1059</v>
      </c>
      <c r="D1061" s="5" t="s">
        <v>1059</v>
      </c>
      <c r="E1061" s="6" t="s">
        <v>2047</v>
      </c>
      <c r="F1061" s="6" t="s">
        <v>2048</v>
      </c>
      <c r="G1061" s="6" t="s">
        <v>2045</v>
      </c>
      <c r="H1061" s="5"/>
      <c r="I1061" s="6" t="s">
        <v>2049</v>
      </c>
    </row>
    <row r="1062" customFormat="false" ht="15" hidden="false" customHeight="false" outlineLevel="0" collapsed="false">
      <c r="A1062" s="5" t="s">
        <v>2175</v>
      </c>
      <c r="B1062" s="5" t="s">
        <v>1005</v>
      </c>
      <c r="C1062" s="5" t="s">
        <v>1059</v>
      </c>
      <c r="D1062" s="5" t="s">
        <v>1059</v>
      </c>
      <c r="E1062" s="6" t="s">
        <v>2050</v>
      </c>
      <c r="F1062" s="6" t="s">
        <v>2051</v>
      </c>
      <c r="G1062" s="6" t="s">
        <v>2176</v>
      </c>
      <c r="H1062" s="5"/>
      <c r="I1062" s="6" t="s">
        <v>2053</v>
      </c>
    </row>
    <row r="1063" customFormat="false" ht="15" hidden="false" customHeight="false" outlineLevel="0" collapsed="false">
      <c r="A1063" s="5" t="s">
        <v>2175</v>
      </c>
      <c r="B1063" s="5" t="s">
        <v>1005</v>
      </c>
      <c r="C1063" s="5" t="s">
        <v>1059</v>
      </c>
      <c r="D1063" s="5" t="s">
        <v>1059</v>
      </c>
      <c r="E1063" s="6" t="s">
        <v>2054</v>
      </c>
      <c r="F1063" s="6" t="s">
        <v>2055</v>
      </c>
      <c r="G1063" s="6" t="s">
        <v>2045</v>
      </c>
      <c r="H1063" s="5"/>
      <c r="I1063" s="6" t="s">
        <v>2056</v>
      </c>
    </row>
    <row r="1064" customFormat="false" ht="15" hidden="false" customHeight="false" outlineLevel="0" collapsed="false">
      <c r="A1064" s="5" t="s">
        <v>2175</v>
      </c>
      <c r="B1064" s="5" t="s">
        <v>1005</v>
      </c>
      <c r="C1064" s="5" t="s">
        <v>1059</v>
      </c>
      <c r="D1064" s="5" t="s">
        <v>1059</v>
      </c>
      <c r="E1064" s="6" t="s">
        <v>2141</v>
      </c>
      <c r="F1064" s="6" t="s">
        <v>2121</v>
      </c>
      <c r="G1064" s="6" t="s">
        <v>2177</v>
      </c>
      <c r="H1064" s="5"/>
      <c r="I1064" s="6" t="s">
        <v>2049</v>
      </c>
    </row>
    <row r="1065" customFormat="false" ht="15" hidden="false" customHeight="false" outlineLevel="0" collapsed="false">
      <c r="A1065" s="5" t="s">
        <v>2175</v>
      </c>
      <c r="B1065" s="5" t="s">
        <v>1005</v>
      </c>
      <c r="C1065" s="5" t="s">
        <v>1059</v>
      </c>
      <c r="D1065" s="5" t="s">
        <v>1059</v>
      </c>
      <c r="E1065" s="6" t="s">
        <v>2060</v>
      </c>
      <c r="F1065" s="6" t="s">
        <v>2061</v>
      </c>
      <c r="G1065" s="6" t="s">
        <v>2123</v>
      </c>
      <c r="H1065" s="5"/>
      <c r="I1065" s="6" t="s">
        <v>2049</v>
      </c>
    </row>
    <row r="1066" customFormat="false" ht="15" hidden="false" customHeight="false" outlineLevel="0" collapsed="false">
      <c r="A1066" s="5" t="s">
        <v>2175</v>
      </c>
      <c r="B1066" s="5" t="s">
        <v>1005</v>
      </c>
      <c r="C1066" s="5" t="s">
        <v>1059</v>
      </c>
      <c r="D1066" s="5" t="s">
        <v>1059</v>
      </c>
      <c r="E1066" s="6" t="s">
        <v>2063</v>
      </c>
      <c r="F1066" s="6" t="s">
        <v>2061</v>
      </c>
      <c r="G1066" s="6" t="s">
        <v>2070</v>
      </c>
      <c r="H1066" s="5"/>
      <c r="I1066" s="6" t="s">
        <v>2049</v>
      </c>
    </row>
    <row r="1067" customFormat="false" ht="15" hidden="false" customHeight="false" outlineLevel="0" collapsed="false">
      <c r="A1067" s="5" t="s">
        <v>2175</v>
      </c>
      <c r="B1067" s="5" t="s">
        <v>1005</v>
      </c>
      <c r="C1067" s="5" t="s">
        <v>1059</v>
      </c>
      <c r="D1067" s="5" t="s">
        <v>1059</v>
      </c>
      <c r="E1067" s="6" t="s">
        <v>2065</v>
      </c>
      <c r="F1067" s="6" t="s">
        <v>2066</v>
      </c>
      <c r="G1067" s="6" t="s">
        <v>1765</v>
      </c>
      <c r="H1067" s="5"/>
      <c r="I1067" s="6" t="s">
        <v>2067</v>
      </c>
    </row>
    <row r="1068" customFormat="false" ht="15" hidden="false" customHeight="false" outlineLevel="0" collapsed="false">
      <c r="A1068" s="5" t="s">
        <v>2175</v>
      </c>
      <c r="B1068" s="5" t="s">
        <v>1005</v>
      </c>
      <c r="C1068" s="5" t="s">
        <v>1059</v>
      </c>
      <c r="D1068" s="5" t="s">
        <v>1059</v>
      </c>
      <c r="E1068" s="6" t="s">
        <v>2068</v>
      </c>
      <c r="F1068" s="6" t="s">
        <v>2069</v>
      </c>
      <c r="G1068" s="6" t="s">
        <v>2070</v>
      </c>
      <c r="H1068" s="5"/>
      <c r="I1068" s="6" t="s">
        <v>2071</v>
      </c>
    </row>
    <row r="1069" customFormat="false" ht="15" hidden="false" customHeight="false" outlineLevel="0" collapsed="false">
      <c r="A1069" s="5" t="s">
        <v>2175</v>
      </c>
      <c r="B1069" s="5" t="s">
        <v>1005</v>
      </c>
      <c r="C1069" s="5" t="s">
        <v>1059</v>
      </c>
      <c r="D1069" s="5" t="s">
        <v>1059</v>
      </c>
      <c r="E1069" s="6" t="s">
        <v>2072</v>
      </c>
      <c r="F1069" s="6" t="s">
        <v>2073</v>
      </c>
      <c r="G1069" s="6" t="s">
        <v>2070</v>
      </c>
      <c r="H1069" s="5"/>
      <c r="I1069" s="6" t="s">
        <v>2071</v>
      </c>
    </row>
    <row r="1070" customFormat="false" ht="15" hidden="false" customHeight="false" outlineLevel="0" collapsed="false">
      <c r="A1070" s="5" t="s">
        <v>2175</v>
      </c>
      <c r="B1070" s="5" t="s">
        <v>1005</v>
      </c>
      <c r="C1070" s="5" t="s">
        <v>1059</v>
      </c>
      <c r="D1070" s="5" t="s">
        <v>1059</v>
      </c>
      <c r="E1070" s="6" t="s">
        <v>2074</v>
      </c>
      <c r="F1070" s="6" t="s">
        <v>2075</v>
      </c>
      <c r="G1070" s="6" t="s">
        <v>2070</v>
      </c>
      <c r="H1070" s="5"/>
      <c r="I1070" s="6" t="s">
        <v>2071</v>
      </c>
    </row>
    <row r="1071" customFormat="false" ht="23.85" hidden="false" customHeight="false" outlineLevel="0" collapsed="false">
      <c r="A1071" s="5" t="s">
        <v>2175</v>
      </c>
      <c r="B1071" s="5" t="s">
        <v>1005</v>
      </c>
      <c r="C1071" s="5" t="s">
        <v>1059</v>
      </c>
      <c r="D1071" s="5" t="s">
        <v>1059</v>
      </c>
      <c r="E1071" s="6" t="s">
        <v>2076</v>
      </c>
      <c r="F1071" s="6" t="s">
        <v>2077</v>
      </c>
      <c r="G1071" s="6" t="s">
        <v>2070</v>
      </c>
      <c r="H1071" s="5"/>
      <c r="I1071" s="6" t="s">
        <v>2071</v>
      </c>
    </row>
    <row r="1072" customFormat="false" ht="15" hidden="false" customHeight="false" outlineLevel="0" collapsed="false">
      <c r="A1072" s="5" t="s">
        <v>2175</v>
      </c>
      <c r="B1072" s="5" t="s">
        <v>1005</v>
      </c>
      <c r="C1072" s="5" t="s">
        <v>1059</v>
      </c>
      <c r="D1072" s="5" t="s">
        <v>1059</v>
      </c>
      <c r="E1072" s="6" t="s">
        <v>2078</v>
      </c>
      <c r="F1072" s="6" t="s">
        <v>2079</v>
      </c>
      <c r="G1072" s="6" t="s">
        <v>2070</v>
      </c>
      <c r="H1072" s="5"/>
      <c r="I1072" s="6" t="s">
        <v>2071</v>
      </c>
    </row>
    <row r="1073" customFormat="false" ht="15" hidden="false" customHeight="false" outlineLevel="0" collapsed="false">
      <c r="A1073" s="5" t="s">
        <v>2175</v>
      </c>
      <c r="B1073" s="5" t="s">
        <v>1005</v>
      </c>
      <c r="C1073" s="5" t="s">
        <v>1059</v>
      </c>
      <c r="D1073" s="5" t="s">
        <v>1059</v>
      </c>
      <c r="E1073" s="6" t="s">
        <v>2080</v>
      </c>
      <c r="F1073" s="6" t="s">
        <v>2081</v>
      </c>
      <c r="G1073" s="6" t="s">
        <v>2070</v>
      </c>
      <c r="H1073" s="5"/>
      <c r="I1073" s="6" t="s">
        <v>2071</v>
      </c>
    </row>
    <row r="1074" customFormat="false" ht="15" hidden="false" customHeight="false" outlineLevel="0" collapsed="false">
      <c r="A1074" s="5" t="s">
        <v>2175</v>
      </c>
      <c r="B1074" s="5" t="s">
        <v>1005</v>
      </c>
      <c r="C1074" s="5" t="s">
        <v>1059</v>
      </c>
      <c r="D1074" s="5" t="s">
        <v>1059</v>
      </c>
      <c r="E1074" s="6" t="s">
        <v>2082</v>
      </c>
      <c r="F1074" s="6" t="s">
        <v>2083</v>
      </c>
      <c r="G1074" s="6" t="s">
        <v>2070</v>
      </c>
      <c r="H1074" s="5"/>
      <c r="I1074" s="6" t="s">
        <v>2071</v>
      </c>
    </row>
    <row r="1075" customFormat="false" ht="15" hidden="false" customHeight="false" outlineLevel="0" collapsed="false">
      <c r="A1075" s="5" t="s">
        <v>2175</v>
      </c>
      <c r="B1075" s="5" t="s">
        <v>1005</v>
      </c>
      <c r="C1075" s="5" t="s">
        <v>1059</v>
      </c>
      <c r="D1075" s="5" t="s">
        <v>1059</v>
      </c>
      <c r="E1075" s="6" t="s">
        <v>2084</v>
      </c>
      <c r="F1075" s="6" t="s">
        <v>2073</v>
      </c>
      <c r="G1075" s="6" t="s">
        <v>2070</v>
      </c>
      <c r="H1075" s="5"/>
      <c r="I1075" s="6" t="s">
        <v>2071</v>
      </c>
    </row>
    <row r="1076" customFormat="false" ht="15" hidden="false" customHeight="false" outlineLevel="0" collapsed="false">
      <c r="A1076" s="5" t="s">
        <v>2175</v>
      </c>
      <c r="B1076" s="5" t="s">
        <v>1005</v>
      </c>
      <c r="C1076" s="5" t="s">
        <v>1059</v>
      </c>
      <c r="D1076" s="5" t="s">
        <v>1059</v>
      </c>
      <c r="E1076" s="6" t="s">
        <v>2085</v>
      </c>
      <c r="F1076" s="6" t="s">
        <v>2086</v>
      </c>
      <c r="G1076" s="6" t="s">
        <v>2070</v>
      </c>
      <c r="H1076" s="5"/>
      <c r="I1076" s="6" t="s">
        <v>2071</v>
      </c>
    </row>
    <row r="1077" customFormat="false" ht="23.85" hidden="false" customHeight="false" outlineLevel="0" collapsed="false">
      <c r="A1077" s="5" t="s">
        <v>2175</v>
      </c>
      <c r="B1077" s="5" t="s">
        <v>1005</v>
      </c>
      <c r="C1077" s="5" t="s">
        <v>1059</v>
      </c>
      <c r="D1077" s="5" t="s">
        <v>1059</v>
      </c>
      <c r="E1077" s="6" t="s">
        <v>2087</v>
      </c>
      <c r="F1077" s="6" t="s">
        <v>2081</v>
      </c>
      <c r="G1077" s="6" t="s">
        <v>2070</v>
      </c>
      <c r="H1077" s="5"/>
      <c r="I1077" s="6" t="s">
        <v>2071</v>
      </c>
    </row>
    <row r="1078" customFormat="false" ht="15" hidden="false" customHeight="false" outlineLevel="0" collapsed="false">
      <c r="A1078" s="5" t="s">
        <v>2175</v>
      </c>
      <c r="B1078" s="5" t="s">
        <v>1005</v>
      </c>
      <c r="C1078" s="5" t="s">
        <v>1059</v>
      </c>
      <c r="D1078" s="5" t="s">
        <v>1059</v>
      </c>
      <c r="E1078" s="6" t="s">
        <v>2088</v>
      </c>
      <c r="F1078" s="6" t="s">
        <v>2081</v>
      </c>
      <c r="G1078" s="6" t="s">
        <v>2070</v>
      </c>
      <c r="H1078" s="5"/>
      <c r="I1078" s="6" t="s">
        <v>2071</v>
      </c>
    </row>
    <row r="1079" customFormat="false" ht="15" hidden="false" customHeight="false" outlineLevel="0" collapsed="false">
      <c r="A1079" s="5" t="s">
        <v>2175</v>
      </c>
      <c r="B1079" s="5" t="s">
        <v>1005</v>
      </c>
      <c r="C1079" s="5" t="s">
        <v>1059</v>
      </c>
      <c r="D1079" s="5" t="s">
        <v>1059</v>
      </c>
      <c r="E1079" s="6" t="s">
        <v>2089</v>
      </c>
      <c r="F1079" s="6" t="s">
        <v>2081</v>
      </c>
      <c r="G1079" s="6" t="s">
        <v>2070</v>
      </c>
      <c r="H1079" s="5"/>
      <c r="I1079" s="6" t="s">
        <v>2071</v>
      </c>
    </row>
    <row r="1080" customFormat="false" ht="15" hidden="false" customHeight="false" outlineLevel="0" collapsed="false">
      <c r="A1080" s="5" t="s">
        <v>2175</v>
      </c>
      <c r="B1080" s="5" t="s">
        <v>1005</v>
      </c>
      <c r="C1080" s="5" t="s">
        <v>1059</v>
      </c>
      <c r="D1080" s="5" t="s">
        <v>1059</v>
      </c>
      <c r="E1080" s="6" t="s">
        <v>2090</v>
      </c>
      <c r="F1080" s="6" t="s">
        <v>2081</v>
      </c>
      <c r="G1080" s="6" t="s">
        <v>2070</v>
      </c>
      <c r="H1080" s="5"/>
      <c r="I1080" s="6" t="s">
        <v>2071</v>
      </c>
    </row>
    <row r="1081" customFormat="false" ht="15" hidden="false" customHeight="false" outlineLevel="0" collapsed="false">
      <c r="A1081" s="5" t="s">
        <v>2175</v>
      </c>
      <c r="B1081" s="5" t="s">
        <v>1005</v>
      </c>
      <c r="C1081" s="5" t="s">
        <v>1059</v>
      </c>
      <c r="D1081" s="5" t="s">
        <v>1059</v>
      </c>
      <c r="E1081" s="6" t="s">
        <v>2091</v>
      </c>
      <c r="F1081" s="6" t="s">
        <v>2083</v>
      </c>
      <c r="G1081" s="6" t="s">
        <v>2178</v>
      </c>
      <c r="H1081" s="5"/>
      <c r="I1081" s="6" t="s">
        <v>2093</v>
      </c>
    </row>
    <row r="1082" customFormat="false" ht="15" hidden="false" customHeight="false" outlineLevel="0" collapsed="false">
      <c r="A1082" s="5" t="s">
        <v>2175</v>
      </c>
      <c r="B1082" s="5" t="s">
        <v>1005</v>
      </c>
      <c r="C1082" s="5" t="s">
        <v>1059</v>
      </c>
      <c r="D1082" s="5" t="s">
        <v>1059</v>
      </c>
      <c r="E1082" s="6" t="s">
        <v>2094</v>
      </c>
      <c r="F1082" s="6" t="s">
        <v>2069</v>
      </c>
      <c r="G1082" s="6" t="s">
        <v>2179</v>
      </c>
      <c r="H1082" s="5"/>
      <c r="I1082" s="6" t="s">
        <v>2093</v>
      </c>
    </row>
    <row r="1083" customFormat="false" ht="15" hidden="false" customHeight="false" outlineLevel="0" collapsed="false">
      <c r="A1083" s="5" t="s">
        <v>2175</v>
      </c>
      <c r="B1083" s="5" t="s">
        <v>1005</v>
      </c>
      <c r="C1083" s="5" t="s">
        <v>1059</v>
      </c>
      <c r="D1083" s="5" t="s">
        <v>1059</v>
      </c>
      <c r="E1083" s="6" t="s">
        <v>2096</v>
      </c>
      <c r="F1083" s="6" t="s">
        <v>2073</v>
      </c>
      <c r="G1083" s="6" t="s">
        <v>2145</v>
      </c>
      <c r="H1083" s="5"/>
      <c r="I1083" s="6" t="s">
        <v>2093</v>
      </c>
    </row>
    <row r="1084" customFormat="false" ht="15" hidden="false" customHeight="false" outlineLevel="0" collapsed="false">
      <c r="A1084" s="5" t="s">
        <v>2175</v>
      </c>
      <c r="B1084" s="5" t="s">
        <v>1005</v>
      </c>
      <c r="C1084" s="5" t="s">
        <v>1059</v>
      </c>
      <c r="D1084" s="5" t="s">
        <v>1059</v>
      </c>
      <c r="E1084" s="6" t="s">
        <v>2098</v>
      </c>
      <c r="F1084" s="6" t="s">
        <v>2075</v>
      </c>
      <c r="G1084" s="6" t="s">
        <v>2180</v>
      </c>
      <c r="H1084" s="5"/>
      <c r="I1084" s="6" t="s">
        <v>2093</v>
      </c>
    </row>
    <row r="1085" customFormat="false" ht="15" hidden="false" customHeight="false" outlineLevel="0" collapsed="false">
      <c r="A1085" s="5" t="s">
        <v>2175</v>
      </c>
      <c r="B1085" s="5" t="s">
        <v>1005</v>
      </c>
      <c r="C1085" s="5" t="s">
        <v>1059</v>
      </c>
      <c r="D1085" s="5" t="s">
        <v>1059</v>
      </c>
      <c r="E1085" s="6" t="s">
        <v>2100</v>
      </c>
      <c r="F1085" s="6" t="s">
        <v>2125</v>
      </c>
      <c r="G1085" s="6" t="s">
        <v>2181</v>
      </c>
      <c r="H1085" s="5"/>
      <c r="I1085" s="6" t="s">
        <v>2103</v>
      </c>
    </row>
    <row r="1086" customFormat="false" ht="23.85" hidden="false" customHeight="false" outlineLevel="0" collapsed="false">
      <c r="A1086" s="5" t="s">
        <v>2175</v>
      </c>
      <c r="B1086" s="5" t="s">
        <v>1005</v>
      </c>
      <c r="C1086" s="5" t="s">
        <v>1059</v>
      </c>
      <c r="D1086" s="5" t="s">
        <v>1059</v>
      </c>
      <c r="E1086" s="6" t="s">
        <v>2104</v>
      </c>
      <c r="F1086" s="6" t="s">
        <v>2127</v>
      </c>
      <c r="G1086" s="6" t="s">
        <v>2182</v>
      </c>
      <c r="H1086" s="5"/>
      <c r="I1086" s="6" t="s">
        <v>2103</v>
      </c>
    </row>
    <row r="1087" customFormat="false" ht="15" hidden="false" customHeight="false" outlineLevel="0" collapsed="false">
      <c r="A1087" s="5" t="s">
        <v>2175</v>
      </c>
      <c r="B1087" s="5" t="s">
        <v>1005</v>
      </c>
      <c r="C1087" s="5" t="s">
        <v>1059</v>
      </c>
      <c r="D1087" s="5" t="s">
        <v>1059</v>
      </c>
      <c r="E1087" s="6" t="s">
        <v>2107</v>
      </c>
      <c r="F1087" s="6" t="s">
        <v>2129</v>
      </c>
      <c r="G1087" s="6" t="s">
        <v>1930</v>
      </c>
      <c r="H1087" s="5"/>
      <c r="I1087" s="6" t="s">
        <v>2103</v>
      </c>
    </row>
    <row r="1088" customFormat="false" ht="15" hidden="false" customHeight="false" outlineLevel="0" collapsed="false">
      <c r="A1088" s="5" t="s">
        <v>2175</v>
      </c>
      <c r="B1088" s="5" t="s">
        <v>1005</v>
      </c>
      <c r="C1088" s="5" t="s">
        <v>1059</v>
      </c>
      <c r="D1088" s="5" t="s">
        <v>1059</v>
      </c>
      <c r="E1088" s="6" t="s">
        <v>2130</v>
      </c>
      <c r="F1088" s="6" t="s">
        <v>2111</v>
      </c>
      <c r="G1088" s="6" t="s">
        <v>2112</v>
      </c>
      <c r="H1088" s="5"/>
      <c r="I1088" s="6" t="s">
        <v>2103</v>
      </c>
    </row>
    <row r="1089" customFormat="false" ht="15" hidden="false" customHeight="false" outlineLevel="0" collapsed="false">
      <c r="A1089" s="5" t="s">
        <v>2175</v>
      </c>
      <c r="B1089" s="5" t="s">
        <v>1005</v>
      </c>
      <c r="C1089" s="5" t="s">
        <v>1059</v>
      </c>
      <c r="D1089" s="5" t="s">
        <v>1059</v>
      </c>
      <c r="E1089" s="6" t="s">
        <v>2131</v>
      </c>
      <c r="F1089" s="6" t="s">
        <v>2111</v>
      </c>
      <c r="G1089" s="6" t="s">
        <v>2112</v>
      </c>
      <c r="H1089" s="5"/>
      <c r="I1089" s="6" t="s">
        <v>2103</v>
      </c>
    </row>
    <row r="1090" customFormat="false" ht="15" hidden="false" customHeight="false" outlineLevel="0" collapsed="false">
      <c r="A1090" s="5" t="s">
        <v>2175</v>
      </c>
      <c r="B1090" s="5" t="s">
        <v>1005</v>
      </c>
      <c r="C1090" s="5" t="s">
        <v>1059</v>
      </c>
      <c r="D1090" s="5" t="s">
        <v>1059</v>
      </c>
      <c r="E1090" s="6" t="s">
        <v>2114</v>
      </c>
      <c r="F1090" s="6" t="s">
        <v>2115</v>
      </c>
      <c r="G1090" s="6" t="s">
        <v>2045</v>
      </c>
      <c r="H1090" s="5"/>
      <c r="I1090" s="6" t="s">
        <v>2116</v>
      </c>
    </row>
    <row r="1091" customFormat="false" ht="15" hidden="false" customHeight="false" outlineLevel="0" collapsed="false">
      <c r="A1091" s="5" t="s">
        <v>2175</v>
      </c>
      <c r="B1091" s="5" t="s">
        <v>1005</v>
      </c>
      <c r="C1091" s="5" t="s">
        <v>1059</v>
      </c>
      <c r="D1091" s="5" t="s">
        <v>1059</v>
      </c>
      <c r="E1091" s="6" t="s">
        <v>2117</v>
      </c>
      <c r="F1091" s="6" t="s">
        <v>2115</v>
      </c>
      <c r="G1091" s="6" t="s">
        <v>2045</v>
      </c>
      <c r="H1091" s="5"/>
      <c r="I1091" s="6" t="s">
        <v>2116</v>
      </c>
    </row>
    <row r="1092" customFormat="false" ht="15" hidden="false" customHeight="false" outlineLevel="0" collapsed="false">
      <c r="A1092" s="5" t="s">
        <v>2175</v>
      </c>
      <c r="B1092" s="5" t="s">
        <v>1005</v>
      </c>
      <c r="C1092" s="5" t="s">
        <v>1059</v>
      </c>
      <c r="D1092" s="5" t="s">
        <v>1059</v>
      </c>
      <c r="E1092" s="6" t="s">
        <v>2118</v>
      </c>
      <c r="F1092" s="6" t="s">
        <v>2115</v>
      </c>
      <c r="G1092" s="6" t="s">
        <v>2045</v>
      </c>
      <c r="H1092" s="5"/>
      <c r="I1092" s="6" t="s">
        <v>2116</v>
      </c>
    </row>
    <row r="1093" customFormat="false" ht="35.05" hidden="false" customHeight="false" outlineLevel="0" collapsed="false">
      <c r="A1093" s="5" t="s">
        <v>2183</v>
      </c>
      <c r="B1093" s="5" t="s">
        <v>1005</v>
      </c>
      <c r="C1093" s="5" t="s">
        <v>1065</v>
      </c>
      <c r="D1093" s="5" t="s">
        <v>1065</v>
      </c>
      <c r="E1093" s="6" t="s">
        <v>2043</v>
      </c>
      <c r="F1093" s="6" t="s">
        <v>2044</v>
      </c>
      <c r="G1093" s="6" t="s">
        <v>2045</v>
      </c>
      <c r="H1093" s="5"/>
      <c r="I1093" s="6" t="s">
        <v>2046</v>
      </c>
    </row>
    <row r="1094" customFormat="false" ht="23.85" hidden="false" customHeight="false" outlineLevel="0" collapsed="false">
      <c r="A1094" s="5" t="s">
        <v>2183</v>
      </c>
      <c r="B1094" s="5" t="s">
        <v>1005</v>
      </c>
      <c r="C1094" s="5" t="s">
        <v>1065</v>
      </c>
      <c r="D1094" s="5" t="s">
        <v>1065</v>
      </c>
      <c r="E1094" s="6" t="s">
        <v>2047</v>
      </c>
      <c r="F1094" s="6" t="s">
        <v>2048</v>
      </c>
      <c r="G1094" s="6" t="s">
        <v>2045</v>
      </c>
      <c r="H1094" s="5"/>
      <c r="I1094" s="6" t="s">
        <v>2049</v>
      </c>
    </row>
    <row r="1095" customFormat="false" ht="15" hidden="false" customHeight="false" outlineLevel="0" collapsed="false">
      <c r="A1095" s="5" t="s">
        <v>2183</v>
      </c>
      <c r="B1095" s="5" t="s">
        <v>1005</v>
      </c>
      <c r="C1095" s="5" t="s">
        <v>1065</v>
      </c>
      <c r="D1095" s="5" t="s">
        <v>1065</v>
      </c>
      <c r="E1095" s="6" t="s">
        <v>2050</v>
      </c>
      <c r="F1095" s="6" t="s">
        <v>2051</v>
      </c>
      <c r="G1095" s="6" t="s">
        <v>2184</v>
      </c>
      <c r="H1095" s="5"/>
      <c r="I1095" s="6" t="s">
        <v>2053</v>
      </c>
    </row>
    <row r="1096" customFormat="false" ht="15" hidden="false" customHeight="false" outlineLevel="0" collapsed="false">
      <c r="A1096" s="5" t="s">
        <v>2183</v>
      </c>
      <c r="B1096" s="5" t="s">
        <v>1005</v>
      </c>
      <c r="C1096" s="5" t="s">
        <v>1065</v>
      </c>
      <c r="D1096" s="5" t="s">
        <v>1065</v>
      </c>
      <c r="E1096" s="6" t="s">
        <v>2054</v>
      </c>
      <c r="F1096" s="6" t="s">
        <v>2055</v>
      </c>
      <c r="G1096" s="6" t="s">
        <v>2045</v>
      </c>
      <c r="H1096" s="5"/>
      <c r="I1096" s="6" t="s">
        <v>2056</v>
      </c>
    </row>
    <row r="1097" customFormat="false" ht="15" hidden="false" customHeight="false" outlineLevel="0" collapsed="false">
      <c r="A1097" s="5" t="s">
        <v>2183</v>
      </c>
      <c r="B1097" s="5" t="s">
        <v>1005</v>
      </c>
      <c r="C1097" s="5" t="s">
        <v>1065</v>
      </c>
      <c r="D1097" s="5" t="s">
        <v>1065</v>
      </c>
      <c r="E1097" s="6" t="s">
        <v>2057</v>
      </c>
      <c r="F1097" s="6" t="s">
        <v>2185</v>
      </c>
      <c r="G1097" s="6" t="s">
        <v>2186</v>
      </c>
      <c r="H1097" s="5"/>
      <c r="I1097" s="6" t="s">
        <v>2049</v>
      </c>
    </row>
    <row r="1098" customFormat="false" ht="15" hidden="false" customHeight="false" outlineLevel="0" collapsed="false">
      <c r="A1098" s="5" t="s">
        <v>2183</v>
      </c>
      <c r="B1098" s="5" t="s">
        <v>1005</v>
      </c>
      <c r="C1098" s="5" t="s">
        <v>1065</v>
      </c>
      <c r="D1098" s="5" t="s">
        <v>1065</v>
      </c>
      <c r="E1098" s="6" t="s">
        <v>2060</v>
      </c>
      <c r="F1098" s="6" t="s">
        <v>2061</v>
      </c>
      <c r="G1098" s="6" t="s">
        <v>2187</v>
      </c>
      <c r="H1098" s="5"/>
      <c r="I1098" s="6" t="s">
        <v>2049</v>
      </c>
    </row>
    <row r="1099" customFormat="false" ht="15" hidden="false" customHeight="false" outlineLevel="0" collapsed="false">
      <c r="A1099" s="5" t="s">
        <v>2183</v>
      </c>
      <c r="B1099" s="5" t="s">
        <v>1005</v>
      </c>
      <c r="C1099" s="5" t="s">
        <v>1065</v>
      </c>
      <c r="D1099" s="5" t="s">
        <v>1065</v>
      </c>
      <c r="E1099" s="6" t="s">
        <v>2063</v>
      </c>
      <c r="F1099" s="6" t="s">
        <v>2061</v>
      </c>
      <c r="G1099" s="6" t="s">
        <v>2070</v>
      </c>
      <c r="H1099" s="5"/>
      <c r="I1099" s="6" t="s">
        <v>2049</v>
      </c>
    </row>
    <row r="1100" customFormat="false" ht="15" hidden="false" customHeight="false" outlineLevel="0" collapsed="false">
      <c r="A1100" s="5" t="s">
        <v>2183</v>
      </c>
      <c r="B1100" s="5" t="s">
        <v>1005</v>
      </c>
      <c r="C1100" s="5" t="s">
        <v>1065</v>
      </c>
      <c r="D1100" s="5" t="s">
        <v>1065</v>
      </c>
      <c r="E1100" s="6" t="s">
        <v>2065</v>
      </c>
      <c r="F1100" s="6" t="s">
        <v>2066</v>
      </c>
      <c r="G1100" s="6" t="s">
        <v>1765</v>
      </c>
      <c r="H1100" s="5"/>
      <c r="I1100" s="6" t="s">
        <v>2067</v>
      </c>
    </row>
    <row r="1101" customFormat="false" ht="15" hidden="false" customHeight="false" outlineLevel="0" collapsed="false">
      <c r="A1101" s="5" t="s">
        <v>2183</v>
      </c>
      <c r="B1101" s="5" t="s">
        <v>1005</v>
      </c>
      <c r="C1101" s="5" t="s">
        <v>1065</v>
      </c>
      <c r="D1101" s="5" t="s">
        <v>1065</v>
      </c>
      <c r="E1101" s="6" t="s">
        <v>2068</v>
      </c>
      <c r="F1101" s="6" t="s">
        <v>2069</v>
      </c>
      <c r="G1101" s="6" t="s">
        <v>2070</v>
      </c>
      <c r="H1101" s="5"/>
      <c r="I1101" s="6" t="s">
        <v>2071</v>
      </c>
    </row>
    <row r="1102" customFormat="false" ht="15" hidden="false" customHeight="false" outlineLevel="0" collapsed="false">
      <c r="A1102" s="5" t="s">
        <v>2183</v>
      </c>
      <c r="B1102" s="5" t="s">
        <v>1005</v>
      </c>
      <c r="C1102" s="5" t="s">
        <v>1065</v>
      </c>
      <c r="D1102" s="5" t="s">
        <v>1065</v>
      </c>
      <c r="E1102" s="6" t="s">
        <v>2072</v>
      </c>
      <c r="F1102" s="6" t="s">
        <v>2073</v>
      </c>
      <c r="G1102" s="6" t="s">
        <v>2070</v>
      </c>
      <c r="H1102" s="5"/>
      <c r="I1102" s="6" t="s">
        <v>2071</v>
      </c>
    </row>
    <row r="1103" customFormat="false" ht="15" hidden="false" customHeight="false" outlineLevel="0" collapsed="false">
      <c r="A1103" s="5" t="s">
        <v>2183</v>
      </c>
      <c r="B1103" s="5" t="s">
        <v>1005</v>
      </c>
      <c r="C1103" s="5" t="s">
        <v>1065</v>
      </c>
      <c r="D1103" s="5" t="s">
        <v>1065</v>
      </c>
      <c r="E1103" s="6" t="s">
        <v>2074</v>
      </c>
      <c r="F1103" s="6" t="s">
        <v>2075</v>
      </c>
      <c r="G1103" s="6" t="s">
        <v>2070</v>
      </c>
      <c r="H1103" s="5"/>
      <c r="I1103" s="6" t="s">
        <v>2071</v>
      </c>
    </row>
    <row r="1104" customFormat="false" ht="23.85" hidden="false" customHeight="false" outlineLevel="0" collapsed="false">
      <c r="A1104" s="5" t="s">
        <v>2183</v>
      </c>
      <c r="B1104" s="5" t="s">
        <v>1005</v>
      </c>
      <c r="C1104" s="5" t="s">
        <v>1065</v>
      </c>
      <c r="D1104" s="5" t="s">
        <v>1065</v>
      </c>
      <c r="E1104" s="6" t="s">
        <v>2076</v>
      </c>
      <c r="F1104" s="6" t="s">
        <v>2077</v>
      </c>
      <c r="G1104" s="6" t="s">
        <v>2070</v>
      </c>
      <c r="H1104" s="5"/>
      <c r="I1104" s="6" t="s">
        <v>2071</v>
      </c>
    </row>
    <row r="1105" customFormat="false" ht="15" hidden="false" customHeight="false" outlineLevel="0" collapsed="false">
      <c r="A1105" s="5" t="s">
        <v>2183</v>
      </c>
      <c r="B1105" s="5" t="s">
        <v>1005</v>
      </c>
      <c r="C1105" s="5" t="s">
        <v>1065</v>
      </c>
      <c r="D1105" s="5" t="s">
        <v>1065</v>
      </c>
      <c r="E1105" s="6" t="s">
        <v>2078</v>
      </c>
      <c r="F1105" s="6" t="s">
        <v>2079</v>
      </c>
      <c r="G1105" s="6" t="s">
        <v>2070</v>
      </c>
      <c r="H1105" s="5"/>
      <c r="I1105" s="6" t="s">
        <v>2071</v>
      </c>
    </row>
    <row r="1106" customFormat="false" ht="15" hidden="false" customHeight="false" outlineLevel="0" collapsed="false">
      <c r="A1106" s="5" t="s">
        <v>2183</v>
      </c>
      <c r="B1106" s="5" t="s">
        <v>1005</v>
      </c>
      <c r="C1106" s="5" t="s">
        <v>1065</v>
      </c>
      <c r="D1106" s="5" t="s">
        <v>1065</v>
      </c>
      <c r="E1106" s="6" t="s">
        <v>2080</v>
      </c>
      <c r="F1106" s="6" t="s">
        <v>2081</v>
      </c>
      <c r="G1106" s="6" t="s">
        <v>2070</v>
      </c>
      <c r="H1106" s="5"/>
      <c r="I1106" s="6" t="s">
        <v>2071</v>
      </c>
    </row>
    <row r="1107" customFormat="false" ht="15" hidden="false" customHeight="false" outlineLevel="0" collapsed="false">
      <c r="A1107" s="5" t="s">
        <v>2183</v>
      </c>
      <c r="B1107" s="5" t="s">
        <v>1005</v>
      </c>
      <c r="C1107" s="5" t="s">
        <v>1065</v>
      </c>
      <c r="D1107" s="5" t="s">
        <v>1065</v>
      </c>
      <c r="E1107" s="6" t="s">
        <v>2082</v>
      </c>
      <c r="F1107" s="6" t="s">
        <v>2083</v>
      </c>
      <c r="G1107" s="6" t="s">
        <v>2070</v>
      </c>
      <c r="H1107" s="5"/>
      <c r="I1107" s="6" t="s">
        <v>2071</v>
      </c>
    </row>
    <row r="1108" customFormat="false" ht="15" hidden="false" customHeight="false" outlineLevel="0" collapsed="false">
      <c r="A1108" s="5" t="s">
        <v>2183</v>
      </c>
      <c r="B1108" s="5" t="s">
        <v>1005</v>
      </c>
      <c r="C1108" s="5" t="s">
        <v>1065</v>
      </c>
      <c r="D1108" s="5" t="s">
        <v>1065</v>
      </c>
      <c r="E1108" s="6" t="s">
        <v>2084</v>
      </c>
      <c r="F1108" s="6" t="s">
        <v>2073</v>
      </c>
      <c r="G1108" s="6" t="s">
        <v>2070</v>
      </c>
      <c r="H1108" s="5"/>
      <c r="I1108" s="6" t="s">
        <v>2071</v>
      </c>
    </row>
    <row r="1109" customFormat="false" ht="15" hidden="false" customHeight="false" outlineLevel="0" collapsed="false">
      <c r="A1109" s="5" t="s">
        <v>2183</v>
      </c>
      <c r="B1109" s="5" t="s">
        <v>1005</v>
      </c>
      <c r="C1109" s="5" t="s">
        <v>1065</v>
      </c>
      <c r="D1109" s="5" t="s">
        <v>1065</v>
      </c>
      <c r="E1109" s="6" t="s">
        <v>2085</v>
      </c>
      <c r="F1109" s="6" t="s">
        <v>2086</v>
      </c>
      <c r="G1109" s="6" t="s">
        <v>2070</v>
      </c>
      <c r="H1109" s="5"/>
      <c r="I1109" s="6" t="s">
        <v>2071</v>
      </c>
    </row>
    <row r="1110" customFormat="false" ht="23.85" hidden="false" customHeight="false" outlineLevel="0" collapsed="false">
      <c r="A1110" s="5" t="s">
        <v>2183</v>
      </c>
      <c r="B1110" s="5" t="s">
        <v>1005</v>
      </c>
      <c r="C1110" s="5" t="s">
        <v>1065</v>
      </c>
      <c r="D1110" s="5" t="s">
        <v>1065</v>
      </c>
      <c r="E1110" s="6" t="s">
        <v>2087</v>
      </c>
      <c r="F1110" s="6" t="s">
        <v>2081</v>
      </c>
      <c r="G1110" s="6" t="s">
        <v>2070</v>
      </c>
      <c r="H1110" s="5"/>
      <c r="I1110" s="6" t="s">
        <v>2071</v>
      </c>
    </row>
    <row r="1111" customFormat="false" ht="15" hidden="false" customHeight="false" outlineLevel="0" collapsed="false">
      <c r="A1111" s="5" t="s">
        <v>2183</v>
      </c>
      <c r="B1111" s="5" t="s">
        <v>1005</v>
      </c>
      <c r="C1111" s="5" t="s">
        <v>1065</v>
      </c>
      <c r="D1111" s="5" t="s">
        <v>1065</v>
      </c>
      <c r="E1111" s="6" t="s">
        <v>2088</v>
      </c>
      <c r="F1111" s="6" t="s">
        <v>2081</v>
      </c>
      <c r="G1111" s="6" t="s">
        <v>2070</v>
      </c>
      <c r="H1111" s="5"/>
      <c r="I1111" s="6" t="s">
        <v>2071</v>
      </c>
    </row>
    <row r="1112" customFormat="false" ht="15" hidden="false" customHeight="false" outlineLevel="0" collapsed="false">
      <c r="A1112" s="5" t="s">
        <v>2183</v>
      </c>
      <c r="B1112" s="5" t="s">
        <v>1005</v>
      </c>
      <c r="C1112" s="5" t="s">
        <v>1065</v>
      </c>
      <c r="D1112" s="5" t="s">
        <v>1065</v>
      </c>
      <c r="E1112" s="6" t="s">
        <v>2089</v>
      </c>
      <c r="F1112" s="6" t="s">
        <v>2081</v>
      </c>
      <c r="G1112" s="6" t="s">
        <v>2070</v>
      </c>
      <c r="H1112" s="5"/>
      <c r="I1112" s="6" t="s">
        <v>2071</v>
      </c>
    </row>
    <row r="1113" customFormat="false" ht="15" hidden="false" customHeight="false" outlineLevel="0" collapsed="false">
      <c r="A1113" s="5" t="s">
        <v>2183</v>
      </c>
      <c r="B1113" s="5" t="s">
        <v>1005</v>
      </c>
      <c r="C1113" s="5" t="s">
        <v>1065</v>
      </c>
      <c r="D1113" s="5" t="s">
        <v>1065</v>
      </c>
      <c r="E1113" s="6" t="s">
        <v>2090</v>
      </c>
      <c r="F1113" s="6" t="s">
        <v>2081</v>
      </c>
      <c r="G1113" s="6" t="s">
        <v>2070</v>
      </c>
      <c r="H1113" s="5"/>
      <c r="I1113" s="6" t="s">
        <v>2071</v>
      </c>
    </row>
    <row r="1114" customFormat="false" ht="15" hidden="false" customHeight="false" outlineLevel="0" collapsed="false">
      <c r="A1114" s="5" t="s">
        <v>2183</v>
      </c>
      <c r="B1114" s="5" t="s">
        <v>1005</v>
      </c>
      <c r="C1114" s="5" t="s">
        <v>1065</v>
      </c>
      <c r="D1114" s="5" t="s">
        <v>1065</v>
      </c>
      <c r="E1114" s="6" t="s">
        <v>2091</v>
      </c>
      <c r="F1114" s="6" t="s">
        <v>2083</v>
      </c>
      <c r="G1114" s="6" t="s">
        <v>2145</v>
      </c>
      <c r="H1114" s="5"/>
      <c r="I1114" s="6" t="s">
        <v>2093</v>
      </c>
    </row>
    <row r="1115" customFormat="false" ht="15" hidden="false" customHeight="false" outlineLevel="0" collapsed="false">
      <c r="A1115" s="5" t="s">
        <v>2183</v>
      </c>
      <c r="B1115" s="5" t="s">
        <v>1005</v>
      </c>
      <c r="C1115" s="5" t="s">
        <v>1065</v>
      </c>
      <c r="D1115" s="5" t="s">
        <v>1065</v>
      </c>
      <c r="E1115" s="6" t="s">
        <v>2094</v>
      </c>
      <c r="F1115" s="6" t="s">
        <v>2069</v>
      </c>
      <c r="G1115" s="6" t="s">
        <v>2095</v>
      </c>
      <c r="H1115" s="5"/>
      <c r="I1115" s="6" t="s">
        <v>2093</v>
      </c>
    </row>
    <row r="1116" customFormat="false" ht="15" hidden="false" customHeight="false" outlineLevel="0" collapsed="false">
      <c r="A1116" s="5" t="s">
        <v>2183</v>
      </c>
      <c r="B1116" s="5" t="s">
        <v>1005</v>
      </c>
      <c r="C1116" s="5" t="s">
        <v>1065</v>
      </c>
      <c r="D1116" s="5" t="s">
        <v>1065</v>
      </c>
      <c r="E1116" s="6" t="s">
        <v>2096</v>
      </c>
      <c r="F1116" s="6" t="s">
        <v>2073</v>
      </c>
      <c r="G1116" s="6" t="s">
        <v>2145</v>
      </c>
      <c r="H1116" s="5"/>
      <c r="I1116" s="6" t="s">
        <v>2093</v>
      </c>
    </row>
    <row r="1117" customFormat="false" ht="15" hidden="false" customHeight="false" outlineLevel="0" collapsed="false">
      <c r="A1117" s="5" t="s">
        <v>2183</v>
      </c>
      <c r="B1117" s="5" t="s">
        <v>1005</v>
      </c>
      <c r="C1117" s="5" t="s">
        <v>1065</v>
      </c>
      <c r="D1117" s="5" t="s">
        <v>1065</v>
      </c>
      <c r="E1117" s="6" t="s">
        <v>2098</v>
      </c>
      <c r="F1117" s="6" t="s">
        <v>2075</v>
      </c>
      <c r="G1117" s="6" t="s">
        <v>2180</v>
      </c>
      <c r="H1117" s="5"/>
      <c r="I1117" s="6" t="s">
        <v>2093</v>
      </c>
    </row>
    <row r="1118" customFormat="false" ht="15" hidden="false" customHeight="false" outlineLevel="0" collapsed="false">
      <c r="A1118" s="5" t="s">
        <v>2183</v>
      </c>
      <c r="B1118" s="5" t="s">
        <v>1005</v>
      </c>
      <c r="C1118" s="5" t="s">
        <v>1065</v>
      </c>
      <c r="D1118" s="5" t="s">
        <v>1065</v>
      </c>
      <c r="E1118" s="6" t="s">
        <v>2100</v>
      </c>
      <c r="F1118" s="6" t="s">
        <v>2125</v>
      </c>
      <c r="G1118" s="6" t="s">
        <v>2188</v>
      </c>
      <c r="H1118" s="5"/>
      <c r="I1118" s="6" t="s">
        <v>2103</v>
      </c>
    </row>
    <row r="1119" customFormat="false" ht="23.85" hidden="false" customHeight="false" outlineLevel="0" collapsed="false">
      <c r="A1119" s="5" t="s">
        <v>2183</v>
      </c>
      <c r="B1119" s="5" t="s">
        <v>1005</v>
      </c>
      <c r="C1119" s="5" t="s">
        <v>1065</v>
      </c>
      <c r="D1119" s="5" t="s">
        <v>1065</v>
      </c>
      <c r="E1119" s="6" t="s">
        <v>2104</v>
      </c>
      <c r="F1119" s="6" t="s">
        <v>2127</v>
      </c>
      <c r="G1119" s="6" t="s">
        <v>2189</v>
      </c>
      <c r="H1119" s="5"/>
      <c r="I1119" s="6" t="s">
        <v>2103</v>
      </c>
    </row>
    <row r="1120" customFormat="false" ht="15" hidden="false" customHeight="false" outlineLevel="0" collapsed="false">
      <c r="A1120" s="5" t="s">
        <v>2183</v>
      </c>
      <c r="B1120" s="5" t="s">
        <v>1005</v>
      </c>
      <c r="C1120" s="5" t="s">
        <v>1065</v>
      </c>
      <c r="D1120" s="5" t="s">
        <v>1065</v>
      </c>
      <c r="E1120" s="6" t="s">
        <v>2107</v>
      </c>
      <c r="F1120" s="6" t="s">
        <v>2129</v>
      </c>
      <c r="G1120" s="6" t="s">
        <v>1930</v>
      </c>
      <c r="H1120" s="5"/>
      <c r="I1120" s="6" t="s">
        <v>2103</v>
      </c>
    </row>
    <row r="1121" customFormat="false" ht="15" hidden="false" customHeight="false" outlineLevel="0" collapsed="false">
      <c r="A1121" s="5" t="s">
        <v>2183</v>
      </c>
      <c r="B1121" s="5" t="s">
        <v>1005</v>
      </c>
      <c r="C1121" s="5" t="s">
        <v>1065</v>
      </c>
      <c r="D1121" s="5" t="s">
        <v>1065</v>
      </c>
      <c r="E1121" s="6" t="s">
        <v>2130</v>
      </c>
      <c r="F1121" s="6" t="s">
        <v>2111</v>
      </c>
      <c r="G1121" s="6" t="s">
        <v>2112</v>
      </c>
      <c r="H1121" s="5"/>
      <c r="I1121" s="6" t="s">
        <v>2103</v>
      </c>
    </row>
    <row r="1122" customFormat="false" ht="15" hidden="false" customHeight="false" outlineLevel="0" collapsed="false">
      <c r="A1122" s="5" t="s">
        <v>2183</v>
      </c>
      <c r="B1122" s="5" t="s">
        <v>1005</v>
      </c>
      <c r="C1122" s="5" t="s">
        <v>1065</v>
      </c>
      <c r="D1122" s="5" t="s">
        <v>1065</v>
      </c>
      <c r="E1122" s="6" t="s">
        <v>2131</v>
      </c>
      <c r="F1122" s="6" t="s">
        <v>2111</v>
      </c>
      <c r="G1122" s="6" t="s">
        <v>2112</v>
      </c>
      <c r="H1122" s="5"/>
      <c r="I1122" s="6" t="s">
        <v>2103</v>
      </c>
    </row>
    <row r="1123" customFormat="false" ht="15" hidden="false" customHeight="false" outlineLevel="0" collapsed="false">
      <c r="A1123" s="5" t="s">
        <v>2183</v>
      </c>
      <c r="B1123" s="5" t="s">
        <v>1005</v>
      </c>
      <c r="C1123" s="5" t="s">
        <v>1065</v>
      </c>
      <c r="D1123" s="5" t="s">
        <v>1065</v>
      </c>
      <c r="E1123" s="6" t="s">
        <v>2114</v>
      </c>
      <c r="F1123" s="6" t="s">
        <v>2115</v>
      </c>
      <c r="G1123" s="6" t="s">
        <v>2045</v>
      </c>
      <c r="H1123" s="5"/>
      <c r="I1123" s="6" t="s">
        <v>2116</v>
      </c>
    </row>
    <row r="1124" customFormat="false" ht="15" hidden="false" customHeight="false" outlineLevel="0" collapsed="false">
      <c r="A1124" s="5" t="s">
        <v>2183</v>
      </c>
      <c r="B1124" s="5" t="s">
        <v>1005</v>
      </c>
      <c r="C1124" s="5" t="s">
        <v>1065</v>
      </c>
      <c r="D1124" s="5" t="s">
        <v>1065</v>
      </c>
      <c r="E1124" s="6" t="s">
        <v>2117</v>
      </c>
      <c r="F1124" s="6" t="s">
        <v>2115</v>
      </c>
      <c r="G1124" s="6" t="s">
        <v>2045</v>
      </c>
      <c r="H1124" s="5"/>
      <c r="I1124" s="6" t="s">
        <v>2116</v>
      </c>
    </row>
    <row r="1125" customFormat="false" ht="15" hidden="false" customHeight="false" outlineLevel="0" collapsed="false">
      <c r="A1125" s="5" t="s">
        <v>2183</v>
      </c>
      <c r="B1125" s="5" t="s">
        <v>1005</v>
      </c>
      <c r="C1125" s="5" t="s">
        <v>1065</v>
      </c>
      <c r="D1125" s="5" t="s">
        <v>1065</v>
      </c>
      <c r="E1125" s="6" t="s">
        <v>2118</v>
      </c>
      <c r="F1125" s="6" t="s">
        <v>2115</v>
      </c>
      <c r="G1125" s="6" t="s">
        <v>2045</v>
      </c>
      <c r="H1125" s="5"/>
      <c r="I1125" s="6" t="s">
        <v>2116</v>
      </c>
    </row>
    <row r="1126" customFormat="false" ht="35.05" hidden="false" customHeight="false" outlineLevel="0" collapsed="false">
      <c r="A1126" s="5" t="s">
        <v>2190</v>
      </c>
      <c r="B1126" s="5" t="s">
        <v>1005</v>
      </c>
      <c r="C1126" s="5" t="s">
        <v>1072</v>
      </c>
      <c r="D1126" s="5" t="s">
        <v>1072</v>
      </c>
      <c r="E1126" s="6" t="s">
        <v>2043</v>
      </c>
      <c r="F1126" s="6" t="s">
        <v>2044</v>
      </c>
      <c r="G1126" s="6" t="s">
        <v>2045</v>
      </c>
      <c r="H1126" s="5"/>
      <c r="I1126" s="6" t="s">
        <v>2046</v>
      </c>
    </row>
    <row r="1127" customFormat="false" ht="23.85" hidden="false" customHeight="false" outlineLevel="0" collapsed="false">
      <c r="A1127" s="5" t="s">
        <v>2190</v>
      </c>
      <c r="B1127" s="5" t="s">
        <v>1005</v>
      </c>
      <c r="C1127" s="5" t="s">
        <v>1072</v>
      </c>
      <c r="D1127" s="5" t="s">
        <v>1072</v>
      </c>
      <c r="E1127" s="6" t="s">
        <v>2047</v>
      </c>
      <c r="F1127" s="6" t="s">
        <v>2048</v>
      </c>
      <c r="G1127" s="6" t="s">
        <v>2045</v>
      </c>
      <c r="H1127" s="5"/>
      <c r="I1127" s="6" t="s">
        <v>2049</v>
      </c>
    </row>
    <row r="1128" customFormat="false" ht="15" hidden="false" customHeight="false" outlineLevel="0" collapsed="false">
      <c r="A1128" s="5" t="s">
        <v>2190</v>
      </c>
      <c r="B1128" s="5" t="s">
        <v>1005</v>
      </c>
      <c r="C1128" s="5" t="s">
        <v>1072</v>
      </c>
      <c r="D1128" s="5" t="s">
        <v>1072</v>
      </c>
      <c r="E1128" s="6" t="s">
        <v>2050</v>
      </c>
      <c r="F1128" s="6" t="s">
        <v>2051</v>
      </c>
      <c r="G1128" s="6" t="s">
        <v>2191</v>
      </c>
      <c r="H1128" s="5"/>
      <c r="I1128" s="6" t="s">
        <v>2053</v>
      </c>
    </row>
    <row r="1129" customFormat="false" ht="15" hidden="false" customHeight="false" outlineLevel="0" collapsed="false">
      <c r="A1129" s="5" t="s">
        <v>2190</v>
      </c>
      <c r="B1129" s="5" t="s">
        <v>1005</v>
      </c>
      <c r="C1129" s="5" t="s">
        <v>1072</v>
      </c>
      <c r="D1129" s="5" t="s">
        <v>1072</v>
      </c>
      <c r="E1129" s="6" t="s">
        <v>2054</v>
      </c>
      <c r="F1129" s="6" t="s">
        <v>2055</v>
      </c>
      <c r="G1129" s="6" t="s">
        <v>2045</v>
      </c>
      <c r="H1129" s="5"/>
      <c r="I1129" s="6" t="s">
        <v>2056</v>
      </c>
    </row>
    <row r="1130" customFormat="false" ht="15" hidden="false" customHeight="false" outlineLevel="0" collapsed="false">
      <c r="A1130" s="5" t="s">
        <v>2190</v>
      </c>
      <c r="B1130" s="5" t="s">
        <v>1005</v>
      </c>
      <c r="C1130" s="5" t="s">
        <v>1072</v>
      </c>
      <c r="D1130" s="5" t="s">
        <v>1072</v>
      </c>
      <c r="E1130" s="6" t="s">
        <v>2057</v>
      </c>
      <c r="F1130" s="6" t="s">
        <v>2192</v>
      </c>
      <c r="G1130" s="6" t="s">
        <v>2193</v>
      </c>
      <c r="H1130" s="5"/>
      <c r="I1130" s="6" t="s">
        <v>2049</v>
      </c>
    </row>
    <row r="1131" customFormat="false" ht="15" hidden="false" customHeight="false" outlineLevel="0" collapsed="false">
      <c r="A1131" s="5" t="s">
        <v>2190</v>
      </c>
      <c r="B1131" s="5" t="s">
        <v>1005</v>
      </c>
      <c r="C1131" s="5" t="s">
        <v>1072</v>
      </c>
      <c r="D1131" s="5" t="s">
        <v>1072</v>
      </c>
      <c r="E1131" s="6" t="s">
        <v>2060</v>
      </c>
      <c r="F1131" s="6" t="s">
        <v>2061</v>
      </c>
      <c r="G1131" s="6" t="s">
        <v>2187</v>
      </c>
      <c r="H1131" s="5"/>
      <c r="I1131" s="6" t="s">
        <v>2049</v>
      </c>
    </row>
    <row r="1132" customFormat="false" ht="15" hidden="false" customHeight="false" outlineLevel="0" collapsed="false">
      <c r="A1132" s="5" t="s">
        <v>2190</v>
      </c>
      <c r="B1132" s="5" t="s">
        <v>1005</v>
      </c>
      <c r="C1132" s="5" t="s">
        <v>1072</v>
      </c>
      <c r="D1132" s="5" t="s">
        <v>1072</v>
      </c>
      <c r="E1132" s="6" t="s">
        <v>2063</v>
      </c>
      <c r="F1132" s="6" t="s">
        <v>2061</v>
      </c>
      <c r="G1132" s="6" t="s">
        <v>2151</v>
      </c>
      <c r="H1132" s="5"/>
      <c r="I1132" s="6" t="s">
        <v>2049</v>
      </c>
    </row>
    <row r="1133" customFormat="false" ht="15" hidden="false" customHeight="false" outlineLevel="0" collapsed="false">
      <c r="A1133" s="5" t="s">
        <v>2190</v>
      </c>
      <c r="B1133" s="5" t="s">
        <v>1005</v>
      </c>
      <c r="C1133" s="5" t="s">
        <v>1072</v>
      </c>
      <c r="D1133" s="5" t="s">
        <v>1072</v>
      </c>
      <c r="E1133" s="6" t="s">
        <v>2065</v>
      </c>
      <c r="F1133" s="6" t="s">
        <v>2066</v>
      </c>
      <c r="G1133" s="6" t="s">
        <v>1805</v>
      </c>
      <c r="H1133" s="5"/>
      <c r="I1133" s="6" t="s">
        <v>2067</v>
      </c>
    </row>
    <row r="1134" customFormat="false" ht="15" hidden="false" customHeight="false" outlineLevel="0" collapsed="false">
      <c r="A1134" s="5" t="s">
        <v>2190</v>
      </c>
      <c r="B1134" s="5" t="s">
        <v>1005</v>
      </c>
      <c r="C1134" s="5" t="s">
        <v>1072</v>
      </c>
      <c r="D1134" s="5" t="s">
        <v>1072</v>
      </c>
      <c r="E1134" s="6" t="s">
        <v>2068</v>
      </c>
      <c r="F1134" s="6" t="s">
        <v>2069</v>
      </c>
      <c r="G1134" s="6" t="s">
        <v>2070</v>
      </c>
      <c r="H1134" s="5"/>
      <c r="I1134" s="6" t="s">
        <v>2071</v>
      </c>
    </row>
    <row r="1135" customFormat="false" ht="15" hidden="false" customHeight="false" outlineLevel="0" collapsed="false">
      <c r="A1135" s="5" t="s">
        <v>2190</v>
      </c>
      <c r="B1135" s="5" t="s">
        <v>1005</v>
      </c>
      <c r="C1135" s="5" t="s">
        <v>1072</v>
      </c>
      <c r="D1135" s="5" t="s">
        <v>1072</v>
      </c>
      <c r="E1135" s="6" t="s">
        <v>2072</v>
      </c>
      <c r="F1135" s="6" t="s">
        <v>2073</v>
      </c>
      <c r="G1135" s="6" t="s">
        <v>2070</v>
      </c>
      <c r="H1135" s="5"/>
      <c r="I1135" s="6" t="s">
        <v>2071</v>
      </c>
    </row>
    <row r="1136" customFormat="false" ht="15" hidden="false" customHeight="false" outlineLevel="0" collapsed="false">
      <c r="A1136" s="5" t="s">
        <v>2190</v>
      </c>
      <c r="B1136" s="5" t="s">
        <v>1005</v>
      </c>
      <c r="C1136" s="5" t="s">
        <v>1072</v>
      </c>
      <c r="D1136" s="5" t="s">
        <v>1072</v>
      </c>
      <c r="E1136" s="6" t="s">
        <v>2074</v>
      </c>
      <c r="F1136" s="6" t="s">
        <v>2075</v>
      </c>
      <c r="G1136" s="6" t="s">
        <v>2070</v>
      </c>
      <c r="H1136" s="5"/>
      <c r="I1136" s="6" t="s">
        <v>2071</v>
      </c>
    </row>
    <row r="1137" customFormat="false" ht="23.85" hidden="false" customHeight="false" outlineLevel="0" collapsed="false">
      <c r="A1137" s="5" t="s">
        <v>2190</v>
      </c>
      <c r="B1137" s="5" t="s">
        <v>1005</v>
      </c>
      <c r="C1137" s="5" t="s">
        <v>1072</v>
      </c>
      <c r="D1137" s="5" t="s">
        <v>1072</v>
      </c>
      <c r="E1137" s="6" t="s">
        <v>2076</v>
      </c>
      <c r="F1137" s="6" t="s">
        <v>2077</v>
      </c>
      <c r="G1137" s="6" t="s">
        <v>2070</v>
      </c>
      <c r="H1137" s="5"/>
      <c r="I1137" s="6" t="s">
        <v>2071</v>
      </c>
    </row>
    <row r="1138" customFormat="false" ht="15" hidden="false" customHeight="false" outlineLevel="0" collapsed="false">
      <c r="A1138" s="5" t="s">
        <v>2190</v>
      </c>
      <c r="B1138" s="5" t="s">
        <v>1005</v>
      </c>
      <c r="C1138" s="5" t="s">
        <v>1072</v>
      </c>
      <c r="D1138" s="5" t="s">
        <v>1072</v>
      </c>
      <c r="E1138" s="6" t="s">
        <v>2078</v>
      </c>
      <c r="F1138" s="6" t="s">
        <v>2079</v>
      </c>
      <c r="G1138" s="6" t="s">
        <v>2070</v>
      </c>
      <c r="H1138" s="5"/>
      <c r="I1138" s="6" t="s">
        <v>2071</v>
      </c>
    </row>
    <row r="1139" customFormat="false" ht="15" hidden="false" customHeight="false" outlineLevel="0" collapsed="false">
      <c r="A1139" s="5" t="s">
        <v>2190</v>
      </c>
      <c r="B1139" s="5" t="s">
        <v>1005</v>
      </c>
      <c r="C1139" s="5" t="s">
        <v>1072</v>
      </c>
      <c r="D1139" s="5" t="s">
        <v>1072</v>
      </c>
      <c r="E1139" s="6" t="s">
        <v>2080</v>
      </c>
      <c r="F1139" s="6" t="s">
        <v>2081</v>
      </c>
      <c r="G1139" s="6" t="s">
        <v>2070</v>
      </c>
      <c r="H1139" s="5"/>
      <c r="I1139" s="6" t="s">
        <v>2071</v>
      </c>
    </row>
    <row r="1140" customFormat="false" ht="15" hidden="false" customHeight="false" outlineLevel="0" collapsed="false">
      <c r="A1140" s="5" t="s">
        <v>2190</v>
      </c>
      <c r="B1140" s="5" t="s">
        <v>1005</v>
      </c>
      <c r="C1140" s="5" t="s">
        <v>1072</v>
      </c>
      <c r="D1140" s="5" t="s">
        <v>1072</v>
      </c>
      <c r="E1140" s="6" t="s">
        <v>2082</v>
      </c>
      <c r="F1140" s="6" t="s">
        <v>2083</v>
      </c>
      <c r="G1140" s="6" t="s">
        <v>2070</v>
      </c>
      <c r="H1140" s="5"/>
      <c r="I1140" s="6" t="s">
        <v>2071</v>
      </c>
    </row>
    <row r="1141" customFormat="false" ht="15" hidden="false" customHeight="false" outlineLevel="0" collapsed="false">
      <c r="A1141" s="5" t="s">
        <v>2190</v>
      </c>
      <c r="B1141" s="5" t="s">
        <v>1005</v>
      </c>
      <c r="C1141" s="5" t="s">
        <v>1072</v>
      </c>
      <c r="D1141" s="5" t="s">
        <v>1072</v>
      </c>
      <c r="E1141" s="6" t="s">
        <v>2084</v>
      </c>
      <c r="F1141" s="6" t="s">
        <v>2073</v>
      </c>
      <c r="G1141" s="6" t="s">
        <v>2070</v>
      </c>
      <c r="H1141" s="5"/>
      <c r="I1141" s="6" t="s">
        <v>2071</v>
      </c>
    </row>
    <row r="1142" customFormat="false" ht="15" hidden="false" customHeight="false" outlineLevel="0" collapsed="false">
      <c r="A1142" s="5" t="s">
        <v>2190</v>
      </c>
      <c r="B1142" s="5" t="s">
        <v>1005</v>
      </c>
      <c r="C1142" s="5" t="s">
        <v>1072</v>
      </c>
      <c r="D1142" s="5" t="s">
        <v>1072</v>
      </c>
      <c r="E1142" s="6" t="s">
        <v>2085</v>
      </c>
      <c r="F1142" s="6" t="s">
        <v>2086</v>
      </c>
      <c r="G1142" s="6" t="s">
        <v>2070</v>
      </c>
      <c r="H1142" s="5"/>
      <c r="I1142" s="6" t="s">
        <v>2071</v>
      </c>
    </row>
    <row r="1143" customFormat="false" ht="23.85" hidden="false" customHeight="false" outlineLevel="0" collapsed="false">
      <c r="A1143" s="5" t="s">
        <v>2190</v>
      </c>
      <c r="B1143" s="5" t="s">
        <v>1005</v>
      </c>
      <c r="C1143" s="5" t="s">
        <v>1072</v>
      </c>
      <c r="D1143" s="5" t="s">
        <v>1072</v>
      </c>
      <c r="E1143" s="6" t="s">
        <v>2087</v>
      </c>
      <c r="F1143" s="6" t="s">
        <v>2081</v>
      </c>
      <c r="G1143" s="6" t="s">
        <v>2070</v>
      </c>
      <c r="H1143" s="5"/>
      <c r="I1143" s="6" t="s">
        <v>2071</v>
      </c>
    </row>
    <row r="1144" customFormat="false" ht="15" hidden="false" customHeight="false" outlineLevel="0" collapsed="false">
      <c r="A1144" s="5" t="s">
        <v>2190</v>
      </c>
      <c r="B1144" s="5" t="s">
        <v>1005</v>
      </c>
      <c r="C1144" s="5" t="s">
        <v>1072</v>
      </c>
      <c r="D1144" s="5" t="s">
        <v>1072</v>
      </c>
      <c r="E1144" s="6" t="s">
        <v>2088</v>
      </c>
      <c r="F1144" s="6" t="s">
        <v>2081</v>
      </c>
      <c r="G1144" s="6" t="s">
        <v>2070</v>
      </c>
      <c r="H1144" s="5"/>
      <c r="I1144" s="6" t="s">
        <v>2071</v>
      </c>
    </row>
    <row r="1145" customFormat="false" ht="15" hidden="false" customHeight="false" outlineLevel="0" collapsed="false">
      <c r="A1145" s="5" t="s">
        <v>2190</v>
      </c>
      <c r="B1145" s="5" t="s">
        <v>1005</v>
      </c>
      <c r="C1145" s="5" t="s">
        <v>1072</v>
      </c>
      <c r="D1145" s="5" t="s">
        <v>1072</v>
      </c>
      <c r="E1145" s="6" t="s">
        <v>2089</v>
      </c>
      <c r="F1145" s="6" t="s">
        <v>2081</v>
      </c>
      <c r="G1145" s="6" t="s">
        <v>2070</v>
      </c>
      <c r="H1145" s="5"/>
      <c r="I1145" s="6" t="s">
        <v>2071</v>
      </c>
    </row>
    <row r="1146" customFormat="false" ht="15" hidden="false" customHeight="false" outlineLevel="0" collapsed="false">
      <c r="A1146" s="5" t="s">
        <v>2190</v>
      </c>
      <c r="B1146" s="5" t="s">
        <v>1005</v>
      </c>
      <c r="C1146" s="5" t="s">
        <v>1072</v>
      </c>
      <c r="D1146" s="5" t="s">
        <v>1072</v>
      </c>
      <c r="E1146" s="6" t="s">
        <v>2090</v>
      </c>
      <c r="F1146" s="6" t="s">
        <v>2081</v>
      </c>
      <c r="G1146" s="6" t="s">
        <v>2070</v>
      </c>
      <c r="H1146" s="5"/>
      <c r="I1146" s="6" t="s">
        <v>2071</v>
      </c>
    </row>
    <row r="1147" customFormat="false" ht="15" hidden="false" customHeight="false" outlineLevel="0" collapsed="false">
      <c r="A1147" s="5" t="s">
        <v>2190</v>
      </c>
      <c r="B1147" s="5" t="s">
        <v>1005</v>
      </c>
      <c r="C1147" s="5" t="s">
        <v>1072</v>
      </c>
      <c r="D1147" s="5" t="s">
        <v>1072</v>
      </c>
      <c r="E1147" s="6" t="s">
        <v>2091</v>
      </c>
      <c r="F1147" s="6" t="s">
        <v>2083</v>
      </c>
      <c r="G1147" s="6" t="s">
        <v>2194</v>
      </c>
      <c r="H1147" s="5"/>
      <c r="I1147" s="6" t="s">
        <v>2093</v>
      </c>
    </row>
    <row r="1148" customFormat="false" ht="15" hidden="false" customHeight="false" outlineLevel="0" collapsed="false">
      <c r="A1148" s="5" t="s">
        <v>2190</v>
      </c>
      <c r="B1148" s="5" t="s">
        <v>1005</v>
      </c>
      <c r="C1148" s="5" t="s">
        <v>1072</v>
      </c>
      <c r="D1148" s="5" t="s">
        <v>1072</v>
      </c>
      <c r="E1148" s="6" t="s">
        <v>2094</v>
      </c>
      <c r="F1148" s="6" t="s">
        <v>2069</v>
      </c>
      <c r="G1148" s="6" t="s">
        <v>2194</v>
      </c>
      <c r="H1148" s="5"/>
      <c r="I1148" s="6" t="s">
        <v>2093</v>
      </c>
    </row>
    <row r="1149" customFormat="false" ht="15" hidden="false" customHeight="false" outlineLevel="0" collapsed="false">
      <c r="A1149" s="5" t="s">
        <v>2190</v>
      </c>
      <c r="B1149" s="5" t="s">
        <v>1005</v>
      </c>
      <c r="C1149" s="5" t="s">
        <v>1072</v>
      </c>
      <c r="D1149" s="5" t="s">
        <v>1072</v>
      </c>
      <c r="E1149" s="6" t="s">
        <v>2096</v>
      </c>
      <c r="F1149" s="6" t="s">
        <v>2073</v>
      </c>
      <c r="G1149" s="6" t="s">
        <v>2195</v>
      </c>
      <c r="H1149" s="5"/>
      <c r="I1149" s="6" t="s">
        <v>2093</v>
      </c>
    </row>
    <row r="1150" customFormat="false" ht="15" hidden="false" customHeight="false" outlineLevel="0" collapsed="false">
      <c r="A1150" s="5" t="s">
        <v>2190</v>
      </c>
      <c r="B1150" s="5" t="s">
        <v>1005</v>
      </c>
      <c r="C1150" s="5" t="s">
        <v>1072</v>
      </c>
      <c r="D1150" s="5" t="s">
        <v>1072</v>
      </c>
      <c r="E1150" s="6" t="s">
        <v>2098</v>
      </c>
      <c r="F1150" s="6" t="s">
        <v>2075</v>
      </c>
      <c r="G1150" s="6" t="s">
        <v>2196</v>
      </c>
      <c r="H1150" s="5"/>
      <c r="I1150" s="6" t="s">
        <v>2093</v>
      </c>
    </row>
    <row r="1151" customFormat="false" ht="15" hidden="false" customHeight="false" outlineLevel="0" collapsed="false">
      <c r="A1151" s="5" t="s">
        <v>2190</v>
      </c>
      <c r="B1151" s="5" t="s">
        <v>1005</v>
      </c>
      <c r="C1151" s="5" t="s">
        <v>1072</v>
      </c>
      <c r="D1151" s="5" t="s">
        <v>1072</v>
      </c>
      <c r="E1151" s="6" t="s">
        <v>2100</v>
      </c>
      <c r="F1151" s="6" t="s">
        <v>2125</v>
      </c>
      <c r="G1151" s="6" t="s">
        <v>2197</v>
      </c>
      <c r="H1151" s="5"/>
      <c r="I1151" s="6" t="s">
        <v>2103</v>
      </c>
    </row>
    <row r="1152" customFormat="false" ht="23.85" hidden="false" customHeight="false" outlineLevel="0" collapsed="false">
      <c r="A1152" s="5" t="s">
        <v>2190</v>
      </c>
      <c r="B1152" s="5" t="s">
        <v>1005</v>
      </c>
      <c r="C1152" s="5" t="s">
        <v>1072</v>
      </c>
      <c r="D1152" s="5" t="s">
        <v>1072</v>
      </c>
      <c r="E1152" s="6" t="s">
        <v>2104</v>
      </c>
      <c r="F1152" s="6" t="s">
        <v>2127</v>
      </c>
      <c r="G1152" s="6" t="s">
        <v>2198</v>
      </c>
      <c r="H1152" s="5"/>
      <c r="I1152" s="6" t="s">
        <v>2103</v>
      </c>
    </row>
    <row r="1153" customFormat="false" ht="15" hidden="false" customHeight="false" outlineLevel="0" collapsed="false">
      <c r="A1153" s="5" t="s">
        <v>2190</v>
      </c>
      <c r="B1153" s="5" t="s">
        <v>1005</v>
      </c>
      <c r="C1153" s="5" t="s">
        <v>1072</v>
      </c>
      <c r="D1153" s="5" t="s">
        <v>1072</v>
      </c>
      <c r="E1153" s="6" t="s">
        <v>2107</v>
      </c>
      <c r="F1153" s="6" t="s">
        <v>2129</v>
      </c>
      <c r="G1153" s="6" t="s">
        <v>2199</v>
      </c>
      <c r="H1153" s="5"/>
      <c r="I1153" s="6" t="s">
        <v>2103</v>
      </c>
    </row>
    <row r="1154" customFormat="false" ht="15" hidden="false" customHeight="false" outlineLevel="0" collapsed="false">
      <c r="A1154" s="5" t="s">
        <v>2190</v>
      </c>
      <c r="B1154" s="5" t="s">
        <v>1005</v>
      </c>
      <c r="C1154" s="5" t="s">
        <v>1072</v>
      </c>
      <c r="D1154" s="5" t="s">
        <v>1072</v>
      </c>
      <c r="E1154" s="6" t="s">
        <v>2130</v>
      </c>
      <c r="F1154" s="6" t="s">
        <v>2111</v>
      </c>
      <c r="G1154" s="6" t="s">
        <v>2112</v>
      </c>
      <c r="H1154" s="5"/>
      <c r="I1154" s="6" t="s">
        <v>2103</v>
      </c>
    </row>
    <row r="1155" customFormat="false" ht="15" hidden="false" customHeight="false" outlineLevel="0" collapsed="false">
      <c r="A1155" s="5" t="s">
        <v>2190</v>
      </c>
      <c r="B1155" s="5" t="s">
        <v>1005</v>
      </c>
      <c r="C1155" s="5" t="s">
        <v>1072</v>
      </c>
      <c r="D1155" s="5" t="s">
        <v>1072</v>
      </c>
      <c r="E1155" s="6" t="s">
        <v>2131</v>
      </c>
      <c r="F1155" s="6" t="s">
        <v>2111</v>
      </c>
      <c r="G1155" s="6" t="s">
        <v>2112</v>
      </c>
      <c r="H1155" s="5"/>
      <c r="I1155" s="6" t="s">
        <v>2103</v>
      </c>
    </row>
    <row r="1156" customFormat="false" ht="15" hidden="false" customHeight="false" outlineLevel="0" collapsed="false">
      <c r="A1156" s="5" t="s">
        <v>2190</v>
      </c>
      <c r="B1156" s="5" t="s">
        <v>1005</v>
      </c>
      <c r="C1156" s="5" t="s">
        <v>1072</v>
      </c>
      <c r="D1156" s="5" t="s">
        <v>1072</v>
      </c>
      <c r="E1156" s="6" t="s">
        <v>2114</v>
      </c>
      <c r="F1156" s="6" t="s">
        <v>2115</v>
      </c>
      <c r="G1156" s="6" t="s">
        <v>2045</v>
      </c>
      <c r="H1156" s="5"/>
      <c r="I1156" s="6" t="s">
        <v>2116</v>
      </c>
    </row>
    <row r="1157" customFormat="false" ht="15" hidden="false" customHeight="false" outlineLevel="0" collapsed="false">
      <c r="A1157" s="5" t="s">
        <v>2190</v>
      </c>
      <c r="B1157" s="5" t="s">
        <v>1005</v>
      </c>
      <c r="C1157" s="5" t="s">
        <v>1072</v>
      </c>
      <c r="D1157" s="5" t="s">
        <v>1072</v>
      </c>
      <c r="E1157" s="6" t="s">
        <v>2117</v>
      </c>
      <c r="F1157" s="6" t="s">
        <v>2115</v>
      </c>
      <c r="G1157" s="6" t="s">
        <v>2045</v>
      </c>
      <c r="H1157" s="5"/>
      <c r="I1157" s="6" t="s">
        <v>2116</v>
      </c>
    </row>
    <row r="1158" customFormat="false" ht="15" hidden="false" customHeight="false" outlineLevel="0" collapsed="false">
      <c r="A1158" s="5" t="s">
        <v>2190</v>
      </c>
      <c r="B1158" s="5" t="s">
        <v>1005</v>
      </c>
      <c r="C1158" s="5" t="s">
        <v>1072</v>
      </c>
      <c r="D1158" s="5" t="s">
        <v>1072</v>
      </c>
      <c r="E1158" s="6" t="s">
        <v>2118</v>
      </c>
      <c r="F1158" s="6" t="s">
        <v>2115</v>
      </c>
      <c r="G1158" s="6" t="s">
        <v>2045</v>
      </c>
      <c r="H1158" s="5"/>
      <c r="I1158" s="6" t="s">
        <v>2116</v>
      </c>
    </row>
    <row r="1159" customFormat="false" ht="35.05" hidden="false" customHeight="false" outlineLevel="0" collapsed="false">
      <c r="A1159" s="5" t="s">
        <v>2200</v>
      </c>
      <c r="B1159" s="5" t="s">
        <v>1005</v>
      </c>
      <c r="C1159" s="5" t="s">
        <v>1077</v>
      </c>
      <c r="D1159" s="5" t="s">
        <v>1077</v>
      </c>
      <c r="E1159" s="6" t="s">
        <v>2043</v>
      </c>
      <c r="F1159" s="6" t="s">
        <v>2044</v>
      </c>
      <c r="G1159" s="6" t="s">
        <v>2045</v>
      </c>
      <c r="H1159" s="5"/>
      <c r="I1159" s="6" t="s">
        <v>2046</v>
      </c>
    </row>
    <row r="1160" customFormat="false" ht="23.85" hidden="false" customHeight="false" outlineLevel="0" collapsed="false">
      <c r="A1160" s="5" t="s">
        <v>2200</v>
      </c>
      <c r="B1160" s="5" t="s">
        <v>1005</v>
      </c>
      <c r="C1160" s="5" t="s">
        <v>1077</v>
      </c>
      <c r="D1160" s="5" t="s">
        <v>1077</v>
      </c>
      <c r="E1160" s="6" t="s">
        <v>2047</v>
      </c>
      <c r="F1160" s="6" t="s">
        <v>2048</v>
      </c>
      <c r="G1160" s="6" t="s">
        <v>2045</v>
      </c>
      <c r="H1160" s="5"/>
      <c r="I1160" s="6" t="s">
        <v>2049</v>
      </c>
    </row>
    <row r="1161" customFormat="false" ht="15" hidden="false" customHeight="false" outlineLevel="0" collapsed="false">
      <c r="A1161" s="5" t="s">
        <v>2200</v>
      </c>
      <c r="B1161" s="5" t="s">
        <v>1005</v>
      </c>
      <c r="C1161" s="5" t="s">
        <v>1077</v>
      </c>
      <c r="D1161" s="5" t="s">
        <v>1077</v>
      </c>
      <c r="E1161" s="6" t="s">
        <v>2050</v>
      </c>
      <c r="F1161" s="6" t="s">
        <v>2051</v>
      </c>
      <c r="G1161" s="6" t="s">
        <v>2166</v>
      </c>
      <c r="H1161" s="5"/>
      <c r="I1161" s="6" t="s">
        <v>2053</v>
      </c>
    </row>
    <row r="1162" customFormat="false" ht="15" hidden="false" customHeight="false" outlineLevel="0" collapsed="false">
      <c r="A1162" s="5" t="s">
        <v>2200</v>
      </c>
      <c r="B1162" s="5" t="s">
        <v>1005</v>
      </c>
      <c r="C1162" s="5" t="s">
        <v>1077</v>
      </c>
      <c r="D1162" s="5" t="s">
        <v>1077</v>
      </c>
      <c r="E1162" s="6" t="s">
        <v>2054</v>
      </c>
      <c r="F1162" s="6" t="s">
        <v>2055</v>
      </c>
      <c r="G1162" s="6" t="s">
        <v>2045</v>
      </c>
      <c r="H1162" s="5"/>
      <c r="I1162" s="6" t="s">
        <v>2056</v>
      </c>
    </row>
    <row r="1163" customFormat="false" ht="15" hidden="false" customHeight="false" outlineLevel="0" collapsed="false">
      <c r="A1163" s="5" t="s">
        <v>2200</v>
      </c>
      <c r="B1163" s="5" t="s">
        <v>1005</v>
      </c>
      <c r="C1163" s="5" t="s">
        <v>1077</v>
      </c>
      <c r="D1163" s="5" t="s">
        <v>1077</v>
      </c>
      <c r="E1163" s="6" t="s">
        <v>2141</v>
      </c>
      <c r="F1163" s="6" t="s">
        <v>2201</v>
      </c>
      <c r="G1163" s="6" t="s">
        <v>2202</v>
      </c>
      <c r="H1163" s="5"/>
      <c r="I1163" s="6" t="s">
        <v>2049</v>
      </c>
    </row>
    <row r="1164" customFormat="false" ht="15" hidden="false" customHeight="false" outlineLevel="0" collapsed="false">
      <c r="A1164" s="5" t="s">
        <v>2200</v>
      </c>
      <c r="B1164" s="5" t="s">
        <v>1005</v>
      </c>
      <c r="C1164" s="5" t="s">
        <v>1077</v>
      </c>
      <c r="D1164" s="5" t="s">
        <v>1077</v>
      </c>
      <c r="E1164" s="6" t="s">
        <v>2060</v>
      </c>
      <c r="F1164" s="6" t="s">
        <v>2061</v>
      </c>
      <c r="G1164" s="6" t="s">
        <v>2187</v>
      </c>
      <c r="H1164" s="5"/>
      <c r="I1164" s="6" t="s">
        <v>2049</v>
      </c>
    </row>
    <row r="1165" customFormat="false" ht="15" hidden="false" customHeight="false" outlineLevel="0" collapsed="false">
      <c r="A1165" s="5" t="s">
        <v>2200</v>
      </c>
      <c r="B1165" s="5" t="s">
        <v>1005</v>
      </c>
      <c r="C1165" s="5" t="s">
        <v>1077</v>
      </c>
      <c r="D1165" s="5" t="s">
        <v>1077</v>
      </c>
      <c r="E1165" s="6" t="s">
        <v>2063</v>
      </c>
      <c r="F1165" s="6" t="s">
        <v>2061</v>
      </c>
      <c r="G1165" s="6" t="s">
        <v>2064</v>
      </c>
      <c r="H1165" s="5"/>
      <c r="I1165" s="6" t="s">
        <v>2049</v>
      </c>
    </row>
    <row r="1166" customFormat="false" ht="15" hidden="false" customHeight="false" outlineLevel="0" collapsed="false">
      <c r="A1166" s="5" t="s">
        <v>2200</v>
      </c>
      <c r="B1166" s="5" t="s">
        <v>1005</v>
      </c>
      <c r="C1166" s="5" t="s">
        <v>1077</v>
      </c>
      <c r="D1166" s="5" t="s">
        <v>1077</v>
      </c>
      <c r="E1166" s="6" t="s">
        <v>2065</v>
      </c>
      <c r="F1166" s="6" t="s">
        <v>2066</v>
      </c>
      <c r="G1166" s="6" t="s">
        <v>1765</v>
      </c>
      <c r="H1166" s="5"/>
      <c r="I1166" s="6" t="s">
        <v>2067</v>
      </c>
    </row>
    <row r="1167" customFormat="false" ht="15" hidden="false" customHeight="false" outlineLevel="0" collapsed="false">
      <c r="A1167" s="5" t="s">
        <v>2200</v>
      </c>
      <c r="B1167" s="5" t="s">
        <v>1005</v>
      </c>
      <c r="C1167" s="5" t="s">
        <v>1077</v>
      </c>
      <c r="D1167" s="5" t="s">
        <v>1077</v>
      </c>
      <c r="E1167" s="6" t="s">
        <v>2068</v>
      </c>
      <c r="F1167" s="6" t="s">
        <v>2069</v>
      </c>
      <c r="G1167" s="6" t="s">
        <v>2070</v>
      </c>
      <c r="H1167" s="5"/>
      <c r="I1167" s="6" t="s">
        <v>2071</v>
      </c>
    </row>
    <row r="1168" customFormat="false" ht="15" hidden="false" customHeight="false" outlineLevel="0" collapsed="false">
      <c r="A1168" s="5" t="s">
        <v>2200</v>
      </c>
      <c r="B1168" s="5" t="s">
        <v>1005</v>
      </c>
      <c r="C1168" s="5" t="s">
        <v>1077</v>
      </c>
      <c r="D1168" s="5" t="s">
        <v>1077</v>
      </c>
      <c r="E1168" s="6" t="s">
        <v>2072</v>
      </c>
      <c r="F1168" s="6" t="s">
        <v>2073</v>
      </c>
      <c r="G1168" s="6" t="s">
        <v>2070</v>
      </c>
      <c r="H1168" s="5"/>
      <c r="I1168" s="6" t="s">
        <v>2071</v>
      </c>
    </row>
    <row r="1169" customFormat="false" ht="15" hidden="false" customHeight="false" outlineLevel="0" collapsed="false">
      <c r="A1169" s="5" t="s">
        <v>2200</v>
      </c>
      <c r="B1169" s="5" t="s">
        <v>1005</v>
      </c>
      <c r="C1169" s="5" t="s">
        <v>1077</v>
      </c>
      <c r="D1169" s="5" t="s">
        <v>1077</v>
      </c>
      <c r="E1169" s="6" t="s">
        <v>2074</v>
      </c>
      <c r="F1169" s="6" t="s">
        <v>2075</v>
      </c>
      <c r="G1169" s="6" t="s">
        <v>2070</v>
      </c>
      <c r="H1169" s="5"/>
      <c r="I1169" s="6" t="s">
        <v>2071</v>
      </c>
    </row>
    <row r="1170" customFormat="false" ht="23.85" hidden="false" customHeight="false" outlineLevel="0" collapsed="false">
      <c r="A1170" s="5" t="s">
        <v>2200</v>
      </c>
      <c r="B1170" s="5" t="s">
        <v>1005</v>
      </c>
      <c r="C1170" s="5" t="s">
        <v>1077</v>
      </c>
      <c r="D1170" s="5" t="s">
        <v>1077</v>
      </c>
      <c r="E1170" s="6" t="s">
        <v>2076</v>
      </c>
      <c r="F1170" s="6" t="s">
        <v>2077</v>
      </c>
      <c r="G1170" s="6" t="s">
        <v>2070</v>
      </c>
      <c r="H1170" s="5"/>
      <c r="I1170" s="6" t="s">
        <v>2071</v>
      </c>
    </row>
    <row r="1171" customFormat="false" ht="15" hidden="false" customHeight="false" outlineLevel="0" collapsed="false">
      <c r="A1171" s="5" t="s">
        <v>2200</v>
      </c>
      <c r="B1171" s="5" t="s">
        <v>1005</v>
      </c>
      <c r="C1171" s="5" t="s">
        <v>1077</v>
      </c>
      <c r="D1171" s="5" t="s">
        <v>1077</v>
      </c>
      <c r="E1171" s="6" t="s">
        <v>2078</v>
      </c>
      <c r="F1171" s="6" t="s">
        <v>2079</v>
      </c>
      <c r="G1171" s="6" t="s">
        <v>2070</v>
      </c>
      <c r="H1171" s="5"/>
      <c r="I1171" s="6" t="s">
        <v>2071</v>
      </c>
    </row>
    <row r="1172" customFormat="false" ht="15" hidden="false" customHeight="false" outlineLevel="0" collapsed="false">
      <c r="A1172" s="5" t="s">
        <v>2200</v>
      </c>
      <c r="B1172" s="5" t="s">
        <v>1005</v>
      </c>
      <c r="C1172" s="5" t="s">
        <v>1077</v>
      </c>
      <c r="D1172" s="5" t="s">
        <v>1077</v>
      </c>
      <c r="E1172" s="6" t="s">
        <v>2080</v>
      </c>
      <c r="F1172" s="6" t="s">
        <v>2081</v>
      </c>
      <c r="G1172" s="6" t="s">
        <v>2070</v>
      </c>
      <c r="H1172" s="5"/>
      <c r="I1172" s="6" t="s">
        <v>2071</v>
      </c>
    </row>
    <row r="1173" customFormat="false" ht="15" hidden="false" customHeight="false" outlineLevel="0" collapsed="false">
      <c r="A1173" s="5" t="s">
        <v>2200</v>
      </c>
      <c r="B1173" s="5" t="s">
        <v>1005</v>
      </c>
      <c r="C1173" s="5" t="s">
        <v>1077</v>
      </c>
      <c r="D1173" s="5" t="s">
        <v>1077</v>
      </c>
      <c r="E1173" s="6" t="s">
        <v>2082</v>
      </c>
      <c r="F1173" s="6" t="s">
        <v>2083</v>
      </c>
      <c r="G1173" s="6" t="s">
        <v>2070</v>
      </c>
      <c r="H1173" s="5"/>
      <c r="I1173" s="6" t="s">
        <v>2071</v>
      </c>
    </row>
    <row r="1174" customFormat="false" ht="15" hidden="false" customHeight="false" outlineLevel="0" collapsed="false">
      <c r="A1174" s="5" t="s">
        <v>2200</v>
      </c>
      <c r="B1174" s="5" t="s">
        <v>1005</v>
      </c>
      <c r="C1174" s="5" t="s">
        <v>1077</v>
      </c>
      <c r="D1174" s="5" t="s">
        <v>1077</v>
      </c>
      <c r="E1174" s="6" t="s">
        <v>2084</v>
      </c>
      <c r="F1174" s="6" t="s">
        <v>2073</v>
      </c>
      <c r="G1174" s="6" t="s">
        <v>2070</v>
      </c>
      <c r="H1174" s="5"/>
      <c r="I1174" s="6" t="s">
        <v>2071</v>
      </c>
    </row>
    <row r="1175" customFormat="false" ht="15" hidden="false" customHeight="false" outlineLevel="0" collapsed="false">
      <c r="A1175" s="5" t="s">
        <v>2200</v>
      </c>
      <c r="B1175" s="5" t="s">
        <v>1005</v>
      </c>
      <c r="C1175" s="5" t="s">
        <v>1077</v>
      </c>
      <c r="D1175" s="5" t="s">
        <v>1077</v>
      </c>
      <c r="E1175" s="6" t="s">
        <v>2085</v>
      </c>
      <c r="F1175" s="6" t="s">
        <v>2086</v>
      </c>
      <c r="G1175" s="6" t="s">
        <v>2070</v>
      </c>
      <c r="H1175" s="5"/>
      <c r="I1175" s="6" t="s">
        <v>2071</v>
      </c>
    </row>
    <row r="1176" customFormat="false" ht="23.85" hidden="false" customHeight="false" outlineLevel="0" collapsed="false">
      <c r="A1176" s="5" t="s">
        <v>2200</v>
      </c>
      <c r="B1176" s="5" t="s">
        <v>1005</v>
      </c>
      <c r="C1176" s="5" t="s">
        <v>1077</v>
      </c>
      <c r="D1176" s="5" t="s">
        <v>1077</v>
      </c>
      <c r="E1176" s="6" t="s">
        <v>2087</v>
      </c>
      <c r="F1176" s="6" t="s">
        <v>2081</v>
      </c>
      <c r="G1176" s="6" t="s">
        <v>2070</v>
      </c>
      <c r="H1176" s="5"/>
      <c r="I1176" s="6" t="s">
        <v>2071</v>
      </c>
    </row>
    <row r="1177" customFormat="false" ht="15" hidden="false" customHeight="false" outlineLevel="0" collapsed="false">
      <c r="A1177" s="5" t="s">
        <v>2200</v>
      </c>
      <c r="B1177" s="5" t="s">
        <v>1005</v>
      </c>
      <c r="C1177" s="5" t="s">
        <v>1077</v>
      </c>
      <c r="D1177" s="5" t="s">
        <v>1077</v>
      </c>
      <c r="E1177" s="6" t="s">
        <v>2088</v>
      </c>
      <c r="F1177" s="6" t="s">
        <v>2081</v>
      </c>
      <c r="G1177" s="6" t="s">
        <v>2070</v>
      </c>
      <c r="H1177" s="5"/>
      <c r="I1177" s="6" t="s">
        <v>2071</v>
      </c>
    </row>
    <row r="1178" customFormat="false" ht="15" hidden="false" customHeight="false" outlineLevel="0" collapsed="false">
      <c r="A1178" s="5" t="s">
        <v>2200</v>
      </c>
      <c r="B1178" s="5" t="s">
        <v>1005</v>
      </c>
      <c r="C1178" s="5" t="s">
        <v>1077</v>
      </c>
      <c r="D1178" s="5" t="s">
        <v>1077</v>
      </c>
      <c r="E1178" s="6" t="s">
        <v>2089</v>
      </c>
      <c r="F1178" s="6" t="s">
        <v>2081</v>
      </c>
      <c r="G1178" s="6" t="s">
        <v>2070</v>
      </c>
      <c r="H1178" s="5"/>
      <c r="I1178" s="6" t="s">
        <v>2071</v>
      </c>
    </row>
    <row r="1179" customFormat="false" ht="15" hidden="false" customHeight="false" outlineLevel="0" collapsed="false">
      <c r="A1179" s="5" t="s">
        <v>2200</v>
      </c>
      <c r="B1179" s="5" t="s">
        <v>1005</v>
      </c>
      <c r="C1179" s="5" t="s">
        <v>1077</v>
      </c>
      <c r="D1179" s="5" t="s">
        <v>1077</v>
      </c>
      <c r="E1179" s="6" t="s">
        <v>2090</v>
      </c>
      <c r="F1179" s="6" t="s">
        <v>2081</v>
      </c>
      <c r="G1179" s="6" t="s">
        <v>2070</v>
      </c>
      <c r="H1179" s="5"/>
      <c r="I1179" s="6" t="s">
        <v>2071</v>
      </c>
    </row>
    <row r="1180" customFormat="false" ht="15" hidden="false" customHeight="false" outlineLevel="0" collapsed="false">
      <c r="A1180" s="5" t="s">
        <v>2200</v>
      </c>
      <c r="B1180" s="5" t="s">
        <v>1005</v>
      </c>
      <c r="C1180" s="5" t="s">
        <v>1077</v>
      </c>
      <c r="D1180" s="5" t="s">
        <v>1077</v>
      </c>
      <c r="E1180" s="6" t="s">
        <v>2091</v>
      </c>
      <c r="F1180" s="6" t="s">
        <v>2083</v>
      </c>
      <c r="G1180" s="6" t="s">
        <v>2070</v>
      </c>
      <c r="H1180" s="5"/>
      <c r="I1180" s="6" t="s">
        <v>2093</v>
      </c>
    </row>
    <row r="1181" customFormat="false" ht="15" hidden="false" customHeight="false" outlineLevel="0" collapsed="false">
      <c r="A1181" s="5" t="s">
        <v>2200</v>
      </c>
      <c r="B1181" s="5" t="s">
        <v>1005</v>
      </c>
      <c r="C1181" s="5" t="s">
        <v>1077</v>
      </c>
      <c r="D1181" s="5" t="s">
        <v>1077</v>
      </c>
      <c r="E1181" s="6" t="s">
        <v>2094</v>
      </c>
      <c r="F1181" s="6" t="s">
        <v>2069</v>
      </c>
      <c r="G1181" s="6" t="s">
        <v>2070</v>
      </c>
      <c r="H1181" s="5"/>
      <c r="I1181" s="6" t="s">
        <v>2093</v>
      </c>
    </row>
    <row r="1182" customFormat="false" ht="15" hidden="false" customHeight="false" outlineLevel="0" collapsed="false">
      <c r="A1182" s="5" t="s">
        <v>2200</v>
      </c>
      <c r="B1182" s="5" t="s">
        <v>1005</v>
      </c>
      <c r="C1182" s="5" t="s">
        <v>1077</v>
      </c>
      <c r="D1182" s="5" t="s">
        <v>1077</v>
      </c>
      <c r="E1182" s="6" t="s">
        <v>2096</v>
      </c>
      <c r="F1182" s="6" t="s">
        <v>2073</v>
      </c>
      <c r="G1182" s="6" t="s">
        <v>2070</v>
      </c>
      <c r="H1182" s="5"/>
      <c r="I1182" s="6" t="s">
        <v>2093</v>
      </c>
    </row>
    <row r="1183" customFormat="false" ht="15" hidden="false" customHeight="false" outlineLevel="0" collapsed="false">
      <c r="A1183" s="5" t="s">
        <v>2200</v>
      </c>
      <c r="B1183" s="5" t="s">
        <v>1005</v>
      </c>
      <c r="C1183" s="5" t="s">
        <v>1077</v>
      </c>
      <c r="D1183" s="5" t="s">
        <v>1077</v>
      </c>
      <c r="E1183" s="6" t="s">
        <v>2098</v>
      </c>
      <c r="F1183" s="6" t="s">
        <v>2075</v>
      </c>
      <c r="G1183" s="6" t="s">
        <v>2203</v>
      </c>
      <c r="H1183" s="5"/>
      <c r="I1183" s="6" t="s">
        <v>2093</v>
      </c>
    </row>
    <row r="1184" customFormat="false" ht="15" hidden="false" customHeight="false" outlineLevel="0" collapsed="false">
      <c r="A1184" s="5" t="s">
        <v>2200</v>
      </c>
      <c r="B1184" s="5" t="s">
        <v>1005</v>
      </c>
      <c r="C1184" s="5" t="s">
        <v>1077</v>
      </c>
      <c r="D1184" s="5" t="s">
        <v>1077</v>
      </c>
      <c r="E1184" s="6" t="s">
        <v>2100</v>
      </c>
      <c r="F1184" s="6" t="s">
        <v>2125</v>
      </c>
      <c r="G1184" s="6" t="s">
        <v>1930</v>
      </c>
      <c r="H1184" s="5"/>
      <c r="I1184" s="6" t="s">
        <v>2138</v>
      </c>
    </row>
    <row r="1185" customFormat="false" ht="23.85" hidden="false" customHeight="false" outlineLevel="0" collapsed="false">
      <c r="A1185" s="5" t="s">
        <v>2200</v>
      </c>
      <c r="B1185" s="5" t="s">
        <v>1005</v>
      </c>
      <c r="C1185" s="5" t="s">
        <v>1077</v>
      </c>
      <c r="D1185" s="5" t="s">
        <v>1077</v>
      </c>
      <c r="E1185" s="6" t="s">
        <v>2104</v>
      </c>
      <c r="F1185" s="6" t="s">
        <v>2127</v>
      </c>
      <c r="G1185" s="6" t="s">
        <v>1930</v>
      </c>
      <c r="H1185" s="5"/>
      <c r="I1185" s="6" t="s">
        <v>2138</v>
      </c>
    </row>
    <row r="1186" customFormat="false" ht="15" hidden="false" customHeight="false" outlineLevel="0" collapsed="false">
      <c r="A1186" s="5" t="s">
        <v>2200</v>
      </c>
      <c r="B1186" s="5" t="s">
        <v>1005</v>
      </c>
      <c r="C1186" s="5" t="s">
        <v>1077</v>
      </c>
      <c r="D1186" s="5" t="s">
        <v>1077</v>
      </c>
      <c r="E1186" s="6" t="s">
        <v>2107</v>
      </c>
      <c r="F1186" s="6" t="s">
        <v>2129</v>
      </c>
      <c r="G1186" s="6" t="s">
        <v>1930</v>
      </c>
      <c r="H1186" s="5"/>
      <c r="I1186" s="6" t="s">
        <v>2138</v>
      </c>
    </row>
    <row r="1187" customFormat="false" ht="15" hidden="false" customHeight="false" outlineLevel="0" collapsed="false">
      <c r="A1187" s="5" t="s">
        <v>2200</v>
      </c>
      <c r="B1187" s="5" t="s">
        <v>1005</v>
      </c>
      <c r="C1187" s="5" t="s">
        <v>1077</v>
      </c>
      <c r="D1187" s="5" t="s">
        <v>1077</v>
      </c>
      <c r="E1187" s="6" t="s">
        <v>2130</v>
      </c>
      <c r="F1187" s="6" t="s">
        <v>2111</v>
      </c>
      <c r="G1187" s="6" t="s">
        <v>2112</v>
      </c>
      <c r="H1187" s="5"/>
      <c r="I1187" s="6" t="s">
        <v>2138</v>
      </c>
    </row>
    <row r="1188" customFormat="false" ht="15" hidden="false" customHeight="false" outlineLevel="0" collapsed="false">
      <c r="A1188" s="5" t="s">
        <v>2200</v>
      </c>
      <c r="B1188" s="5" t="s">
        <v>1005</v>
      </c>
      <c r="C1188" s="5" t="s">
        <v>1077</v>
      </c>
      <c r="D1188" s="5" t="s">
        <v>1077</v>
      </c>
      <c r="E1188" s="6" t="s">
        <v>2131</v>
      </c>
      <c r="F1188" s="6" t="s">
        <v>2111</v>
      </c>
      <c r="G1188" s="6" t="s">
        <v>2112</v>
      </c>
      <c r="H1188" s="5"/>
      <c r="I1188" s="6" t="s">
        <v>2138</v>
      </c>
    </row>
    <row r="1189" customFormat="false" ht="15" hidden="false" customHeight="false" outlineLevel="0" collapsed="false">
      <c r="A1189" s="5" t="s">
        <v>2200</v>
      </c>
      <c r="B1189" s="5" t="s">
        <v>1005</v>
      </c>
      <c r="C1189" s="5" t="s">
        <v>1077</v>
      </c>
      <c r="D1189" s="5" t="s">
        <v>1077</v>
      </c>
      <c r="E1189" s="6" t="s">
        <v>2114</v>
      </c>
      <c r="F1189" s="6" t="s">
        <v>2115</v>
      </c>
      <c r="G1189" s="6" t="s">
        <v>2045</v>
      </c>
      <c r="H1189" s="5"/>
      <c r="I1189" s="6" t="s">
        <v>2116</v>
      </c>
    </row>
    <row r="1190" customFormat="false" ht="15" hidden="false" customHeight="false" outlineLevel="0" collapsed="false">
      <c r="A1190" s="5" t="s">
        <v>2200</v>
      </c>
      <c r="B1190" s="5" t="s">
        <v>1005</v>
      </c>
      <c r="C1190" s="5" t="s">
        <v>1077</v>
      </c>
      <c r="D1190" s="5" t="s">
        <v>1077</v>
      </c>
      <c r="E1190" s="6" t="s">
        <v>2117</v>
      </c>
      <c r="F1190" s="6" t="s">
        <v>2115</v>
      </c>
      <c r="G1190" s="6" t="s">
        <v>2045</v>
      </c>
      <c r="H1190" s="5"/>
      <c r="I1190" s="6" t="s">
        <v>2116</v>
      </c>
    </row>
    <row r="1191" customFormat="false" ht="15" hidden="false" customHeight="false" outlineLevel="0" collapsed="false">
      <c r="A1191" s="5" t="s">
        <v>2200</v>
      </c>
      <c r="B1191" s="5" t="s">
        <v>1005</v>
      </c>
      <c r="C1191" s="5" t="s">
        <v>1077</v>
      </c>
      <c r="D1191" s="5" t="s">
        <v>1077</v>
      </c>
      <c r="E1191" s="6" t="s">
        <v>2118</v>
      </c>
      <c r="F1191" s="6" t="s">
        <v>2115</v>
      </c>
      <c r="G1191" s="6" t="s">
        <v>2045</v>
      </c>
      <c r="H1191" s="5"/>
      <c r="I1191" s="6" t="s">
        <v>2116</v>
      </c>
    </row>
    <row r="1192" customFormat="false" ht="35.05" hidden="false" customHeight="false" outlineLevel="0" collapsed="false">
      <c r="A1192" s="5" t="s">
        <v>2204</v>
      </c>
      <c r="B1192" s="5" t="s">
        <v>1005</v>
      </c>
      <c r="C1192" s="5" t="s">
        <v>1083</v>
      </c>
      <c r="D1192" s="5" t="s">
        <v>1083</v>
      </c>
      <c r="E1192" s="6" t="s">
        <v>2043</v>
      </c>
      <c r="F1192" s="6" t="s">
        <v>2044</v>
      </c>
      <c r="G1192" s="6" t="s">
        <v>2045</v>
      </c>
      <c r="H1192" s="5"/>
      <c r="I1192" s="6" t="s">
        <v>2046</v>
      </c>
    </row>
    <row r="1193" customFormat="false" ht="23.85" hidden="false" customHeight="false" outlineLevel="0" collapsed="false">
      <c r="A1193" s="5" t="s">
        <v>2204</v>
      </c>
      <c r="B1193" s="5" t="s">
        <v>1005</v>
      </c>
      <c r="C1193" s="5" t="s">
        <v>1083</v>
      </c>
      <c r="D1193" s="5" t="s">
        <v>1083</v>
      </c>
      <c r="E1193" s="6" t="s">
        <v>2047</v>
      </c>
      <c r="F1193" s="6" t="s">
        <v>2048</v>
      </c>
      <c r="G1193" s="6" t="s">
        <v>2045</v>
      </c>
      <c r="H1193" s="5"/>
      <c r="I1193" s="6" t="s">
        <v>2049</v>
      </c>
    </row>
    <row r="1194" customFormat="false" ht="15" hidden="false" customHeight="false" outlineLevel="0" collapsed="false">
      <c r="A1194" s="5" t="s">
        <v>2204</v>
      </c>
      <c r="B1194" s="5" t="s">
        <v>1005</v>
      </c>
      <c r="C1194" s="5" t="s">
        <v>1083</v>
      </c>
      <c r="D1194" s="5" t="s">
        <v>1083</v>
      </c>
      <c r="E1194" s="6" t="s">
        <v>2050</v>
      </c>
      <c r="F1194" s="6" t="s">
        <v>2051</v>
      </c>
      <c r="G1194" s="6" t="s">
        <v>2205</v>
      </c>
      <c r="H1194" s="5"/>
      <c r="I1194" s="6" t="s">
        <v>2053</v>
      </c>
    </row>
    <row r="1195" customFormat="false" ht="15" hidden="false" customHeight="false" outlineLevel="0" collapsed="false">
      <c r="A1195" s="5" t="s">
        <v>2204</v>
      </c>
      <c r="B1195" s="5" t="s">
        <v>1005</v>
      </c>
      <c r="C1195" s="5" t="s">
        <v>1083</v>
      </c>
      <c r="D1195" s="5" t="s">
        <v>1083</v>
      </c>
      <c r="E1195" s="6" t="s">
        <v>2054</v>
      </c>
      <c r="F1195" s="6" t="s">
        <v>2055</v>
      </c>
      <c r="G1195" s="6" t="s">
        <v>2045</v>
      </c>
      <c r="H1195" s="5"/>
      <c r="I1195" s="6" t="s">
        <v>2056</v>
      </c>
    </row>
    <row r="1196" customFormat="false" ht="15" hidden="false" customHeight="false" outlineLevel="0" collapsed="false">
      <c r="A1196" s="5" t="s">
        <v>2204</v>
      </c>
      <c r="B1196" s="5" t="s">
        <v>1005</v>
      </c>
      <c r="C1196" s="5" t="s">
        <v>1083</v>
      </c>
      <c r="D1196" s="5" t="s">
        <v>1083</v>
      </c>
      <c r="E1196" s="6" t="s">
        <v>2141</v>
      </c>
      <c r="F1196" s="6" t="s">
        <v>2206</v>
      </c>
      <c r="G1196" s="6" t="s">
        <v>2207</v>
      </c>
      <c r="H1196" s="5"/>
      <c r="I1196" s="6" t="s">
        <v>2049</v>
      </c>
    </row>
    <row r="1197" customFormat="false" ht="15" hidden="false" customHeight="false" outlineLevel="0" collapsed="false">
      <c r="A1197" s="5" t="s">
        <v>2204</v>
      </c>
      <c r="B1197" s="5" t="s">
        <v>1005</v>
      </c>
      <c r="C1197" s="5" t="s">
        <v>1083</v>
      </c>
      <c r="D1197" s="5" t="s">
        <v>1083</v>
      </c>
      <c r="E1197" s="6" t="s">
        <v>2060</v>
      </c>
      <c r="F1197" s="6" t="s">
        <v>2061</v>
      </c>
      <c r="G1197" s="6" t="s">
        <v>2169</v>
      </c>
      <c r="H1197" s="5"/>
      <c r="I1197" s="6" t="s">
        <v>2049</v>
      </c>
    </row>
    <row r="1198" customFormat="false" ht="15" hidden="false" customHeight="false" outlineLevel="0" collapsed="false">
      <c r="A1198" s="5" t="s">
        <v>2204</v>
      </c>
      <c r="B1198" s="5" t="s">
        <v>1005</v>
      </c>
      <c r="C1198" s="5" t="s">
        <v>1083</v>
      </c>
      <c r="D1198" s="5" t="s">
        <v>1083</v>
      </c>
      <c r="E1198" s="6" t="s">
        <v>2063</v>
      </c>
      <c r="F1198" s="6" t="s">
        <v>2061</v>
      </c>
      <c r="G1198" s="6" t="s">
        <v>2151</v>
      </c>
      <c r="H1198" s="5"/>
      <c r="I1198" s="6" t="s">
        <v>2049</v>
      </c>
    </row>
    <row r="1199" customFormat="false" ht="15" hidden="false" customHeight="false" outlineLevel="0" collapsed="false">
      <c r="A1199" s="5" t="s">
        <v>2204</v>
      </c>
      <c r="B1199" s="5" t="s">
        <v>1005</v>
      </c>
      <c r="C1199" s="5" t="s">
        <v>1083</v>
      </c>
      <c r="D1199" s="5" t="s">
        <v>1083</v>
      </c>
      <c r="E1199" s="6" t="s">
        <v>2065</v>
      </c>
      <c r="F1199" s="6" t="s">
        <v>2066</v>
      </c>
      <c r="G1199" s="6" t="s">
        <v>2170</v>
      </c>
      <c r="H1199" s="5"/>
      <c r="I1199" s="6" t="s">
        <v>2067</v>
      </c>
    </row>
    <row r="1200" customFormat="false" ht="15" hidden="false" customHeight="false" outlineLevel="0" collapsed="false">
      <c r="A1200" s="5" t="s">
        <v>2204</v>
      </c>
      <c r="B1200" s="5" t="s">
        <v>1005</v>
      </c>
      <c r="C1200" s="5" t="s">
        <v>1083</v>
      </c>
      <c r="D1200" s="5" t="s">
        <v>1083</v>
      </c>
      <c r="E1200" s="6" t="s">
        <v>2068</v>
      </c>
      <c r="F1200" s="6" t="s">
        <v>2069</v>
      </c>
      <c r="G1200" s="6" t="s">
        <v>2070</v>
      </c>
      <c r="H1200" s="5"/>
      <c r="I1200" s="6" t="s">
        <v>2071</v>
      </c>
    </row>
    <row r="1201" customFormat="false" ht="15" hidden="false" customHeight="false" outlineLevel="0" collapsed="false">
      <c r="A1201" s="5" t="s">
        <v>2204</v>
      </c>
      <c r="B1201" s="5" t="s">
        <v>1005</v>
      </c>
      <c r="C1201" s="5" t="s">
        <v>1083</v>
      </c>
      <c r="D1201" s="5" t="s">
        <v>1083</v>
      </c>
      <c r="E1201" s="6" t="s">
        <v>2072</v>
      </c>
      <c r="F1201" s="6" t="s">
        <v>2073</v>
      </c>
      <c r="G1201" s="6" t="s">
        <v>2070</v>
      </c>
      <c r="H1201" s="5"/>
      <c r="I1201" s="6" t="s">
        <v>2071</v>
      </c>
    </row>
    <row r="1202" customFormat="false" ht="15" hidden="false" customHeight="false" outlineLevel="0" collapsed="false">
      <c r="A1202" s="5" t="s">
        <v>2204</v>
      </c>
      <c r="B1202" s="5" t="s">
        <v>1005</v>
      </c>
      <c r="C1202" s="5" t="s">
        <v>1083</v>
      </c>
      <c r="D1202" s="5" t="s">
        <v>1083</v>
      </c>
      <c r="E1202" s="6" t="s">
        <v>2074</v>
      </c>
      <c r="F1202" s="6" t="s">
        <v>2075</v>
      </c>
      <c r="G1202" s="6" t="s">
        <v>2070</v>
      </c>
      <c r="H1202" s="5"/>
      <c r="I1202" s="6" t="s">
        <v>2071</v>
      </c>
    </row>
    <row r="1203" customFormat="false" ht="23.85" hidden="false" customHeight="false" outlineLevel="0" collapsed="false">
      <c r="A1203" s="5" t="s">
        <v>2204</v>
      </c>
      <c r="B1203" s="5" t="s">
        <v>1005</v>
      </c>
      <c r="C1203" s="5" t="s">
        <v>1083</v>
      </c>
      <c r="D1203" s="5" t="s">
        <v>1083</v>
      </c>
      <c r="E1203" s="6" t="s">
        <v>2076</v>
      </c>
      <c r="F1203" s="6" t="s">
        <v>2077</v>
      </c>
      <c r="G1203" s="6" t="s">
        <v>2070</v>
      </c>
      <c r="H1203" s="5"/>
      <c r="I1203" s="6" t="s">
        <v>2071</v>
      </c>
    </row>
    <row r="1204" customFormat="false" ht="15" hidden="false" customHeight="false" outlineLevel="0" collapsed="false">
      <c r="A1204" s="5" t="s">
        <v>2204</v>
      </c>
      <c r="B1204" s="5" t="s">
        <v>1005</v>
      </c>
      <c r="C1204" s="5" t="s">
        <v>1083</v>
      </c>
      <c r="D1204" s="5" t="s">
        <v>1083</v>
      </c>
      <c r="E1204" s="6" t="s">
        <v>2078</v>
      </c>
      <c r="F1204" s="6" t="s">
        <v>2079</v>
      </c>
      <c r="G1204" s="6" t="s">
        <v>2070</v>
      </c>
      <c r="H1204" s="5"/>
      <c r="I1204" s="6" t="s">
        <v>2071</v>
      </c>
    </row>
    <row r="1205" customFormat="false" ht="15" hidden="false" customHeight="false" outlineLevel="0" collapsed="false">
      <c r="A1205" s="5" t="s">
        <v>2204</v>
      </c>
      <c r="B1205" s="5" t="s">
        <v>1005</v>
      </c>
      <c r="C1205" s="5" t="s">
        <v>1083</v>
      </c>
      <c r="D1205" s="5" t="s">
        <v>1083</v>
      </c>
      <c r="E1205" s="6" t="s">
        <v>2080</v>
      </c>
      <c r="F1205" s="6" t="s">
        <v>2081</v>
      </c>
      <c r="G1205" s="6" t="s">
        <v>2070</v>
      </c>
      <c r="H1205" s="5"/>
      <c r="I1205" s="6" t="s">
        <v>2071</v>
      </c>
    </row>
    <row r="1206" customFormat="false" ht="15" hidden="false" customHeight="false" outlineLevel="0" collapsed="false">
      <c r="A1206" s="5" t="s">
        <v>2204</v>
      </c>
      <c r="B1206" s="5" t="s">
        <v>1005</v>
      </c>
      <c r="C1206" s="5" t="s">
        <v>1083</v>
      </c>
      <c r="D1206" s="5" t="s">
        <v>1083</v>
      </c>
      <c r="E1206" s="6" t="s">
        <v>2082</v>
      </c>
      <c r="F1206" s="6" t="s">
        <v>2083</v>
      </c>
      <c r="G1206" s="6" t="s">
        <v>2070</v>
      </c>
      <c r="H1206" s="5"/>
      <c r="I1206" s="6" t="s">
        <v>2071</v>
      </c>
    </row>
    <row r="1207" customFormat="false" ht="15" hidden="false" customHeight="false" outlineLevel="0" collapsed="false">
      <c r="A1207" s="5" t="s">
        <v>2204</v>
      </c>
      <c r="B1207" s="5" t="s">
        <v>1005</v>
      </c>
      <c r="C1207" s="5" t="s">
        <v>1083</v>
      </c>
      <c r="D1207" s="5" t="s">
        <v>1083</v>
      </c>
      <c r="E1207" s="6" t="s">
        <v>2084</v>
      </c>
      <c r="F1207" s="6" t="s">
        <v>2073</v>
      </c>
      <c r="G1207" s="6" t="s">
        <v>2070</v>
      </c>
      <c r="H1207" s="5"/>
      <c r="I1207" s="6" t="s">
        <v>2071</v>
      </c>
    </row>
    <row r="1208" customFormat="false" ht="15" hidden="false" customHeight="false" outlineLevel="0" collapsed="false">
      <c r="A1208" s="5" t="s">
        <v>2204</v>
      </c>
      <c r="B1208" s="5" t="s">
        <v>1005</v>
      </c>
      <c r="C1208" s="5" t="s">
        <v>1083</v>
      </c>
      <c r="D1208" s="5" t="s">
        <v>1083</v>
      </c>
      <c r="E1208" s="6" t="s">
        <v>2085</v>
      </c>
      <c r="F1208" s="6" t="s">
        <v>2086</v>
      </c>
      <c r="G1208" s="6" t="s">
        <v>2070</v>
      </c>
      <c r="H1208" s="5"/>
      <c r="I1208" s="6" t="s">
        <v>2071</v>
      </c>
    </row>
    <row r="1209" customFormat="false" ht="23.85" hidden="false" customHeight="false" outlineLevel="0" collapsed="false">
      <c r="A1209" s="5" t="s">
        <v>2204</v>
      </c>
      <c r="B1209" s="5" t="s">
        <v>1005</v>
      </c>
      <c r="C1209" s="5" t="s">
        <v>1083</v>
      </c>
      <c r="D1209" s="5" t="s">
        <v>1083</v>
      </c>
      <c r="E1209" s="6" t="s">
        <v>2087</v>
      </c>
      <c r="F1209" s="6" t="s">
        <v>2081</v>
      </c>
      <c r="G1209" s="6" t="s">
        <v>2070</v>
      </c>
      <c r="H1209" s="5"/>
      <c r="I1209" s="6" t="s">
        <v>2071</v>
      </c>
    </row>
    <row r="1210" customFormat="false" ht="15" hidden="false" customHeight="false" outlineLevel="0" collapsed="false">
      <c r="A1210" s="5" t="s">
        <v>2204</v>
      </c>
      <c r="B1210" s="5" t="s">
        <v>1005</v>
      </c>
      <c r="C1210" s="5" t="s">
        <v>1083</v>
      </c>
      <c r="D1210" s="5" t="s">
        <v>1083</v>
      </c>
      <c r="E1210" s="6" t="s">
        <v>2088</v>
      </c>
      <c r="F1210" s="6" t="s">
        <v>2081</v>
      </c>
      <c r="G1210" s="6" t="s">
        <v>2070</v>
      </c>
      <c r="H1210" s="5"/>
      <c r="I1210" s="6" t="s">
        <v>2071</v>
      </c>
    </row>
    <row r="1211" customFormat="false" ht="15" hidden="false" customHeight="false" outlineLevel="0" collapsed="false">
      <c r="A1211" s="5" t="s">
        <v>2204</v>
      </c>
      <c r="B1211" s="5" t="s">
        <v>1005</v>
      </c>
      <c r="C1211" s="5" t="s">
        <v>1083</v>
      </c>
      <c r="D1211" s="5" t="s">
        <v>1083</v>
      </c>
      <c r="E1211" s="6" t="s">
        <v>2089</v>
      </c>
      <c r="F1211" s="6" t="s">
        <v>2081</v>
      </c>
      <c r="G1211" s="6" t="s">
        <v>2070</v>
      </c>
      <c r="H1211" s="5"/>
      <c r="I1211" s="6" t="s">
        <v>2071</v>
      </c>
    </row>
    <row r="1212" customFormat="false" ht="15" hidden="false" customHeight="false" outlineLevel="0" collapsed="false">
      <c r="A1212" s="5" t="s">
        <v>2204</v>
      </c>
      <c r="B1212" s="5" t="s">
        <v>1005</v>
      </c>
      <c r="C1212" s="5" t="s">
        <v>1083</v>
      </c>
      <c r="D1212" s="5" t="s">
        <v>1083</v>
      </c>
      <c r="E1212" s="6" t="s">
        <v>2090</v>
      </c>
      <c r="F1212" s="6" t="s">
        <v>2081</v>
      </c>
      <c r="G1212" s="6" t="s">
        <v>2070</v>
      </c>
      <c r="H1212" s="5"/>
      <c r="I1212" s="6" t="s">
        <v>2071</v>
      </c>
    </row>
    <row r="1213" customFormat="false" ht="15" hidden="false" customHeight="false" outlineLevel="0" collapsed="false">
      <c r="A1213" s="5" t="s">
        <v>2204</v>
      </c>
      <c r="B1213" s="5" t="s">
        <v>1005</v>
      </c>
      <c r="C1213" s="5" t="s">
        <v>1083</v>
      </c>
      <c r="D1213" s="5" t="s">
        <v>1083</v>
      </c>
      <c r="E1213" s="6" t="s">
        <v>2091</v>
      </c>
      <c r="F1213" s="6" t="s">
        <v>2083</v>
      </c>
      <c r="G1213" s="6" t="s">
        <v>2194</v>
      </c>
      <c r="H1213" s="5"/>
      <c r="I1213" s="6" t="s">
        <v>2093</v>
      </c>
    </row>
    <row r="1214" customFormat="false" ht="15" hidden="false" customHeight="false" outlineLevel="0" collapsed="false">
      <c r="A1214" s="5" t="s">
        <v>2204</v>
      </c>
      <c r="B1214" s="5" t="s">
        <v>1005</v>
      </c>
      <c r="C1214" s="5" t="s">
        <v>1083</v>
      </c>
      <c r="D1214" s="5" t="s">
        <v>1083</v>
      </c>
      <c r="E1214" s="6" t="s">
        <v>2094</v>
      </c>
      <c r="F1214" s="6" t="s">
        <v>2069</v>
      </c>
      <c r="G1214" s="6" t="s">
        <v>2194</v>
      </c>
      <c r="H1214" s="5"/>
      <c r="I1214" s="6" t="s">
        <v>2093</v>
      </c>
    </row>
    <row r="1215" customFormat="false" ht="15" hidden="false" customHeight="false" outlineLevel="0" collapsed="false">
      <c r="A1215" s="5" t="s">
        <v>2204</v>
      </c>
      <c r="B1215" s="5" t="s">
        <v>1005</v>
      </c>
      <c r="C1215" s="5" t="s">
        <v>1083</v>
      </c>
      <c r="D1215" s="5" t="s">
        <v>1083</v>
      </c>
      <c r="E1215" s="6" t="s">
        <v>2096</v>
      </c>
      <c r="F1215" s="6" t="s">
        <v>2073</v>
      </c>
      <c r="G1215" s="6" t="s">
        <v>2194</v>
      </c>
      <c r="H1215" s="5"/>
      <c r="I1215" s="6" t="s">
        <v>2093</v>
      </c>
    </row>
    <row r="1216" customFormat="false" ht="15" hidden="false" customHeight="false" outlineLevel="0" collapsed="false">
      <c r="A1216" s="5" t="s">
        <v>2204</v>
      </c>
      <c r="B1216" s="5" t="s">
        <v>1005</v>
      </c>
      <c r="C1216" s="5" t="s">
        <v>1083</v>
      </c>
      <c r="D1216" s="5" t="s">
        <v>1083</v>
      </c>
      <c r="E1216" s="6" t="s">
        <v>2098</v>
      </c>
      <c r="F1216" s="6" t="s">
        <v>2075</v>
      </c>
      <c r="G1216" s="6" t="s">
        <v>2194</v>
      </c>
      <c r="H1216" s="5"/>
      <c r="I1216" s="6" t="s">
        <v>2093</v>
      </c>
    </row>
    <row r="1217" customFormat="false" ht="15" hidden="false" customHeight="false" outlineLevel="0" collapsed="false">
      <c r="A1217" s="5" t="s">
        <v>2204</v>
      </c>
      <c r="B1217" s="5" t="s">
        <v>1005</v>
      </c>
      <c r="C1217" s="5" t="s">
        <v>1083</v>
      </c>
      <c r="D1217" s="5" t="s">
        <v>1083</v>
      </c>
      <c r="E1217" s="6" t="s">
        <v>2100</v>
      </c>
      <c r="F1217" s="6" t="s">
        <v>2125</v>
      </c>
      <c r="G1217" s="6" t="s">
        <v>2208</v>
      </c>
      <c r="H1217" s="5"/>
      <c r="I1217" s="6" t="s">
        <v>2103</v>
      </c>
    </row>
    <row r="1218" customFormat="false" ht="23.85" hidden="false" customHeight="false" outlineLevel="0" collapsed="false">
      <c r="A1218" s="5" t="s">
        <v>2204</v>
      </c>
      <c r="B1218" s="5" t="s">
        <v>1005</v>
      </c>
      <c r="C1218" s="5" t="s">
        <v>1083</v>
      </c>
      <c r="D1218" s="5" t="s">
        <v>1083</v>
      </c>
      <c r="E1218" s="6" t="s">
        <v>2104</v>
      </c>
      <c r="F1218" s="6" t="s">
        <v>2127</v>
      </c>
      <c r="G1218" s="6" t="s">
        <v>2209</v>
      </c>
      <c r="H1218" s="5"/>
      <c r="I1218" s="6" t="s">
        <v>2103</v>
      </c>
    </row>
    <row r="1219" customFormat="false" ht="15" hidden="false" customHeight="false" outlineLevel="0" collapsed="false">
      <c r="A1219" s="5" t="s">
        <v>2204</v>
      </c>
      <c r="B1219" s="5" t="s">
        <v>1005</v>
      </c>
      <c r="C1219" s="5" t="s">
        <v>1083</v>
      </c>
      <c r="D1219" s="5" t="s">
        <v>1083</v>
      </c>
      <c r="E1219" s="6" t="s">
        <v>2107</v>
      </c>
      <c r="F1219" s="6" t="s">
        <v>2129</v>
      </c>
      <c r="G1219" s="6" t="s">
        <v>2199</v>
      </c>
      <c r="H1219" s="5"/>
      <c r="I1219" s="6" t="s">
        <v>2103</v>
      </c>
    </row>
    <row r="1220" customFormat="false" ht="15" hidden="false" customHeight="false" outlineLevel="0" collapsed="false">
      <c r="A1220" s="5" t="s">
        <v>2204</v>
      </c>
      <c r="B1220" s="5" t="s">
        <v>1005</v>
      </c>
      <c r="C1220" s="5" t="s">
        <v>1083</v>
      </c>
      <c r="D1220" s="5" t="s">
        <v>1083</v>
      </c>
      <c r="E1220" s="6" t="s">
        <v>2130</v>
      </c>
      <c r="F1220" s="6" t="s">
        <v>2111</v>
      </c>
      <c r="G1220" s="6" t="s">
        <v>2112</v>
      </c>
      <c r="H1220" s="5"/>
      <c r="I1220" s="6" t="s">
        <v>2103</v>
      </c>
    </row>
    <row r="1221" customFormat="false" ht="15" hidden="false" customHeight="false" outlineLevel="0" collapsed="false">
      <c r="A1221" s="5" t="s">
        <v>2204</v>
      </c>
      <c r="B1221" s="5" t="s">
        <v>1005</v>
      </c>
      <c r="C1221" s="5" t="s">
        <v>1083</v>
      </c>
      <c r="D1221" s="5" t="s">
        <v>1083</v>
      </c>
      <c r="E1221" s="6" t="s">
        <v>2131</v>
      </c>
      <c r="F1221" s="6" t="s">
        <v>2111</v>
      </c>
      <c r="G1221" s="6" t="s">
        <v>2112</v>
      </c>
      <c r="H1221" s="5"/>
      <c r="I1221" s="6" t="s">
        <v>2103</v>
      </c>
    </row>
    <row r="1222" customFormat="false" ht="15" hidden="false" customHeight="false" outlineLevel="0" collapsed="false">
      <c r="A1222" s="5" t="s">
        <v>2204</v>
      </c>
      <c r="B1222" s="5" t="s">
        <v>1005</v>
      </c>
      <c r="C1222" s="5" t="s">
        <v>1083</v>
      </c>
      <c r="D1222" s="5" t="s">
        <v>1083</v>
      </c>
      <c r="E1222" s="6" t="s">
        <v>2114</v>
      </c>
      <c r="F1222" s="6" t="s">
        <v>2115</v>
      </c>
      <c r="G1222" s="6" t="s">
        <v>2045</v>
      </c>
      <c r="H1222" s="5"/>
      <c r="I1222" s="6" t="s">
        <v>2116</v>
      </c>
    </row>
    <row r="1223" customFormat="false" ht="15" hidden="false" customHeight="false" outlineLevel="0" collapsed="false">
      <c r="A1223" s="5" t="s">
        <v>2204</v>
      </c>
      <c r="B1223" s="5" t="s">
        <v>1005</v>
      </c>
      <c r="C1223" s="5" t="s">
        <v>1083</v>
      </c>
      <c r="D1223" s="5" t="s">
        <v>1083</v>
      </c>
      <c r="E1223" s="6" t="s">
        <v>2117</v>
      </c>
      <c r="F1223" s="6" t="s">
        <v>2115</v>
      </c>
      <c r="G1223" s="6" t="s">
        <v>2045</v>
      </c>
      <c r="H1223" s="5"/>
      <c r="I1223" s="6" t="s">
        <v>2116</v>
      </c>
    </row>
    <row r="1224" customFormat="false" ht="15" hidden="false" customHeight="false" outlineLevel="0" collapsed="false">
      <c r="A1224" s="5" t="s">
        <v>2204</v>
      </c>
      <c r="B1224" s="5" t="s">
        <v>1005</v>
      </c>
      <c r="C1224" s="5" t="s">
        <v>1083</v>
      </c>
      <c r="D1224" s="5" t="s">
        <v>1083</v>
      </c>
      <c r="E1224" s="6" t="s">
        <v>2118</v>
      </c>
      <c r="F1224" s="6" t="s">
        <v>2115</v>
      </c>
      <c r="G1224" s="6" t="s">
        <v>2045</v>
      </c>
      <c r="H1224" s="5"/>
      <c r="I1224" s="6" t="s">
        <v>2116</v>
      </c>
    </row>
    <row r="1225" customFormat="false" ht="35.05" hidden="false" customHeight="false" outlineLevel="0" collapsed="false">
      <c r="A1225" s="5" t="s">
        <v>2210</v>
      </c>
      <c r="B1225" s="5" t="s">
        <v>1005</v>
      </c>
      <c r="C1225" s="5" t="s">
        <v>1088</v>
      </c>
      <c r="D1225" s="5" t="s">
        <v>1088</v>
      </c>
      <c r="E1225" s="6" t="s">
        <v>2043</v>
      </c>
      <c r="F1225" s="6" t="s">
        <v>2044</v>
      </c>
      <c r="G1225" s="6" t="s">
        <v>2045</v>
      </c>
      <c r="H1225" s="5"/>
      <c r="I1225" s="6" t="s">
        <v>2046</v>
      </c>
    </row>
    <row r="1226" customFormat="false" ht="23.85" hidden="false" customHeight="false" outlineLevel="0" collapsed="false">
      <c r="A1226" s="5" t="s">
        <v>2210</v>
      </c>
      <c r="B1226" s="5" t="s">
        <v>1005</v>
      </c>
      <c r="C1226" s="5" t="s">
        <v>1088</v>
      </c>
      <c r="D1226" s="5" t="s">
        <v>1088</v>
      </c>
      <c r="E1226" s="6" t="s">
        <v>2047</v>
      </c>
      <c r="F1226" s="6" t="s">
        <v>2048</v>
      </c>
      <c r="G1226" s="6" t="s">
        <v>2045</v>
      </c>
      <c r="H1226" s="5"/>
      <c r="I1226" s="6" t="s">
        <v>2049</v>
      </c>
    </row>
    <row r="1227" customFormat="false" ht="15" hidden="false" customHeight="false" outlineLevel="0" collapsed="false">
      <c r="A1227" s="5" t="s">
        <v>2210</v>
      </c>
      <c r="B1227" s="5" t="s">
        <v>1005</v>
      </c>
      <c r="C1227" s="5" t="s">
        <v>1088</v>
      </c>
      <c r="D1227" s="5" t="s">
        <v>1088</v>
      </c>
      <c r="E1227" s="6" t="s">
        <v>2050</v>
      </c>
      <c r="F1227" s="6" t="s">
        <v>2051</v>
      </c>
      <c r="G1227" s="6" t="s">
        <v>2211</v>
      </c>
      <c r="H1227" s="5"/>
      <c r="I1227" s="6" t="s">
        <v>2053</v>
      </c>
    </row>
    <row r="1228" customFormat="false" ht="15" hidden="false" customHeight="false" outlineLevel="0" collapsed="false">
      <c r="A1228" s="5" t="s">
        <v>2210</v>
      </c>
      <c r="B1228" s="5" t="s">
        <v>1005</v>
      </c>
      <c r="C1228" s="5" t="s">
        <v>1088</v>
      </c>
      <c r="D1228" s="5" t="s">
        <v>1088</v>
      </c>
      <c r="E1228" s="6" t="s">
        <v>2054</v>
      </c>
      <c r="F1228" s="6" t="s">
        <v>2055</v>
      </c>
      <c r="G1228" s="6" t="s">
        <v>2045</v>
      </c>
      <c r="H1228" s="5"/>
      <c r="I1228" s="6" t="s">
        <v>2056</v>
      </c>
    </row>
    <row r="1229" customFormat="false" ht="15" hidden="false" customHeight="false" outlineLevel="0" collapsed="false">
      <c r="A1229" s="5" t="s">
        <v>2210</v>
      </c>
      <c r="B1229" s="5" t="s">
        <v>1005</v>
      </c>
      <c r="C1229" s="5" t="s">
        <v>1088</v>
      </c>
      <c r="D1229" s="5" t="s">
        <v>1088</v>
      </c>
      <c r="E1229" s="6" t="s">
        <v>2141</v>
      </c>
      <c r="F1229" s="6" t="s">
        <v>2201</v>
      </c>
      <c r="G1229" s="6" t="s">
        <v>2212</v>
      </c>
      <c r="H1229" s="5"/>
      <c r="I1229" s="6" t="s">
        <v>2049</v>
      </c>
    </row>
    <row r="1230" customFormat="false" ht="15" hidden="false" customHeight="false" outlineLevel="0" collapsed="false">
      <c r="A1230" s="5" t="s">
        <v>2210</v>
      </c>
      <c r="B1230" s="5" t="s">
        <v>1005</v>
      </c>
      <c r="C1230" s="5" t="s">
        <v>1088</v>
      </c>
      <c r="D1230" s="5" t="s">
        <v>1088</v>
      </c>
      <c r="E1230" s="6" t="s">
        <v>2060</v>
      </c>
      <c r="F1230" s="6" t="s">
        <v>2061</v>
      </c>
      <c r="G1230" s="6" t="s">
        <v>2136</v>
      </c>
      <c r="H1230" s="5"/>
      <c r="I1230" s="6" t="s">
        <v>2049</v>
      </c>
    </row>
    <row r="1231" customFormat="false" ht="15" hidden="false" customHeight="false" outlineLevel="0" collapsed="false">
      <c r="A1231" s="5" t="s">
        <v>2210</v>
      </c>
      <c r="B1231" s="5" t="s">
        <v>1005</v>
      </c>
      <c r="C1231" s="5" t="s">
        <v>1088</v>
      </c>
      <c r="D1231" s="5" t="s">
        <v>1088</v>
      </c>
      <c r="E1231" s="6" t="s">
        <v>2063</v>
      </c>
      <c r="F1231" s="6" t="s">
        <v>2061</v>
      </c>
      <c r="G1231" s="6" t="s">
        <v>2151</v>
      </c>
      <c r="H1231" s="5"/>
      <c r="I1231" s="6" t="s">
        <v>2049</v>
      </c>
    </row>
    <row r="1232" customFormat="false" ht="15" hidden="false" customHeight="false" outlineLevel="0" collapsed="false">
      <c r="A1232" s="5" t="s">
        <v>2210</v>
      </c>
      <c r="B1232" s="5" t="s">
        <v>1005</v>
      </c>
      <c r="C1232" s="5" t="s">
        <v>1088</v>
      </c>
      <c r="D1232" s="5" t="s">
        <v>1088</v>
      </c>
      <c r="E1232" s="6" t="s">
        <v>2065</v>
      </c>
      <c r="F1232" s="6" t="s">
        <v>2066</v>
      </c>
      <c r="G1232" s="6" t="s">
        <v>1765</v>
      </c>
      <c r="H1232" s="5"/>
      <c r="I1232" s="6" t="s">
        <v>2067</v>
      </c>
    </row>
    <row r="1233" customFormat="false" ht="15" hidden="false" customHeight="false" outlineLevel="0" collapsed="false">
      <c r="A1233" s="5" t="s">
        <v>2210</v>
      </c>
      <c r="B1233" s="5" t="s">
        <v>1005</v>
      </c>
      <c r="C1233" s="5" t="s">
        <v>1088</v>
      </c>
      <c r="D1233" s="5" t="s">
        <v>1088</v>
      </c>
      <c r="E1233" s="6" t="s">
        <v>2068</v>
      </c>
      <c r="F1233" s="6" t="s">
        <v>2069</v>
      </c>
      <c r="G1233" s="6" t="s">
        <v>2070</v>
      </c>
      <c r="H1233" s="5"/>
      <c r="I1233" s="6" t="s">
        <v>2071</v>
      </c>
    </row>
    <row r="1234" customFormat="false" ht="15" hidden="false" customHeight="false" outlineLevel="0" collapsed="false">
      <c r="A1234" s="5" t="s">
        <v>2210</v>
      </c>
      <c r="B1234" s="5" t="s">
        <v>1005</v>
      </c>
      <c r="C1234" s="5" t="s">
        <v>1088</v>
      </c>
      <c r="D1234" s="5" t="s">
        <v>1088</v>
      </c>
      <c r="E1234" s="6" t="s">
        <v>2072</v>
      </c>
      <c r="F1234" s="6" t="s">
        <v>2073</v>
      </c>
      <c r="G1234" s="6" t="s">
        <v>2070</v>
      </c>
      <c r="H1234" s="5"/>
      <c r="I1234" s="6" t="s">
        <v>2071</v>
      </c>
    </row>
    <row r="1235" customFormat="false" ht="15" hidden="false" customHeight="false" outlineLevel="0" collapsed="false">
      <c r="A1235" s="5" t="s">
        <v>2210</v>
      </c>
      <c r="B1235" s="5" t="s">
        <v>1005</v>
      </c>
      <c r="C1235" s="5" t="s">
        <v>1088</v>
      </c>
      <c r="D1235" s="5" t="s">
        <v>1088</v>
      </c>
      <c r="E1235" s="6" t="s">
        <v>2074</v>
      </c>
      <c r="F1235" s="6" t="s">
        <v>2075</v>
      </c>
      <c r="G1235" s="6" t="s">
        <v>2070</v>
      </c>
      <c r="H1235" s="5"/>
      <c r="I1235" s="6" t="s">
        <v>2071</v>
      </c>
    </row>
    <row r="1236" customFormat="false" ht="23.85" hidden="false" customHeight="false" outlineLevel="0" collapsed="false">
      <c r="A1236" s="5" t="s">
        <v>2210</v>
      </c>
      <c r="B1236" s="5" t="s">
        <v>1005</v>
      </c>
      <c r="C1236" s="5" t="s">
        <v>1088</v>
      </c>
      <c r="D1236" s="5" t="s">
        <v>1088</v>
      </c>
      <c r="E1236" s="6" t="s">
        <v>2076</v>
      </c>
      <c r="F1236" s="6" t="s">
        <v>2077</v>
      </c>
      <c r="G1236" s="6" t="s">
        <v>2070</v>
      </c>
      <c r="H1236" s="5"/>
      <c r="I1236" s="6" t="s">
        <v>2071</v>
      </c>
    </row>
    <row r="1237" customFormat="false" ht="15" hidden="false" customHeight="false" outlineLevel="0" collapsed="false">
      <c r="A1237" s="5" t="s">
        <v>2210</v>
      </c>
      <c r="B1237" s="5" t="s">
        <v>1005</v>
      </c>
      <c r="C1237" s="5" t="s">
        <v>1088</v>
      </c>
      <c r="D1237" s="5" t="s">
        <v>1088</v>
      </c>
      <c r="E1237" s="6" t="s">
        <v>2078</v>
      </c>
      <c r="F1237" s="6" t="s">
        <v>2079</v>
      </c>
      <c r="G1237" s="6" t="s">
        <v>2070</v>
      </c>
      <c r="H1237" s="5"/>
      <c r="I1237" s="6" t="s">
        <v>2071</v>
      </c>
    </row>
    <row r="1238" customFormat="false" ht="15" hidden="false" customHeight="false" outlineLevel="0" collapsed="false">
      <c r="A1238" s="5" t="s">
        <v>2210</v>
      </c>
      <c r="B1238" s="5" t="s">
        <v>1005</v>
      </c>
      <c r="C1238" s="5" t="s">
        <v>1088</v>
      </c>
      <c r="D1238" s="5" t="s">
        <v>1088</v>
      </c>
      <c r="E1238" s="6" t="s">
        <v>2080</v>
      </c>
      <c r="F1238" s="6" t="s">
        <v>2081</v>
      </c>
      <c r="G1238" s="6" t="s">
        <v>2070</v>
      </c>
      <c r="H1238" s="5"/>
      <c r="I1238" s="6" t="s">
        <v>2071</v>
      </c>
    </row>
    <row r="1239" customFormat="false" ht="15" hidden="false" customHeight="false" outlineLevel="0" collapsed="false">
      <c r="A1239" s="5" t="s">
        <v>2210</v>
      </c>
      <c r="B1239" s="5" t="s">
        <v>1005</v>
      </c>
      <c r="C1239" s="5" t="s">
        <v>1088</v>
      </c>
      <c r="D1239" s="5" t="s">
        <v>1088</v>
      </c>
      <c r="E1239" s="6" t="s">
        <v>2082</v>
      </c>
      <c r="F1239" s="6" t="s">
        <v>2083</v>
      </c>
      <c r="G1239" s="6" t="s">
        <v>2070</v>
      </c>
      <c r="H1239" s="5"/>
      <c r="I1239" s="6" t="s">
        <v>2071</v>
      </c>
    </row>
    <row r="1240" customFormat="false" ht="15" hidden="false" customHeight="false" outlineLevel="0" collapsed="false">
      <c r="A1240" s="5" t="s">
        <v>2210</v>
      </c>
      <c r="B1240" s="5" t="s">
        <v>1005</v>
      </c>
      <c r="C1240" s="5" t="s">
        <v>1088</v>
      </c>
      <c r="D1240" s="5" t="s">
        <v>1088</v>
      </c>
      <c r="E1240" s="6" t="s">
        <v>2084</v>
      </c>
      <c r="F1240" s="6" t="s">
        <v>2073</v>
      </c>
      <c r="G1240" s="6" t="s">
        <v>2070</v>
      </c>
      <c r="H1240" s="5"/>
      <c r="I1240" s="6" t="s">
        <v>2071</v>
      </c>
    </row>
    <row r="1241" customFormat="false" ht="15" hidden="false" customHeight="false" outlineLevel="0" collapsed="false">
      <c r="A1241" s="5" t="s">
        <v>2210</v>
      </c>
      <c r="B1241" s="5" t="s">
        <v>1005</v>
      </c>
      <c r="C1241" s="5" t="s">
        <v>1088</v>
      </c>
      <c r="D1241" s="5" t="s">
        <v>1088</v>
      </c>
      <c r="E1241" s="6" t="s">
        <v>2085</v>
      </c>
      <c r="F1241" s="6" t="s">
        <v>2086</v>
      </c>
      <c r="G1241" s="6" t="s">
        <v>2070</v>
      </c>
      <c r="H1241" s="5"/>
      <c r="I1241" s="6" t="s">
        <v>2071</v>
      </c>
    </row>
    <row r="1242" customFormat="false" ht="23.85" hidden="false" customHeight="false" outlineLevel="0" collapsed="false">
      <c r="A1242" s="5" t="s">
        <v>2210</v>
      </c>
      <c r="B1242" s="5" t="s">
        <v>1005</v>
      </c>
      <c r="C1242" s="5" t="s">
        <v>1088</v>
      </c>
      <c r="D1242" s="5" t="s">
        <v>1088</v>
      </c>
      <c r="E1242" s="6" t="s">
        <v>2087</v>
      </c>
      <c r="F1242" s="6" t="s">
        <v>2081</v>
      </c>
      <c r="G1242" s="6" t="s">
        <v>2070</v>
      </c>
      <c r="H1242" s="5"/>
      <c r="I1242" s="6" t="s">
        <v>2071</v>
      </c>
    </row>
    <row r="1243" customFormat="false" ht="15" hidden="false" customHeight="false" outlineLevel="0" collapsed="false">
      <c r="A1243" s="5" t="s">
        <v>2210</v>
      </c>
      <c r="B1243" s="5" t="s">
        <v>1005</v>
      </c>
      <c r="C1243" s="5" t="s">
        <v>1088</v>
      </c>
      <c r="D1243" s="5" t="s">
        <v>1088</v>
      </c>
      <c r="E1243" s="6" t="s">
        <v>2088</v>
      </c>
      <c r="F1243" s="6" t="s">
        <v>2081</v>
      </c>
      <c r="G1243" s="6" t="s">
        <v>2070</v>
      </c>
      <c r="H1243" s="5"/>
      <c r="I1243" s="6" t="s">
        <v>2071</v>
      </c>
    </row>
    <row r="1244" customFormat="false" ht="15" hidden="false" customHeight="false" outlineLevel="0" collapsed="false">
      <c r="A1244" s="5" t="s">
        <v>2210</v>
      </c>
      <c r="B1244" s="5" t="s">
        <v>1005</v>
      </c>
      <c r="C1244" s="5" t="s">
        <v>1088</v>
      </c>
      <c r="D1244" s="5" t="s">
        <v>1088</v>
      </c>
      <c r="E1244" s="6" t="s">
        <v>2089</v>
      </c>
      <c r="F1244" s="6" t="s">
        <v>2081</v>
      </c>
      <c r="G1244" s="6" t="s">
        <v>2070</v>
      </c>
      <c r="H1244" s="5"/>
      <c r="I1244" s="6" t="s">
        <v>2071</v>
      </c>
    </row>
    <row r="1245" customFormat="false" ht="15" hidden="false" customHeight="false" outlineLevel="0" collapsed="false">
      <c r="A1245" s="5" t="s">
        <v>2210</v>
      </c>
      <c r="B1245" s="5" t="s">
        <v>1005</v>
      </c>
      <c r="C1245" s="5" t="s">
        <v>1088</v>
      </c>
      <c r="D1245" s="5" t="s">
        <v>1088</v>
      </c>
      <c r="E1245" s="6" t="s">
        <v>2090</v>
      </c>
      <c r="F1245" s="6" t="s">
        <v>2081</v>
      </c>
      <c r="G1245" s="6" t="s">
        <v>2070</v>
      </c>
      <c r="H1245" s="5"/>
      <c r="I1245" s="6" t="s">
        <v>2071</v>
      </c>
    </row>
    <row r="1246" customFormat="false" ht="15" hidden="false" customHeight="false" outlineLevel="0" collapsed="false">
      <c r="A1246" s="5" t="s">
        <v>2210</v>
      </c>
      <c r="B1246" s="5" t="s">
        <v>1005</v>
      </c>
      <c r="C1246" s="5" t="s">
        <v>1088</v>
      </c>
      <c r="D1246" s="5" t="s">
        <v>1088</v>
      </c>
      <c r="E1246" s="6" t="s">
        <v>2091</v>
      </c>
      <c r="F1246" s="6" t="s">
        <v>2083</v>
      </c>
      <c r="G1246" s="6" t="s">
        <v>2070</v>
      </c>
      <c r="H1246" s="5"/>
      <c r="I1246" s="6" t="s">
        <v>2093</v>
      </c>
    </row>
    <row r="1247" customFormat="false" ht="15" hidden="false" customHeight="false" outlineLevel="0" collapsed="false">
      <c r="A1247" s="5" t="s">
        <v>2210</v>
      </c>
      <c r="B1247" s="5" t="s">
        <v>1005</v>
      </c>
      <c r="C1247" s="5" t="s">
        <v>1088</v>
      </c>
      <c r="D1247" s="5" t="s">
        <v>1088</v>
      </c>
      <c r="E1247" s="6" t="s">
        <v>2094</v>
      </c>
      <c r="F1247" s="6" t="s">
        <v>2069</v>
      </c>
      <c r="G1247" s="6" t="s">
        <v>2213</v>
      </c>
      <c r="H1247" s="5"/>
      <c r="I1247" s="6" t="s">
        <v>2093</v>
      </c>
    </row>
    <row r="1248" customFormat="false" ht="15" hidden="false" customHeight="false" outlineLevel="0" collapsed="false">
      <c r="A1248" s="5" t="s">
        <v>2210</v>
      </c>
      <c r="B1248" s="5" t="s">
        <v>1005</v>
      </c>
      <c r="C1248" s="5" t="s">
        <v>1088</v>
      </c>
      <c r="D1248" s="5" t="s">
        <v>1088</v>
      </c>
      <c r="E1248" s="6" t="s">
        <v>2096</v>
      </c>
      <c r="F1248" s="6" t="s">
        <v>2073</v>
      </c>
      <c r="G1248" s="6" t="s">
        <v>2070</v>
      </c>
      <c r="H1248" s="5"/>
      <c r="I1248" s="6" t="s">
        <v>2093</v>
      </c>
    </row>
    <row r="1249" customFormat="false" ht="15" hidden="false" customHeight="false" outlineLevel="0" collapsed="false">
      <c r="A1249" s="5" t="s">
        <v>2210</v>
      </c>
      <c r="B1249" s="5" t="s">
        <v>1005</v>
      </c>
      <c r="C1249" s="5" t="s">
        <v>1088</v>
      </c>
      <c r="D1249" s="5" t="s">
        <v>1088</v>
      </c>
      <c r="E1249" s="6" t="s">
        <v>2098</v>
      </c>
      <c r="F1249" s="6" t="s">
        <v>2075</v>
      </c>
      <c r="G1249" s="6" t="s">
        <v>2070</v>
      </c>
      <c r="H1249" s="5"/>
      <c r="I1249" s="6" t="s">
        <v>2093</v>
      </c>
    </row>
    <row r="1250" customFormat="false" ht="15" hidden="false" customHeight="false" outlineLevel="0" collapsed="false">
      <c r="A1250" s="5" t="s">
        <v>2210</v>
      </c>
      <c r="B1250" s="5" t="s">
        <v>1005</v>
      </c>
      <c r="C1250" s="5" t="s">
        <v>1088</v>
      </c>
      <c r="D1250" s="5" t="s">
        <v>1088</v>
      </c>
      <c r="E1250" s="6" t="s">
        <v>2100</v>
      </c>
      <c r="F1250" s="6" t="s">
        <v>2125</v>
      </c>
      <c r="G1250" s="6" t="s">
        <v>2214</v>
      </c>
      <c r="H1250" s="5"/>
      <c r="I1250" s="6" t="s">
        <v>2103</v>
      </c>
    </row>
    <row r="1251" customFormat="false" ht="23.85" hidden="false" customHeight="false" outlineLevel="0" collapsed="false">
      <c r="A1251" s="5" t="s">
        <v>2210</v>
      </c>
      <c r="B1251" s="5" t="s">
        <v>1005</v>
      </c>
      <c r="C1251" s="5" t="s">
        <v>1088</v>
      </c>
      <c r="D1251" s="5" t="s">
        <v>1088</v>
      </c>
      <c r="E1251" s="6" t="s">
        <v>2104</v>
      </c>
      <c r="F1251" s="6" t="s">
        <v>2127</v>
      </c>
      <c r="G1251" s="6" t="s">
        <v>2215</v>
      </c>
      <c r="H1251" s="5"/>
      <c r="I1251" s="6" t="s">
        <v>2103</v>
      </c>
    </row>
    <row r="1252" customFormat="false" ht="15" hidden="false" customHeight="false" outlineLevel="0" collapsed="false">
      <c r="A1252" s="5" t="s">
        <v>2210</v>
      </c>
      <c r="B1252" s="5" t="s">
        <v>1005</v>
      </c>
      <c r="C1252" s="5" t="s">
        <v>1088</v>
      </c>
      <c r="D1252" s="5" t="s">
        <v>1088</v>
      </c>
      <c r="E1252" s="6" t="s">
        <v>2107</v>
      </c>
      <c r="F1252" s="6" t="s">
        <v>2129</v>
      </c>
      <c r="G1252" s="6" t="s">
        <v>2216</v>
      </c>
      <c r="H1252" s="5"/>
      <c r="I1252" s="6" t="s">
        <v>2103</v>
      </c>
    </row>
    <row r="1253" customFormat="false" ht="15" hidden="false" customHeight="false" outlineLevel="0" collapsed="false">
      <c r="A1253" s="5" t="s">
        <v>2210</v>
      </c>
      <c r="B1253" s="5" t="s">
        <v>1005</v>
      </c>
      <c r="C1253" s="5" t="s">
        <v>1088</v>
      </c>
      <c r="D1253" s="5" t="s">
        <v>1088</v>
      </c>
      <c r="E1253" s="6" t="s">
        <v>2110</v>
      </c>
      <c r="F1253" s="6" t="s">
        <v>2111</v>
      </c>
      <c r="G1253" s="6" t="s">
        <v>2112</v>
      </c>
      <c r="H1253" s="5"/>
      <c r="I1253" s="6" t="s">
        <v>2103</v>
      </c>
    </row>
    <row r="1254" customFormat="false" ht="15" hidden="false" customHeight="false" outlineLevel="0" collapsed="false">
      <c r="A1254" s="5" t="s">
        <v>2210</v>
      </c>
      <c r="B1254" s="5" t="s">
        <v>1005</v>
      </c>
      <c r="C1254" s="5" t="s">
        <v>1088</v>
      </c>
      <c r="D1254" s="5" t="s">
        <v>1088</v>
      </c>
      <c r="E1254" s="6" t="s">
        <v>2113</v>
      </c>
      <c r="F1254" s="6" t="s">
        <v>2111</v>
      </c>
      <c r="G1254" s="6" t="s">
        <v>2112</v>
      </c>
      <c r="H1254" s="5"/>
      <c r="I1254" s="6" t="s">
        <v>2103</v>
      </c>
    </row>
    <row r="1255" customFormat="false" ht="15" hidden="false" customHeight="false" outlineLevel="0" collapsed="false">
      <c r="A1255" s="5" t="s">
        <v>2210</v>
      </c>
      <c r="B1255" s="5" t="s">
        <v>1005</v>
      </c>
      <c r="C1255" s="5" t="s">
        <v>1088</v>
      </c>
      <c r="D1255" s="5" t="s">
        <v>1088</v>
      </c>
      <c r="E1255" s="6" t="s">
        <v>2114</v>
      </c>
      <c r="F1255" s="6" t="s">
        <v>2115</v>
      </c>
      <c r="G1255" s="6" t="s">
        <v>2045</v>
      </c>
      <c r="H1255" s="5"/>
      <c r="I1255" s="6" t="s">
        <v>2116</v>
      </c>
    </row>
    <row r="1256" customFormat="false" ht="15" hidden="false" customHeight="false" outlineLevel="0" collapsed="false">
      <c r="A1256" s="5" t="s">
        <v>2210</v>
      </c>
      <c r="B1256" s="5" t="s">
        <v>1005</v>
      </c>
      <c r="C1256" s="5" t="s">
        <v>1088</v>
      </c>
      <c r="D1256" s="5" t="s">
        <v>1088</v>
      </c>
      <c r="E1256" s="6" t="s">
        <v>2117</v>
      </c>
      <c r="F1256" s="6" t="s">
        <v>2115</v>
      </c>
      <c r="G1256" s="6" t="s">
        <v>2045</v>
      </c>
      <c r="H1256" s="5"/>
      <c r="I1256" s="6" t="s">
        <v>2116</v>
      </c>
    </row>
    <row r="1257" customFormat="false" ht="15" hidden="false" customHeight="false" outlineLevel="0" collapsed="false">
      <c r="A1257" s="5" t="s">
        <v>2210</v>
      </c>
      <c r="B1257" s="5" t="s">
        <v>1005</v>
      </c>
      <c r="C1257" s="5" t="s">
        <v>1088</v>
      </c>
      <c r="D1257" s="5" t="s">
        <v>1088</v>
      </c>
      <c r="E1257" s="6" t="s">
        <v>2118</v>
      </c>
      <c r="F1257" s="6" t="s">
        <v>2115</v>
      </c>
      <c r="G1257" s="6" t="s">
        <v>2045</v>
      </c>
      <c r="H1257" s="5"/>
      <c r="I1257" s="6" t="s">
        <v>2116</v>
      </c>
    </row>
    <row r="1258" customFormat="false" ht="35.05" hidden="false" customHeight="false" outlineLevel="0" collapsed="false">
      <c r="A1258" s="5" t="s">
        <v>2217</v>
      </c>
      <c r="B1258" s="5" t="s">
        <v>1005</v>
      </c>
      <c r="C1258" s="5" t="s">
        <v>1095</v>
      </c>
      <c r="D1258" s="5" t="s">
        <v>1095</v>
      </c>
      <c r="E1258" s="6" t="s">
        <v>2043</v>
      </c>
      <c r="F1258" s="6" t="s">
        <v>2044</v>
      </c>
      <c r="G1258" s="6" t="s">
        <v>2045</v>
      </c>
      <c r="H1258" s="5"/>
      <c r="I1258" s="6" t="s">
        <v>2046</v>
      </c>
    </row>
    <row r="1259" customFormat="false" ht="23.85" hidden="false" customHeight="false" outlineLevel="0" collapsed="false">
      <c r="A1259" s="5" t="s">
        <v>2217</v>
      </c>
      <c r="B1259" s="5" t="s">
        <v>1005</v>
      </c>
      <c r="C1259" s="5" t="s">
        <v>1095</v>
      </c>
      <c r="D1259" s="5" t="s">
        <v>1095</v>
      </c>
      <c r="E1259" s="6" t="s">
        <v>2047</v>
      </c>
      <c r="F1259" s="6" t="s">
        <v>2048</v>
      </c>
      <c r="G1259" s="6" t="s">
        <v>2045</v>
      </c>
      <c r="H1259" s="5"/>
      <c r="I1259" s="6" t="s">
        <v>2049</v>
      </c>
    </row>
    <row r="1260" customFormat="false" ht="15" hidden="false" customHeight="false" outlineLevel="0" collapsed="false">
      <c r="A1260" s="5" t="s">
        <v>2217</v>
      </c>
      <c r="B1260" s="5" t="s">
        <v>1005</v>
      </c>
      <c r="C1260" s="5" t="s">
        <v>1095</v>
      </c>
      <c r="D1260" s="5" t="s">
        <v>1095</v>
      </c>
      <c r="E1260" s="6" t="s">
        <v>2050</v>
      </c>
      <c r="F1260" s="6" t="s">
        <v>2051</v>
      </c>
      <c r="G1260" s="6" t="s">
        <v>2218</v>
      </c>
      <c r="H1260" s="5"/>
      <c r="I1260" s="6" t="s">
        <v>2053</v>
      </c>
    </row>
    <row r="1261" customFormat="false" ht="15" hidden="false" customHeight="false" outlineLevel="0" collapsed="false">
      <c r="A1261" s="5" t="s">
        <v>2217</v>
      </c>
      <c r="B1261" s="5" t="s">
        <v>1005</v>
      </c>
      <c r="C1261" s="5" t="s">
        <v>1095</v>
      </c>
      <c r="D1261" s="5" t="s">
        <v>1095</v>
      </c>
      <c r="E1261" s="6" t="s">
        <v>2054</v>
      </c>
      <c r="F1261" s="6" t="s">
        <v>2055</v>
      </c>
      <c r="G1261" s="6" t="s">
        <v>2045</v>
      </c>
      <c r="H1261" s="5"/>
      <c r="I1261" s="6" t="s">
        <v>2056</v>
      </c>
    </row>
    <row r="1262" customFormat="false" ht="15" hidden="false" customHeight="false" outlineLevel="0" collapsed="false">
      <c r="A1262" s="5" t="s">
        <v>2217</v>
      </c>
      <c r="B1262" s="5" t="s">
        <v>1005</v>
      </c>
      <c r="C1262" s="5" t="s">
        <v>1095</v>
      </c>
      <c r="D1262" s="5" t="s">
        <v>1095</v>
      </c>
      <c r="E1262" s="6" t="s">
        <v>2057</v>
      </c>
      <c r="F1262" s="6" t="s">
        <v>2219</v>
      </c>
      <c r="G1262" s="6" t="s">
        <v>2220</v>
      </c>
      <c r="H1262" s="5"/>
      <c r="I1262" s="6" t="s">
        <v>2049</v>
      </c>
    </row>
    <row r="1263" customFormat="false" ht="15" hidden="false" customHeight="false" outlineLevel="0" collapsed="false">
      <c r="A1263" s="5" t="s">
        <v>2217</v>
      </c>
      <c r="B1263" s="5" t="s">
        <v>1005</v>
      </c>
      <c r="C1263" s="5" t="s">
        <v>1095</v>
      </c>
      <c r="D1263" s="5" t="s">
        <v>1095</v>
      </c>
      <c r="E1263" s="6" t="s">
        <v>2060</v>
      </c>
      <c r="F1263" s="6" t="s">
        <v>2061</v>
      </c>
      <c r="G1263" s="6" t="s">
        <v>2221</v>
      </c>
      <c r="H1263" s="5"/>
      <c r="I1263" s="6" t="s">
        <v>2049</v>
      </c>
    </row>
    <row r="1264" customFormat="false" ht="15" hidden="false" customHeight="false" outlineLevel="0" collapsed="false">
      <c r="A1264" s="5" t="s">
        <v>2217</v>
      </c>
      <c r="B1264" s="5" t="s">
        <v>1005</v>
      </c>
      <c r="C1264" s="5" t="s">
        <v>1095</v>
      </c>
      <c r="D1264" s="5" t="s">
        <v>1095</v>
      </c>
      <c r="E1264" s="6" t="s">
        <v>2063</v>
      </c>
      <c r="F1264" s="6" t="s">
        <v>2061</v>
      </c>
      <c r="G1264" s="6" t="s">
        <v>2151</v>
      </c>
      <c r="H1264" s="5"/>
      <c r="I1264" s="6" t="s">
        <v>2049</v>
      </c>
    </row>
    <row r="1265" customFormat="false" ht="15" hidden="false" customHeight="false" outlineLevel="0" collapsed="false">
      <c r="A1265" s="5" t="s">
        <v>2217</v>
      </c>
      <c r="B1265" s="5" t="s">
        <v>1005</v>
      </c>
      <c r="C1265" s="5" t="s">
        <v>1095</v>
      </c>
      <c r="D1265" s="5" t="s">
        <v>1095</v>
      </c>
      <c r="E1265" s="6" t="s">
        <v>2065</v>
      </c>
      <c r="F1265" s="6" t="s">
        <v>2066</v>
      </c>
      <c r="G1265" s="6" t="s">
        <v>1765</v>
      </c>
      <c r="H1265" s="5"/>
      <c r="I1265" s="6" t="s">
        <v>2067</v>
      </c>
    </row>
    <row r="1266" customFormat="false" ht="15" hidden="false" customHeight="false" outlineLevel="0" collapsed="false">
      <c r="A1266" s="5" t="s">
        <v>2217</v>
      </c>
      <c r="B1266" s="5" t="s">
        <v>1005</v>
      </c>
      <c r="C1266" s="5" t="s">
        <v>1095</v>
      </c>
      <c r="D1266" s="5" t="s">
        <v>1095</v>
      </c>
      <c r="E1266" s="6" t="s">
        <v>2068</v>
      </c>
      <c r="F1266" s="6" t="s">
        <v>2069</v>
      </c>
      <c r="G1266" s="6" t="s">
        <v>2070</v>
      </c>
      <c r="H1266" s="5"/>
      <c r="I1266" s="6" t="s">
        <v>2071</v>
      </c>
    </row>
    <row r="1267" customFormat="false" ht="15" hidden="false" customHeight="false" outlineLevel="0" collapsed="false">
      <c r="A1267" s="5" t="s">
        <v>2217</v>
      </c>
      <c r="B1267" s="5" t="s">
        <v>1005</v>
      </c>
      <c r="C1267" s="5" t="s">
        <v>1095</v>
      </c>
      <c r="D1267" s="5" t="s">
        <v>1095</v>
      </c>
      <c r="E1267" s="6" t="s">
        <v>2072</v>
      </c>
      <c r="F1267" s="6" t="s">
        <v>2073</v>
      </c>
      <c r="G1267" s="6" t="s">
        <v>2070</v>
      </c>
      <c r="H1267" s="5"/>
      <c r="I1267" s="6" t="s">
        <v>2071</v>
      </c>
    </row>
    <row r="1268" customFormat="false" ht="15" hidden="false" customHeight="false" outlineLevel="0" collapsed="false">
      <c r="A1268" s="5" t="s">
        <v>2217</v>
      </c>
      <c r="B1268" s="5" t="s">
        <v>1005</v>
      </c>
      <c r="C1268" s="5" t="s">
        <v>1095</v>
      </c>
      <c r="D1268" s="5" t="s">
        <v>1095</v>
      </c>
      <c r="E1268" s="6" t="s">
        <v>2074</v>
      </c>
      <c r="F1268" s="6" t="s">
        <v>2075</v>
      </c>
      <c r="G1268" s="6" t="s">
        <v>2070</v>
      </c>
      <c r="H1268" s="5"/>
      <c r="I1268" s="6" t="s">
        <v>2071</v>
      </c>
    </row>
    <row r="1269" customFormat="false" ht="23.85" hidden="false" customHeight="false" outlineLevel="0" collapsed="false">
      <c r="A1269" s="5" t="s">
        <v>2217</v>
      </c>
      <c r="B1269" s="5" t="s">
        <v>1005</v>
      </c>
      <c r="C1269" s="5" t="s">
        <v>1095</v>
      </c>
      <c r="D1269" s="5" t="s">
        <v>1095</v>
      </c>
      <c r="E1269" s="6" t="s">
        <v>2076</v>
      </c>
      <c r="F1269" s="6" t="s">
        <v>2077</v>
      </c>
      <c r="G1269" s="6" t="s">
        <v>2070</v>
      </c>
      <c r="H1269" s="5"/>
      <c r="I1269" s="6" t="s">
        <v>2071</v>
      </c>
    </row>
    <row r="1270" customFormat="false" ht="15" hidden="false" customHeight="false" outlineLevel="0" collapsed="false">
      <c r="A1270" s="5" t="s">
        <v>2217</v>
      </c>
      <c r="B1270" s="5" t="s">
        <v>1005</v>
      </c>
      <c r="C1270" s="5" t="s">
        <v>1095</v>
      </c>
      <c r="D1270" s="5" t="s">
        <v>1095</v>
      </c>
      <c r="E1270" s="6" t="s">
        <v>2078</v>
      </c>
      <c r="F1270" s="6" t="s">
        <v>2079</v>
      </c>
      <c r="G1270" s="6" t="s">
        <v>2070</v>
      </c>
      <c r="H1270" s="5"/>
      <c r="I1270" s="6" t="s">
        <v>2071</v>
      </c>
    </row>
    <row r="1271" customFormat="false" ht="15" hidden="false" customHeight="false" outlineLevel="0" collapsed="false">
      <c r="A1271" s="5" t="s">
        <v>2217</v>
      </c>
      <c r="B1271" s="5" t="s">
        <v>1005</v>
      </c>
      <c r="C1271" s="5" t="s">
        <v>1095</v>
      </c>
      <c r="D1271" s="5" t="s">
        <v>1095</v>
      </c>
      <c r="E1271" s="6" t="s">
        <v>2080</v>
      </c>
      <c r="F1271" s="6" t="s">
        <v>2081</v>
      </c>
      <c r="G1271" s="6" t="s">
        <v>2070</v>
      </c>
      <c r="H1271" s="5"/>
      <c r="I1271" s="6" t="s">
        <v>2071</v>
      </c>
    </row>
    <row r="1272" customFormat="false" ht="15" hidden="false" customHeight="false" outlineLevel="0" collapsed="false">
      <c r="A1272" s="5" t="s">
        <v>2217</v>
      </c>
      <c r="B1272" s="5" t="s">
        <v>1005</v>
      </c>
      <c r="C1272" s="5" t="s">
        <v>1095</v>
      </c>
      <c r="D1272" s="5" t="s">
        <v>1095</v>
      </c>
      <c r="E1272" s="6" t="s">
        <v>2082</v>
      </c>
      <c r="F1272" s="6" t="s">
        <v>2083</v>
      </c>
      <c r="G1272" s="6" t="s">
        <v>2070</v>
      </c>
      <c r="H1272" s="5"/>
      <c r="I1272" s="6" t="s">
        <v>2071</v>
      </c>
    </row>
    <row r="1273" customFormat="false" ht="15" hidden="false" customHeight="false" outlineLevel="0" collapsed="false">
      <c r="A1273" s="5" t="s">
        <v>2217</v>
      </c>
      <c r="B1273" s="5" t="s">
        <v>1005</v>
      </c>
      <c r="C1273" s="5" t="s">
        <v>1095</v>
      </c>
      <c r="D1273" s="5" t="s">
        <v>1095</v>
      </c>
      <c r="E1273" s="6" t="s">
        <v>2084</v>
      </c>
      <c r="F1273" s="6" t="s">
        <v>2073</v>
      </c>
      <c r="G1273" s="6" t="s">
        <v>2070</v>
      </c>
      <c r="H1273" s="5"/>
      <c r="I1273" s="6" t="s">
        <v>2071</v>
      </c>
    </row>
    <row r="1274" customFormat="false" ht="15" hidden="false" customHeight="false" outlineLevel="0" collapsed="false">
      <c r="A1274" s="5" t="s">
        <v>2217</v>
      </c>
      <c r="B1274" s="5" t="s">
        <v>1005</v>
      </c>
      <c r="C1274" s="5" t="s">
        <v>1095</v>
      </c>
      <c r="D1274" s="5" t="s">
        <v>1095</v>
      </c>
      <c r="E1274" s="6" t="s">
        <v>2085</v>
      </c>
      <c r="F1274" s="6" t="s">
        <v>2086</v>
      </c>
      <c r="G1274" s="6" t="s">
        <v>2070</v>
      </c>
      <c r="H1274" s="5"/>
      <c r="I1274" s="6" t="s">
        <v>2071</v>
      </c>
    </row>
    <row r="1275" customFormat="false" ht="23.85" hidden="false" customHeight="false" outlineLevel="0" collapsed="false">
      <c r="A1275" s="5" t="s">
        <v>2217</v>
      </c>
      <c r="B1275" s="5" t="s">
        <v>1005</v>
      </c>
      <c r="C1275" s="5" t="s">
        <v>1095</v>
      </c>
      <c r="D1275" s="5" t="s">
        <v>1095</v>
      </c>
      <c r="E1275" s="6" t="s">
        <v>2087</v>
      </c>
      <c r="F1275" s="6" t="s">
        <v>2081</v>
      </c>
      <c r="G1275" s="6" t="s">
        <v>2070</v>
      </c>
      <c r="H1275" s="5"/>
      <c r="I1275" s="6" t="s">
        <v>2071</v>
      </c>
    </row>
    <row r="1276" customFormat="false" ht="15" hidden="false" customHeight="false" outlineLevel="0" collapsed="false">
      <c r="A1276" s="5" t="s">
        <v>2217</v>
      </c>
      <c r="B1276" s="5" t="s">
        <v>1005</v>
      </c>
      <c r="C1276" s="5" t="s">
        <v>1095</v>
      </c>
      <c r="D1276" s="5" t="s">
        <v>1095</v>
      </c>
      <c r="E1276" s="6" t="s">
        <v>2088</v>
      </c>
      <c r="F1276" s="6" t="s">
        <v>2081</v>
      </c>
      <c r="G1276" s="6" t="s">
        <v>2070</v>
      </c>
      <c r="H1276" s="5"/>
      <c r="I1276" s="6" t="s">
        <v>2071</v>
      </c>
    </row>
    <row r="1277" customFormat="false" ht="15" hidden="false" customHeight="false" outlineLevel="0" collapsed="false">
      <c r="A1277" s="5" t="s">
        <v>2217</v>
      </c>
      <c r="B1277" s="5" t="s">
        <v>1005</v>
      </c>
      <c r="C1277" s="5" t="s">
        <v>1095</v>
      </c>
      <c r="D1277" s="5" t="s">
        <v>1095</v>
      </c>
      <c r="E1277" s="6" t="s">
        <v>2089</v>
      </c>
      <c r="F1277" s="6" t="s">
        <v>2081</v>
      </c>
      <c r="G1277" s="6" t="s">
        <v>2070</v>
      </c>
      <c r="H1277" s="5"/>
      <c r="I1277" s="6" t="s">
        <v>2071</v>
      </c>
    </row>
    <row r="1278" customFormat="false" ht="15" hidden="false" customHeight="false" outlineLevel="0" collapsed="false">
      <c r="A1278" s="5" t="s">
        <v>2217</v>
      </c>
      <c r="B1278" s="5" t="s">
        <v>1005</v>
      </c>
      <c r="C1278" s="5" t="s">
        <v>1095</v>
      </c>
      <c r="D1278" s="5" t="s">
        <v>1095</v>
      </c>
      <c r="E1278" s="6" t="s">
        <v>2090</v>
      </c>
      <c r="F1278" s="6" t="s">
        <v>2081</v>
      </c>
      <c r="G1278" s="6" t="s">
        <v>2070</v>
      </c>
      <c r="H1278" s="5"/>
      <c r="I1278" s="6" t="s">
        <v>2071</v>
      </c>
    </row>
    <row r="1279" customFormat="false" ht="15" hidden="false" customHeight="false" outlineLevel="0" collapsed="false">
      <c r="A1279" s="5" t="s">
        <v>2217</v>
      </c>
      <c r="B1279" s="5" t="s">
        <v>1005</v>
      </c>
      <c r="C1279" s="5" t="s">
        <v>1095</v>
      </c>
      <c r="D1279" s="5" t="s">
        <v>1095</v>
      </c>
      <c r="E1279" s="6" t="s">
        <v>2091</v>
      </c>
      <c r="F1279" s="6" t="s">
        <v>2083</v>
      </c>
      <c r="G1279" s="6" t="s">
        <v>2070</v>
      </c>
      <c r="H1279" s="5"/>
      <c r="I1279" s="6" t="s">
        <v>2093</v>
      </c>
    </row>
    <row r="1280" customFormat="false" ht="15" hidden="false" customHeight="false" outlineLevel="0" collapsed="false">
      <c r="A1280" s="5" t="s">
        <v>2217</v>
      </c>
      <c r="B1280" s="5" t="s">
        <v>1005</v>
      </c>
      <c r="C1280" s="5" t="s">
        <v>1095</v>
      </c>
      <c r="D1280" s="5" t="s">
        <v>1095</v>
      </c>
      <c r="E1280" s="6" t="s">
        <v>2094</v>
      </c>
      <c r="F1280" s="6" t="s">
        <v>2069</v>
      </c>
      <c r="G1280" s="6" t="s">
        <v>2179</v>
      </c>
      <c r="H1280" s="5"/>
      <c r="I1280" s="6" t="s">
        <v>2093</v>
      </c>
    </row>
    <row r="1281" customFormat="false" ht="15" hidden="false" customHeight="false" outlineLevel="0" collapsed="false">
      <c r="A1281" s="5" t="s">
        <v>2217</v>
      </c>
      <c r="B1281" s="5" t="s">
        <v>1005</v>
      </c>
      <c r="C1281" s="5" t="s">
        <v>1095</v>
      </c>
      <c r="D1281" s="5" t="s">
        <v>1095</v>
      </c>
      <c r="E1281" s="6" t="s">
        <v>2096</v>
      </c>
      <c r="F1281" s="6" t="s">
        <v>2073</v>
      </c>
      <c r="G1281" s="6" t="s">
        <v>2070</v>
      </c>
      <c r="H1281" s="5"/>
      <c r="I1281" s="6" t="s">
        <v>2093</v>
      </c>
    </row>
    <row r="1282" customFormat="false" ht="15" hidden="false" customHeight="false" outlineLevel="0" collapsed="false">
      <c r="A1282" s="5" t="s">
        <v>2217</v>
      </c>
      <c r="B1282" s="5" t="s">
        <v>1005</v>
      </c>
      <c r="C1282" s="5" t="s">
        <v>1095</v>
      </c>
      <c r="D1282" s="5" t="s">
        <v>1095</v>
      </c>
      <c r="E1282" s="6" t="s">
        <v>2098</v>
      </c>
      <c r="F1282" s="6" t="s">
        <v>2075</v>
      </c>
      <c r="G1282" s="6" t="s">
        <v>2222</v>
      </c>
      <c r="H1282" s="5"/>
      <c r="I1282" s="6" t="s">
        <v>2093</v>
      </c>
    </row>
    <row r="1283" customFormat="false" ht="15" hidden="false" customHeight="false" outlineLevel="0" collapsed="false">
      <c r="A1283" s="5" t="s">
        <v>2217</v>
      </c>
      <c r="B1283" s="5" t="s">
        <v>1005</v>
      </c>
      <c r="C1283" s="5" t="s">
        <v>1095</v>
      </c>
      <c r="D1283" s="5" t="s">
        <v>1095</v>
      </c>
      <c r="E1283" s="6" t="s">
        <v>2100</v>
      </c>
      <c r="F1283" s="6" t="s">
        <v>2101</v>
      </c>
      <c r="G1283" s="6" t="s">
        <v>2223</v>
      </c>
      <c r="H1283" s="5"/>
      <c r="I1283" s="6" t="s">
        <v>2103</v>
      </c>
    </row>
    <row r="1284" customFormat="false" ht="23.85" hidden="false" customHeight="false" outlineLevel="0" collapsed="false">
      <c r="A1284" s="5" t="s">
        <v>2217</v>
      </c>
      <c r="B1284" s="5" t="s">
        <v>1005</v>
      </c>
      <c r="C1284" s="5" t="s">
        <v>1095</v>
      </c>
      <c r="D1284" s="5" t="s">
        <v>1095</v>
      </c>
      <c r="E1284" s="6" t="s">
        <v>2104</v>
      </c>
      <c r="F1284" s="6" t="s">
        <v>2105</v>
      </c>
      <c r="G1284" s="6" t="s">
        <v>2224</v>
      </c>
      <c r="H1284" s="5"/>
      <c r="I1284" s="6" t="s">
        <v>2103</v>
      </c>
    </row>
    <row r="1285" customFormat="false" ht="15" hidden="false" customHeight="false" outlineLevel="0" collapsed="false">
      <c r="A1285" s="5" t="s">
        <v>2217</v>
      </c>
      <c r="B1285" s="5" t="s">
        <v>1005</v>
      </c>
      <c r="C1285" s="5" t="s">
        <v>1095</v>
      </c>
      <c r="D1285" s="5" t="s">
        <v>1095</v>
      </c>
      <c r="E1285" s="6" t="s">
        <v>2107</v>
      </c>
      <c r="F1285" s="6" t="s">
        <v>2108</v>
      </c>
      <c r="G1285" s="6" t="s">
        <v>1893</v>
      </c>
      <c r="H1285" s="5"/>
      <c r="I1285" s="6" t="s">
        <v>2103</v>
      </c>
    </row>
    <row r="1286" customFormat="false" ht="15" hidden="false" customHeight="false" outlineLevel="0" collapsed="false">
      <c r="A1286" s="5" t="s">
        <v>2217</v>
      </c>
      <c r="B1286" s="5" t="s">
        <v>1005</v>
      </c>
      <c r="C1286" s="5" t="s">
        <v>1095</v>
      </c>
      <c r="D1286" s="5" t="s">
        <v>1095</v>
      </c>
      <c r="E1286" s="6" t="s">
        <v>2110</v>
      </c>
      <c r="F1286" s="6" t="s">
        <v>2111</v>
      </c>
      <c r="G1286" s="6" t="s">
        <v>2112</v>
      </c>
      <c r="H1286" s="5"/>
      <c r="I1286" s="6" t="s">
        <v>2103</v>
      </c>
    </row>
    <row r="1287" customFormat="false" ht="15" hidden="false" customHeight="false" outlineLevel="0" collapsed="false">
      <c r="A1287" s="5" t="s">
        <v>2217</v>
      </c>
      <c r="B1287" s="5" t="s">
        <v>1005</v>
      </c>
      <c r="C1287" s="5" t="s">
        <v>1095</v>
      </c>
      <c r="D1287" s="5" t="s">
        <v>1095</v>
      </c>
      <c r="E1287" s="6" t="s">
        <v>2113</v>
      </c>
      <c r="F1287" s="6" t="s">
        <v>2111</v>
      </c>
      <c r="G1287" s="6" t="s">
        <v>2112</v>
      </c>
      <c r="H1287" s="5"/>
      <c r="I1287" s="6" t="s">
        <v>2103</v>
      </c>
    </row>
    <row r="1288" customFormat="false" ht="15" hidden="false" customHeight="false" outlineLevel="0" collapsed="false">
      <c r="A1288" s="5" t="s">
        <v>2217</v>
      </c>
      <c r="B1288" s="5" t="s">
        <v>1005</v>
      </c>
      <c r="C1288" s="5" t="s">
        <v>1095</v>
      </c>
      <c r="D1288" s="5" t="s">
        <v>1095</v>
      </c>
      <c r="E1288" s="6" t="s">
        <v>2114</v>
      </c>
      <c r="F1288" s="6" t="s">
        <v>2115</v>
      </c>
      <c r="G1288" s="6" t="s">
        <v>2045</v>
      </c>
      <c r="H1288" s="5"/>
      <c r="I1288" s="6" t="s">
        <v>2116</v>
      </c>
    </row>
    <row r="1289" customFormat="false" ht="15" hidden="false" customHeight="false" outlineLevel="0" collapsed="false">
      <c r="A1289" s="5" t="s">
        <v>2217</v>
      </c>
      <c r="B1289" s="5" t="s">
        <v>1005</v>
      </c>
      <c r="C1289" s="5" t="s">
        <v>1095</v>
      </c>
      <c r="D1289" s="5" t="s">
        <v>1095</v>
      </c>
      <c r="E1289" s="6" t="s">
        <v>2117</v>
      </c>
      <c r="F1289" s="6" t="s">
        <v>2115</v>
      </c>
      <c r="G1289" s="6" t="s">
        <v>2045</v>
      </c>
      <c r="H1289" s="5"/>
      <c r="I1289" s="6" t="s">
        <v>2116</v>
      </c>
    </row>
    <row r="1290" customFormat="false" ht="15" hidden="false" customHeight="false" outlineLevel="0" collapsed="false">
      <c r="A1290" s="5" t="s">
        <v>2217</v>
      </c>
      <c r="B1290" s="5" t="s">
        <v>1005</v>
      </c>
      <c r="C1290" s="5" t="s">
        <v>1095</v>
      </c>
      <c r="D1290" s="5" t="s">
        <v>1095</v>
      </c>
      <c r="E1290" s="6" t="s">
        <v>2118</v>
      </c>
      <c r="F1290" s="6" t="s">
        <v>2115</v>
      </c>
      <c r="G1290" s="6" t="s">
        <v>2045</v>
      </c>
      <c r="H1290" s="5"/>
      <c r="I1290" s="6" t="s">
        <v>2116</v>
      </c>
    </row>
    <row r="1291" customFormat="false" ht="35.05" hidden="false" customHeight="false" outlineLevel="0" collapsed="false">
      <c r="A1291" s="5" t="s">
        <v>2225</v>
      </c>
      <c r="B1291" s="5" t="s">
        <v>1005</v>
      </c>
      <c r="C1291" s="5" t="s">
        <v>1101</v>
      </c>
      <c r="D1291" s="5" t="s">
        <v>1101</v>
      </c>
      <c r="E1291" s="6" t="s">
        <v>2043</v>
      </c>
      <c r="F1291" s="6" t="s">
        <v>2044</v>
      </c>
      <c r="G1291" s="6" t="s">
        <v>2045</v>
      </c>
      <c r="H1291" s="5"/>
      <c r="I1291" s="6" t="s">
        <v>2046</v>
      </c>
    </row>
    <row r="1292" customFormat="false" ht="23.85" hidden="false" customHeight="false" outlineLevel="0" collapsed="false">
      <c r="A1292" s="5" t="s">
        <v>2225</v>
      </c>
      <c r="B1292" s="5" t="s">
        <v>1005</v>
      </c>
      <c r="C1292" s="5" t="s">
        <v>1101</v>
      </c>
      <c r="D1292" s="5" t="s">
        <v>1101</v>
      </c>
      <c r="E1292" s="6" t="s">
        <v>2047</v>
      </c>
      <c r="F1292" s="6" t="s">
        <v>2048</v>
      </c>
      <c r="G1292" s="6" t="s">
        <v>2045</v>
      </c>
      <c r="H1292" s="5"/>
      <c r="I1292" s="6" t="s">
        <v>2049</v>
      </c>
    </row>
    <row r="1293" customFormat="false" ht="15" hidden="false" customHeight="false" outlineLevel="0" collapsed="false">
      <c r="A1293" s="5" t="s">
        <v>2225</v>
      </c>
      <c r="B1293" s="5" t="s">
        <v>1005</v>
      </c>
      <c r="C1293" s="5" t="s">
        <v>1101</v>
      </c>
      <c r="D1293" s="5" t="s">
        <v>1101</v>
      </c>
      <c r="E1293" s="6" t="s">
        <v>2050</v>
      </c>
      <c r="F1293" s="6" t="s">
        <v>2051</v>
      </c>
      <c r="G1293" s="6" t="s">
        <v>2226</v>
      </c>
      <c r="H1293" s="5"/>
      <c r="I1293" s="6" t="s">
        <v>2053</v>
      </c>
    </row>
    <row r="1294" customFormat="false" ht="15" hidden="false" customHeight="false" outlineLevel="0" collapsed="false">
      <c r="A1294" s="5" t="s">
        <v>2225</v>
      </c>
      <c r="B1294" s="5" t="s">
        <v>1005</v>
      </c>
      <c r="C1294" s="5" t="s">
        <v>1101</v>
      </c>
      <c r="D1294" s="5" t="s">
        <v>1101</v>
      </c>
      <c r="E1294" s="6" t="s">
        <v>2054</v>
      </c>
      <c r="F1294" s="6" t="s">
        <v>2055</v>
      </c>
      <c r="G1294" s="6" t="s">
        <v>2045</v>
      </c>
      <c r="H1294" s="5"/>
      <c r="I1294" s="6" t="s">
        <v>2056</v>
      </c>
    </row>
    <row r="1295" customFormat="false" ht="15" hidden="false" customHeight="false" outlineLevel="0" collapsed="false">
      <c r="A1295" s="5" t="s">
        <v>2225</v>
      </c>
      <c r="B1295" s="5" t="s">
        <v>1005</v>
      </c>
      <c r="C1295" s="5" t="s">
        <v>1101</v>
      </c>
      <c r="D1295" s="5" t="s">
        <v>1101</v>
      </c>
      <c r="E1295" s="6" t="s">
        <v>2057</v>
      </c>
      <c r="F1295" s="6" t="s">
        <v>2201</v>
      </c>
      <c r="G1295" s="6" t="s">
        <v>2227</v>
      </c>
      <c r="H1295" s="5"/>
      <c r="I1295" s="6" t="s">
        <v>2049</v>
      </c>
    </row>
    <row r="1296" customFormat="false" ht="15" hidden="false" customHeight="false" outlineLevel="0" collapsed="false">
      <c r="A1296" s="5" t="s">
        <v>2225</v>
      </c>
      <c r="B1296" s="5" t="s">
        <v>1005</v>
      </c>
      <c r="C1296" s="5" t="s">
        <v>1101</v>
      </c>
      <c r="D1296" s="5" t="s">
        <v>1101</v>
      </c>
      <c r="E1296" s="6" t="s">
        <v>2060</v>
      </c>
      <c r="F1296" s="6" t="s">
        <v>2061</v>
      </c>
      <c r="G1296" s="6" t="s">
        <v>2228</v>
      </c>
      <c r="H1296" s="5"/>
      <c r="I1296" s="6" t="s">
        <v>2049</v>
      </c>
    </row>
    <row r="1297" customFormat="false" ht="15" hidden="false" customHeight="false" outlineLevel="0" collapsed="false">
      <c r="A1297" s="5" t="s">
        <v>2225</v>
      </c>
      <c r="B1297" s="5" t="s">
        <v>1005</v>
      </c>
      <c r="C1297" s="5" t="s">
        <v>1101</v>
      </c>
      <c r="D1297" s="5" t="s">
        <v>1101</v>
      </c>
      <c r="E1297" s="6" t="s">
        <v>2063</v>
      </c>
      <c r="F1297" s="6" t="s">
        <v>2061</v>
      </c>
      <c r="G1297" s="6" t="s">
        <v>2151</v>
      </c>
      <c r="H1297" s="5"/>
      <c r="I1297" s="6" t="s">
        <v>2049</v>
      </c>
    </row>
    <row r="1298" customFormat="false" ht="15" hidden="false" customHeight="false" outlineLevel="0" collapsed="false">
      <c r="A1298" s="5" t="s">
        <v>2225</v>
      </c>
      <c r="B1298" s="5" t="s">
        <v>1005</v>
      </c>
      <c r="C1298" s="5" t="s">
        <v>1101</v>
      </c>
      <c r="D1298" s="5" t="s">
        <v>1101</v>
      </c>
      <c r="E1298" s="6" t="s">
        <v>2065</v>
      </c>
      <c r="F1298" s="6" t="s">
        <v>2066</v>
      </c>
      <c r="G1298" s="6" t="s">
        <v>1765</v>
      </c>
      <c r="H1298" s="5"/>
      <c r="I1298" s="6" t="s">
        <v>2067</v>
      </c>
    </row>
    <row r="1299" customFormat="false" ht="15" hidden="false" customHeight="false" outlineLevel="0" collapsed="false">
      <c r="A1299" s="5" t="s">
        <v>2225</v>
      </c>
      <c r="B1299" s="5" t="s">
        <v>1005</v>
      </c>
      <c r="C1299" s="5" t="s">
        <v>1101</v>
      </c>
      <c r="D1299" s="5" t="s">
        <v>1101</v>
      </c>
      <c r="E1299" s="6" t="s">
        <v>2068</v>
      </c>
      <c r="F1299" s="6" t="s">
        <v>2069</v>
      </c>
      <c r="G1299" s="6" t="s">
        <v>2070</v>
      </c>
      <c r="H1299" s="5"/>
      <c r="I1299" s="6" t="s">
        <v>2071</v>
      </c>
    </row>
    <row r="1300" customFormat="false" ht="15" hidden="false" customHeight="false" outlineLevel="0" collapsed="false">
      <c r="A1300" s="5" t="s">
        <v>2225</v>
      </c>
      <c r="B1300" s="5" t="s">
        <v>1005</v>
      </c>
      <c r="C1300" s="5" t="s">
        <v>1101</v>
      </c>
      <c r="D1300" s="5" t="s">
        <v>1101</v>
      </c>
      <c r="E1300" s="6" t="s">
        <v>2072</v>
      </c>
      <c r="F1300" s="6" t="s">
        <v>2073</v>
      </c>
      <c r="G1300" s="6" t="s">
        <v>2070</v>
      </c>
      <c r="H1300" s="5"/>
      <c r="I1300" s="6" t="s">
        <v>2071</v>
      </c>
    </row>
    <row r="1301" customFormat="false" ht="15" hidden="false" customHeight="false" outlineLevel="0" collapsed="false">
      <c r="A1301" s="5" t="s">
        <v>2225</v>
      </c>
      <c r="B1301" s="5" t="s">
        <v>1005</v>
      </c>
      <c r="C1301" s="5" t="s">
        <v>1101</v>
      </c>
      <c r="D1301" s="5" t="s">
        <v>1101</v>
      </c>
      <c r="E1301" s="6" t="s">
        <v>2074</v>
      </c>
      <c r="F1301" s="6" t="s">
        <v>2075</v>
      </c>
      <c r="G1301" s="6" t="s">
        <v>2070</v>
      </c>
      <c r="H1301" s="5"/>
      <c r="I1301" s="6" t="s">
        <v>2071</v>
      </c>
    </row>
    <row r="1302" customFormat="false" ht="23.85" hidden="false" customHeight="false" outlineLevel="0" collapsed="false">
      <c r="A1302" s="5" t="s">
        <v>2225</v>
      </c>
      <c r="B1302" s="5" t="s">
        <v>1005</v>
      </c>
      <c r="C1302" s="5" t="s">
        <v>1101</v>
      </c>
      <c r="D1302" s="5" t="s">
        <v>1101</v>
      </c>
      <c r="E1302" s="6" t="s">
        <v>2076</v>
      </c>
      <c r="F1302" s="6" t="s">
        <v>2077</v>
      </c>
      <c r="G1302" s="6" t="s">
        <v>2070</v>
      </c>
      <c r="H1302" s="5"/>
      <c r="I1302" s="6" t="s">
        <v>2071</v>
      </c>
    </row>
    <row r="1303" customFormat="false" ht="15" hidden="false" customHeight="false" outlineLevel="0" collapsed="false">
      <c r="A1303" s="5" t="s">
        <v>2225</v>
      </c>
      <c r="B1303" s="5" t="s">
        <v>1005</v>
      </c>
      <c r="C1303" s="5" t="s">
        <v>1101</v>
      </c>
      <c r="D1303" s="5" t="s">
        <v>1101</v>
      </c>
      <c r="E1303" s="6" t="s">
        <v>2078</v>
      </c>
      <c r="F1303" s="6" t="s">
        <v>2079</v>
      </c>
      <c r="G1303" s="6" t="s">
        <v>2070</v>
      </c>
      <c r="H1303" s="5"/>
      <c r="I1303" s="6" t="s">
        <v>2071</v>
      </c>
    </row>
    <row r="1304" customFormat="false" ht="15" hidden="false" customHeight="false" outlineLevel="0" collapsed="false">
      <c r="A1304" s="5" t="s">
        <v>2225</v>
      </c>
      <c r="B1304" s="5" t="s">
        <v>1005</v>
      </c>
      <c r="C1304" s="5" t="s">
        <v>1101</v>
      </c>
      <c r="D1304" s="5" t="s">
        <v>1101</v>
      </c>
      <c r="E1304" s="6" t="s">
        <v>2080</v>
      </c>
      <c r="F1304" s="6" t="s">
        <v>2081</v>
      </c>
      <c r="G1304" s="6" t="s">
        <v>2070</v>
      </c>
      <c r="H1304" s="5"/>
      <c r="I1304" s="6" t="s">
        <v>2071</v>
      </c>
    </row>
    <row r="1305" customFormat="false" ht="15" hidden="false" customHeight="false" outlineLevel="0" collapsed="false">
      <c r="A1305" s="5" t="s">
        <v>2225</v>
      </c>
      <c r="B1305" s="5" t="s">
        <v>1005</v>
      </c>
      <c r="C1305" s="5" t="s">
        <v>1101</v>
      </c>
      <c r="D1305" s="5" t="s">
        <v>1101</v>
      </c>
      <c r="E1305" s="6" t="s">
        <v>2082</v>
      </c>
      <c r="F1305" s="6" t="s">
        <v>2083</v>
      </c>
      <c r="G1305" s="6" t="s">
        <v>2070</v>
      </c>
      <c r="H1305" s="5"/>
      <c r="I1305" s="6" t="s">
        <v>2071</v>
      </c>
    </row>
    <row r="1306" customFormat="false" ht="15" hidden="false" customHeight="false" outlineLevel="0" collapsed="false">
      <c r="A1306" s="5" t="s">
        <v>2225</v>
      </c>
      <c r="B1306" s="5" t="s">
        <v>1005</v>
      </c>
      <c r="C1306" s="5" t="s">
        <v>1101</v>
      </c>
      <c r="D1306" s="5" t="s">
        <v>1101</v>
      </c>
      <c r="E1306" s="6" t="s">
        <v>2084</v>
      </c>
      <c r="F1306" s="6" t="s">
        <v>2073</v>
      </c>
      <c r="G1306" s="6" t="s">
        <v>2070</v>
      </c>
      <c r="H1306" s="5"/>
      <c r="I1306" s="6" t="s">
        <v>2071</v>
      </c>
    </row>
    <row r="1307" customFormat="false" ht="15" hidden="false" customHeight="false" outlineLevel="0" collapsed="false">
      <c r="A1307" s="5" t="s">
        <v>2225</v>
      </c>
      <c r="B1307" s="5" t="s">
        <v>1005</v>
      </c>
      <c r="C1307" s="5" t="s">
        <v>1101</v>
      </c>
      <c r="D1307" s="5" t="s">
        <v>1101</v>
      </c>
      <c r="E1307" s="6" t="s">
        <v>2085</v>
      </c>
      <c r="F1307" s="6" t="s">
        <v>2086</v>
      </c>
      <c r="G1307" s="6" t="s">
        <v>2070</v>
      </c>
      <c r="H1307" s="5"/>
      <c r="I1307" s="6" t="s">
        <v>2071</v>
      </c>
    </row>
    <row r="1308" customFormat="false" ht="23.85" hidden="false" customHeight="false" outlineLevel="0" collapsed="false">
      <c r="A1308" s="5" t="s">
        <v>2225</v>
      </c>
      <c r="B1308" s="5" t="s">
        <v>1005</v>
      </c>
      <c r="C1308" s="5" t="s">
        <v>1101</v>
      </c>
      <c r="D1308" s="5" t="s">
        <v>1101</v>
      </c>
      <c r="E1308" s="6" t="s">
        <v>2087</v>
      </c>
      <c r="F1308" s="6" t="s">
        <v>2081</v>
      </c>
      <c r="G1308" s="6" t="s">
        <v>2070</v>
      </c>
      <c r="H1308" s="5"/>
      <c r="I1308" s="6" t="s">
        <v>2071</v>
      </c>
    </row>
    <row r="1309" customFormat="false" ht="15" hidden="false" customHeight="false" outlineLevel="0" collapsed="false">
      <c r="A1309" s="5" t="s">
        <v>2225</v>
      </c>
      <c r="B1309" s="5" t="s">
        <v>1005</v>
      </c>
      <c r="C1309" s="5" t="s">
        <v>1101</v>
      </c>
      <c r="D1309" s="5" t="s">
        <v>1101</v>
      </c>
      <c r="E1309" s="6" t="s">
        <v>2088</v>
      </c>
      <c r="F1309" s="6" t="s">
        <v>2081</v>
      </c>
      <c r="G1309" s="6" t="s">
        <v>2070</v>
      </c>
      <c r="H1309" s="5"/>
      <c r="I1309" s="6" t="s">
        <v>2071</v>
      </c>
    </row>
    <row r="1310" customFormat="false" ht="15" hidden="false" customHeight="false" outlineLevel="0" collapsed="false">
      <c r="A1310" s="5" t="s">
        <v>2225</v>
      </c>
      <c r="B1310" s="5" t="s">
        <v>1005</v>
      </c>
      <c r="C1310" s="5" t="s">
        <v>1101</v>
      </c>
      <c r="D1310" s="5" t="s">
        <v>1101</v>
      </c>
      <c r="E1310" s="6" t="s">
        <v>2089</v>
      </c>
      <c r="F1310" s="6" t="s">
        <v>2081</v>
      </c>
      <c r="G1310" s="6" t="s">
        <v>2070</v>
      </c>
      <c r="H1310" s="5"/>
      <c r="I1310" s="6" t="s">
        <v>2071</v>
      </c>
    </row>
    <row r="1311" customFormat="false" ht="15" hidden="false" customHeight="false" outlineLevel="0" collapsed="false">
      <c r="A1311" s="5" t="s">
        <v>2225</v>
      </c>
      <c r="B1311" s="5" t="s">
        <v>1005</v>
      </c>
      <c r="C1311" s="5" t="s">
        <v>1101</v>
      </c>
      <c r="D1311" s="5" t="s">
        <v>1101</v>
      </c>
      <c r="E1311" s="6" t="s">
        <v>2090</v>
      </c>
      <c r="F1311" s="6" t="s">
        <v>2081</v>
      </c>
      <c r="G1311" s="6" t="s">
        <v>2070</v>
      </c>
      <c r="H1311" s="5"/>
      <c r="I1311" s="6" t="s">
        <v>2071</v>
      </c>
    </row>
    <row r="1312" customFormat="false" ht="15" hidden="false" customHeight="false" outlineLevel="0" collapsed="false">
      <c r="A1312" s="5" t="s">
        <v>2225</v>
      </c>
      <c r="B1312" s="5" t="s">
        <v>1005</v>
      </c>
      <c r="C1312" s="5" t="s">
        <v>1101</v>
      </c>
      <c r="D1312" s="5" t="s">
        <v>1101</v>
      </c>
      <c r="E1312" s="6" t="s">
        <v>2091</v>
      </c>
      <c r="F1312" s="6" t="s">
        <v>2083</v>
      </c>
      <c r="G1312" s="6" t="s">
        <v>2070</v>
      </c>
      <c r="H1312" s="5"/>
      <c r="I1312" s="6" t="s">
        <v>2093</v>
      </c>
    </row>
    <row r="1313" customFormat="false" ht="15" hidden="false" customHeight="false" outlineLevel="0" collapsed="false">
      <c r="A1313" s="5" t="s">
        <v>2225</v>
      </c>
      <c r="B1313" s="5" t="s">
        <v>1005</v>
      </c>
      <c r="C1313" s="5" t="s">
        <v>1101</v>
      </c>
      <c r="D1313" s="5" t="s">
        <v>1101</v>
      </c>
      <c r="E1313" s="6" t="s">
        <v>2094</v>
      </c>
      <c r="F1313" s="6" t="s">
        <v>2069</v>
      </c>
      <c r="G1313" s="6" t="s">
        <v>2229</v>
      </c>
      <c r="H1313" s="5"/>
      <c r="I1313" s="6" t="s">
        <v>2093</v>
      </c>
    </row>
    <row r="1314" customFormat="false" ht="15" hidden="false" customHeight="false" outlineLevel="0" collapsed="false">
      <c r="A1314" s="5" t="s">
        <v>2225</v>
      </c>
      <c r="B1314" s="5" t="s">
        <v>1005</v>
      </c>
      <c r="C1314" s="5" t="s">
        <v>1101</v>
      </c>
      <c r="D1314" s="5" t="s">
        <v>1101</v>
      </c>
      <c r="E1314" s="6" t="s">
        <v>2096</v>
      </c>
      <c r="F1314" s="6" t="s">
        <v>2073</v>
      </c>
      <c r="G1314" s="6" t="s">
        <v>2070</v>
      </c>
      <c r="H1314" s="5"/>
      <c r="I1314" s="6" t="s">
        <v>2093</v>
      </c>
    </row>
    <row r="1315" customFormat="false" ht="15" hidden="false" customHeight="false" outlineLevel="0" collapsed="false">
      <c r="A1315" s="5" t="s">
        <v>2225</v>
      </c>
      <c r="B1315" s="5" t="s">
        <v>1005</v>
      </c>
      <c r="C1315" s="5" t="s">
        <v>1101</v>
      </c>
      <c r="D1315" s="5" t="s">
        <v>1101</v>
      </c>
      <c r="E1315" s="6" t="s">
        <v>2098</v>
      </c>
      <c r="F1315" s="6" t="s">
        <v>2075</v>
      </c>
      <c r="G1315" s="6" t="s">
        <v>2070</v>
      </c>
      <c r="H1315" s="5"/>
      <c r="I1315" s="6" t="s">
        <v>2093</v>
      </c>
    </row>
    <row r="1316" customFormat="false" ht="15" hidden="false" customHeight="false" outlineLevel="0" collapsed="false">
      <c r="A1316" s="5" t="s">
        <v>2225</v>
      </c>
      <c r="B1316" s="5" t="s">
        <v>1005</v>
      </c>
      <c r="C1316" s="5" t="s">
        <v>1101</v>
      </c>
      <c r="D1316" s="5" t="s">
        <v>1101</v>
      </c>
      <c r="E1316" s="6" t="s">
        <v>2100</v>
      </c>
      <c r="F1316" s="6" t="s">
        <v>2101</v>
      </c>
      <c r="G1316" s="6" t="s">
        <v>2230</v>
      </c>
      <c r="H1316" s="5"/>
      <c r="I1316" s="6" t="s">
        <v>2103</v>
      </c>
    </row>
    <row r="1317" customFormat="false" ht="23.85" hidden="false" customHeight="false" outlineLevel="0" collapsed="false">
      <c r="A1317" s="5" t="s">
        <v>2225</v>
      </c>
      <c r="B1317" s="5" t="s">
        <v>1005</v>
      </c>
      <c r="C1317" s="5" t="s">
        <v>1101</v>
      </c>
      <c r="D1317" s="5" t="s">
        <v>1101</v>
      </c>
      <c r="E1317" s="6" t="s">
        <v>2104</v>
      </c>
      <c r="F1317" s="6" t="s">
        <v>2105</v>
      </c>
      <c r="G1317" s="6" t="s">
        <v>2231</v>
      </c>
      <c r="H1317" s="5"/>
      <c r="I1317" s="6" t="s">
        <v>2103</v>
      </c>
    </row>
    <row r="1318" customFormat="false" ht="15" hidden="false" customHeight="false" outlineLevel="0" collapsed="false">
      <c r="A1318" s="5" t="s">
        <v>2225</v>
      </c>
      <c r="B1318" s="5" t="s">
        <v>1005</v>
      </c>
      <c r="C1318" s="5" t="s">
        <v>1101</v>
      </c>
      <c r="D1318" s="5" t="s">
        <v>1101</v>
      </c>
      <c r="E1318" s="6" t="s">
        <v>2107</v>
      </c>
      <c r="F1318" s="6" t="s">
        <v>2108</v>
      </c>
      <c r="G1318" s="6" t="s">
        <v>2108</v>
      </c>
      <c r="H1318" s="5"/>
      <c r="I1318" s="6" t="s">
        <v>2103</v>
      </c>
    </row>
    <row r="1319" customFormat="false" ht="15" hidden="false" customHeight="false" outlineLevel="0" collapsed="false">
      <c r="A1319" s="5" t="s">
        <v>2225</v>
      </c>
      <c r="B1319" s="5" t="s">
        <v>1005</v>
      </c>
      <c r="C1319" s="5" t="s">
        <v>1101</v>
      </c>
      <c r="D1319" s="5" t="s">
        <v>1101</v>
      </c>
      <c r="E1319" s="6" t="s">
        <v>2110</v>
      </c>
      <c r="F1319" s="6" t="s">
        <v>2111</v>
      </c>
      <c r="G1319" s="6" t="s">
        <v>2112</v>
      </c>
      <c r="H1319" s="5"/>
      <c r="I1319" s="6" t="s">
        <v>2103</v>
      </c>
    </row>
    <row r="1320" customFormat="false" ht="15" hidden="false" customHeight="false" outlineLevel="0" collapsed="false">
      <c r="A1320" s="5" t="s">
        <v>2225</v>
      </c>
      <c r="B1320" s="5" t="s">
        <v>1005</v>
      </c>
      <c r="C1320" s="5" t="s">
        <v>1101</v>
      </c>
      <c r="D1320" s="5" t="s">
        <v>1101</v>
      </c>
      <c r="E1320" s="6" t="s">
        <v>2113</v>
      </c>
      <c r="F1320" s="6" t="s">
        <v>2111</v>
      </c>
      <c r="G1320" s="6" t="s">
        <v>2112</v>
      </c>
      <c r="H1320" s="5"/>
      <c r="I1320" s="6" t="s">
        <v>2103</v>
      </c>
    </row>
    <row r="1321" customFormat="false" ht="15" hidden="false" customHeight="false" outlineLevel="0" collapsed="false">
      <c r="A1321" s="5" t="s">
        <v>2225</v>
      </c>
      <c r="B1321" s="5" t="s">
        <v>1005</v>
      </c>
      <c r="C1321" s="5" t="s">
        <v>1101</v>
      </c>
      <c r="D1321" s="5" t="s">
        <v>1101</v>
      </c>
      <c r="E1321" s="6" t="s">
        <v>2114</v>
      </c>
      <c r="F1321" s="6" t="s">
        <v>2115</v>
      </c>
      <c r="G1321" s="6" t="s">
        <v>2045</v>
      </c>
      <c r="H1321" s="5"/>
      <c r="I1321" s="6" t="s">
        <v>2116</v>
      </c>
    </row>
    <row r="1322" customFormat="false" ht="15" hidden="false" customHeight="false" outlineLevel="0" collapsed="false">
      <c r="A1322" s="5" t="s">
        <v>2225</v>
      </c>
      <c r="B1322" s="5" t="s">
        <v>1005</v>
      </c>
      <c r="C1322" s="5" t="s">
        <v>1101</v>
      </c>
      <c r="D1322" s="5" t="s">
        <v>1101</v>
      </c>
      <c r="E1322" s="6" t="s">
        <v>2117</v>
      </c>
      <c r="F1322" s="6" t="s">
        <v>2115</v>
      </c>
      <c r="G1322" s="6" t="s">
        <v>2045</v>
      </c>
      <c r="H1322" s="5"/>
      <c r="I1322" s="6" t="s">
        <v>2116</v>
      </c>
    </row>
    <row r="1323" customFormat="false" ht="15" hidden="false" customHeight="false" outlineLevel="0" collapsed="false">
      <c r="A1323" s="5" t="s">
        <v>2225</v>
      </c>
      <c r="B1323" s="5" t="s">
        <v>1005</v>
      </c>
      <c r="C1323" s="5" t="s">
        <v>1101</v>
      </c>
      <c r="D1323" s="5" t="s">
        <v>1101</v>
      </c>
      <c r="E1323" s="6" t="s">
        <v>2118</v>
      </c>
      <c r="F1323" s="6" t="s">
        <v>2115</v>
      </c>
      <c r="G1323" s="6" t="s">
        <v>2045</v>
      </c>
      <c r="H1323" s="5"/>
      <c r="I1323" s="6" t="s">
        <v>2116</v>
      </c>
    </row>
    <row r="1324" customFormat="false" ht="35.05" hidden="false" customHeight="false" outlineLevel="0" collapsed="false">
      <c r="A1324" s="5" t="s">
        <v>2232</v>
      </c>
      <c r="B1324" s="5" t="s">
        <v>1005</v>
      </c>
      <c r="C1324" s="5" t="s">
        <v>1109</v>
      </c>
      <c r="D1324" s="5" t="s">
        <v>1109</v>
      </c>
      <c r="E1324" s="6" t="s">
        <v>2043</v>
      </c>
      <c r="F1324" s="6" t="s">
        <v>2044</v>
      </c>
      <c r="G1324" s="6" t="s">
        <v>2045</v>
      </c>
      <c r="H1324" s="5"/>
      <c r="I1324" s="6" t="s">
        <v>2046</v>
      </c>
    </row>
    <row r="1325" customFormat="false" ht="23.85" hidden="false" customHeight="false" outlineLevel="0" collapsed="false">
      <c r="A1325" s="5" t="s">
        <v>2232</v>
      </c>
      <c r="B1325" s="5" t="s">
        <v>1005</v>
      </c>
      <c r="C1325" s="5" t="s">
        <v>1109</v>
      </c>
      <c r="D1325" s="5" t="s">
        <v>1109</v>
      </c>
      <c r="E1325" s="6" t="s">
        <v>2047</v>
      </c>
      <c r="F1325" s="6" t="s">
        <v>2048</v>
      </c>
      <c r="G1325" s="6" t="s">
        <v>2045</v>
      </c>
      <c r="H1325" s="5"/>
      <c r="I1325" s="6" t="s">
        <v>2049</v>
      </c>
    </row>
    <row r="1326" customFormat="false" ht="15" hidden="false" customHeight="false" outlineLevel="0" collapsed="false">
      <c r="A1326" s="5" t="s">
        <v>2232</v>
      </c>
      <c r="B1326" s="5" t="s">
        <v>1005</v>
      </c>
      <c r="C1326" s="5" t="s">
        <v>1109</v>
      </c>
      <c r="D1326" s="5" t="s">
        <v>1109</v>
      </c>
      <c r="E1326" s="6" t="s">
        <v>2050</v>
      </c>
      <c r="F1326" s="6" t="s">
        <v>2051</v>
      </c>
      <c r="G1326" s="6" t="s">
        <v>2233</v>
      </c>
      <c r="H1326" s="5"/>
      <c r="I1326" s="6" t="s">
        <v>2053</v>
      </c>
    </row>
    <row r="1327" customFormat="false" ht="15" hidden="false" customHeight="false" outlineLevel="0" collapsed="false">
      <c r="A1327" s="5" t="s">
        <v>2232</v>
      </c>
      <c r="B1327" s="5" t="s">
        <v>1005</v>
      </c>
      <c r="C1327" s="5" t="s">
        <v>1109</v>
      </c>
      <c r="D1327" s="5" t="s">
        <v>1109</v>
      </c>
      <c r="E1327" s="6" t="s">
        <v>2054</v>
      </c>
      <c r="F1327" s="6" t="s">
        <v>2055</v>
      </c>
      <c r="G1327" s="6" t="s">
        <v>2045</v>
      </c>
      <c r="H1327" s="5"/>
      <c r="I1327" s="6" t="s">
        <v>2056</v>
      </c>
    </row>
    <row r="1328" customFormat="false" ht="15" hidden="false" customHeight="false" outlineLevel="0" collapsed="false">
      <c r="A1328" s="5" t="s">
        <v>2232</v>
      </c>
      <c r="B1328" s="5" t="s">
        <v>1005</v>
      </c>
      <c r="C1328" s="5" t="s">
        <v>1109</v>
      </c>
      <c r="D1328" s="5" t="s">
        <v>1109</v>
      </c>
      <c r="E1328" s="6" t="s">
        <v>2057</v>
      </c>
      <c r="F1328" s="6" t="s">
        <v>2201</v>
      </c>
      <c r="G1328" s="6" t="s">
        <v>2227</v>
      </c>
      <c r="H1328" s="5"/>
      <c r="I1328" s="6" t="s">
        <v>2049</v>
      </c>
    </row>
    <row r="1329" customFormat="false" ht="15" hidden="false" customHeight="false" outlineLevel="0" collapsed="false">
      <c r="A1329" s="5" t="s">
        <v>2232</v>
      </c>
      <c r="B1329" s="5" t="s">
        <v>1005</v>
      </c>
      <c r="C1329" s="5" t="s">
        <v>1109</v>
      </c>
      <c r="D1329" s="5" t="s">
        <v>1109</v>
      </c>
      <c r="E1329" s="6" t="s">
        <v>2060</v>
      </c>
      <c r="F1329" s="6" t="s">
        <v>2061</v>
      </c>
      <c r="G1329" s="6" t="s">
        <v>2234</v>
      </c>
      <c r="H1329" s="5"/>
      <c r="I1329" s="6" t="s">
        <v>2049</v>
      </c>
    </row>
    <row r="1330" customFormat="false" ht="15" hidden="false" customHeight="false" outlineLevel="0" collapsed="false">
      <c r="A1330" s="5" t="s">
        <v>2232</v>
      </c>
      <c r="B1330" s="5" t="s">
        <v>1005</v>
      </c>
      <c r="C1330" s="5" t="s">
        <v>1109</v>
      </c>
      <c r="D1330" s="5" t="s">
        <v>1109</v>
      </c>
      <c r="E1330" s="6" t="s">
        <v>2063</v>
      </c>
      <c r="F1330" s="6" t="s">
        <v>2061</v>
      </c>
      <c r="G1330" s="6" t="s">
        <v>2124</v>
      </c>
      <c r="H1330" s="5"/>
      <c r="I1330" s="6" t="s">
        <v>2049</v>
      </c>
    </row>
    <row r="1331" customFormat="false" ht="15" hidden="false" customHeight="false" outlineLevel="0" collapsed="false">
      <c r="A1331" s="5" t="s">
        <v>2232</v>
      </c>
      <c r="B1331" s="5" t="s">
        <v>1005</v>
      </c>
      <c r="C1331" s="5" t="s">
        <v>1109</v>
      </c>
      <c r="D1331" s="5" t="s">
        <v>1109</v>
      </c>
      <c r="E1331" s="6" t="s">
        <v>2065</v>
      </c>
      <c r="F1331" s="6" t="s">
        <v>2066</v>
      </c>
      <c r="G1331" s="6" t="s">
        <v>2070</v>
      </c>
      <c r="H1331" s="5"/>
      <c r="I1331" s="6" t="s">
        <v>2067</v>
      </c>
    </row>
    <row r="1332" customFormat="false" ht="15" hidden="false" customHeight="false" outlineLevel="0" collapsed="false">
      <c r="A1332" s="5" t="s">
        <v>2232</v>
      </c>
      <c r="B1332" s="5" t="s">
        <v>1005</v>
      </c>
      <c r="C1332" s="5" t="s">
        <v>1109</v>
      </c>
      <c r="D1332" s="5" t="s">
        <v>1109</v>
      </c>
      <c r="E1332" s="6" t="s">
        <v>2068</v>
      </c>
      <c r="F1332" s="6" t="s">
        <v>2069</v>
      </c>
      <c r="G1332" s="6" t="s">
        <v>2070</v>
      </c>
      <c r="H1332" s="5"/>
      <c r="I1332" s="6" t="s">
        <v>2071</v>
      </c>
    </row>
    <row r="1333" customFormat="false" ht="15" hidden="false" customHeight="false" outlineLevel="0" collapsed="false">
      <c r="A1333" s="5" t="s">
        <v>2232</v>
      </c>
      <c r="B1333" s="5" t="s">
        <v>1005</v>
      </c>
      <c r="C1333" s="5" t="s">
        <v>1109</v>
      </c>
      <c r="D1333" s="5" t="s">
        <v>1109</v>
      </c>
      <c r="E1333" s="6" t="s">
        <v>2072</v>
      </c>
      <c r="F1333" s="6" t="s">
        <v>2073</v>
      </c>
      <c r="G1333" s="6" t="s">
        <v>2070</v>
      </c>
      <c r="H1333" s="5"/>
      <c r="I1333" s="6" t="s">
        <v>2071</v>
      </c>
    </row>
    <row r="1334" customFormat="false" ht="15" hidden="false" customHeight="false" outlineLevel="0" collapsed="false">
      <c r="A1334" s="5" t="s">
        <v>2232</v>
      </c>
      <c r="B1334" s="5" t="s">
        <v>1005</v>
      </c>
      <c r="C1334" s="5" t="s">
        <v>1109</v>
      </c>
      <c r="D1334" s="5" t="s">
        <v>1109</v>
      </c>
      <c r="E1334" s="6" t="s">
        <v>2074</v>
      </c>
      <c r="F1334" s="6" t="s">
        <v>2075</v>
      </c>
      <c r="G1334" s="6" t="s">
        <v>2070</v>
      </c>
      <c r="H1334" s="5"/>
      <c r="I1334" s="6" t="s">
        <v>2071</v>
      </c>
    </row>
    <row r="1335" customFormat="false" ht="23.85" hidden="false" customHeight="false" outlineLevel="0" collapsed="false">
      <c r="A1335" s="5" t="s">
        <v>2232</v>
      </c>
      <c r="B1335" s="5" t="s">
        <v>1005</v>
      </c>
      <c r="C1335" s="5" t="s">
        <v>1109</v>
      </c>
      <c r="D1335" s="5" t="s">
        <v>1109</v>
      </c>
      <c r="E1335" s="6" t="s">
        <v>2076</v>
      </c>
      <c r="F1335" s="6" t="s">
        <v>2077</v>
      </c>
      <c r="G1335" s="6" t="s">
        <v>2070</v>
      </c>
      <c r="H1335" s="5"/>
      <c r="I1335" s="6" t="s">
        <v>2071</v>
      </c>
    </row>
    <row r="1336" customFormat="false" ht="15" hidden="false" customHeight="false" outlineLevel="0" collapsed="false">
      <c r="A1336" s="5" t="s">
        <v>2232</v>
      </c>
      <c r="B1336" s="5" t="s">
        <v>1005</v>
      </c>
      <c r="C1336" s="5" t="s">
        <v>1109</v>
      </c>
      <c r="D1336" s="5" t="s">
        <v>1109</v>
      </c>
      <c r="E1336" s="6" t="s">
        <v>2078</v>
      </c>
      <c r="F1336" s="6" t="s">
        <v>2079</v>
      </c>
      <c r="G1336" s="6" t="s">
        <v>2070</v>
      </c>
      <c r="H1336" s="5"/>
      <c r="I1336" s="6" t="s">
        <v>2071</v>
      </c>
    </row>
    <row r="1337" customFormat="false" ht="15" hidden="false" customHeight="false" outlineLevel="0" collapsed="false">
      <c r="A1337" s="5" t="s">
        <v>2232</v>
      </c>
      <c r="B1337" s="5" t="s">
        <v>1005</v>
      </c>
      <c r="C1337" s="5" t="s">
        <v>1109</v>
      </c>
      <c r="D1337" s="5" t="s">
        <v>1109</v>
      </c>
      <c r="E1337" s="6" t="s">
        <v>2080</v>
      </c>
      <c r="F1337" s="6" t="s">
        <v>2081</v>
      </c>
      <c r="G1337" s="6" t="s">
        <v>2070</v>
      </c>
      <c r="H1337" s="5"/>
      <c r="I1337" s="6" t="s">
        <v>2071</v>
      </c>
    </row>
    <row r="1338" customFormat="false" ht="15" hidden="false" customHeight="false" outlineLevel="0" collapsed="false">
      <c r="A1338" s="5" t="s">
        <v>2232</v>
      </c>
      <c r="B1338" s="5" t="s">
        <v>1005</v>
      </c>
      <c r="C1338" s="5" t="s">
        <v>1109</v>
      </c>
      <c r="D1338" s="5" t="s">
        <v>1109</v>
      </c>
      <c r="E1338" s="6" t="s">
        <v>2082</v>
      </c>
      <c r="F1338" s="6" t="s">
        <v>2083</v>
      </c>
      <c r="G1338" s="6" t="s">
        <v>2070</v>
      </c>
      <c r="H1338" s="5"/>
      <c r="I1338" s="6" t="s">
        <v>2071</v>
      </c>
    </row>
    <row r="1339" customFormat="false" ht="15" hidden="false" customHeight="false" outlineLevel="0" collapsed="false">
      <c r="A1339" s="5" t="s">
        <v>2232</v>
      </c>
      <c r="B1339" s="5" t="s">
        <v>1005</v>
      </c>
      <c r="C1339" s="5" t="s">
        <v>1109</v>
      </c>
      <c r="D1339" s="5" t="s">
        <v>1109</v>
      </c>
      <c r="E1339" s="6" t="s">
        <v>2084</v>
      </c>
      <c r="F1339" s="6" t="s">
        <v>2073</v>
      </c>
      <c r="G1339" s="6" t="s">
        <v>2070</v>
      </c>
      <c r="H1339" s="5"/>
      <c r="I1339" s="6" t="s">
        <v>2071</v>
      </c>
    </row>
    <row r="1340" customFormat="false" ht="15" hidden="false" customHeight="false" outlineLevel="0" collapsed="false">
      <c r="A1340" s="5" t="s">
        <v>2232</v>
      </c>
      <c r="B1340" s="5" t="s">
        <v>1005</v>
      </c>
      <c r="C1340" s="5" t="s">
        <v>1109</v>
      </c>
      <c r="D1340" s="5" t="s">
        <v>1109</v>
      </c>
      <c r="E1340" s="6" t="s">
        <v>2085</v>
      </c>
      <c r="F1340" s="6" t="s">
        <v>2086</v>
      </c>
      <c r="G1340" s="6" t="s">
        <v>2070</v>
      </c>
      <c r="H1340" s="5"/>
      <c r="I1340" s="6" t="s">
        <v>2071</v>
      </c>
    </row>
    <row r="1341" customFormat="false" ht="23.85" hidden="false" customHeight="false" outlineLevel="0" collapsed="false">
      <c r="A1341" s="5" t="s">
        <v>2232</v>
      </c>
      <c r="B1341" s="5" t="s">
        <v>1005</v>
      </c>
      <c r="C1341" s="5" t="s">
        <v>1109</v>
      </c>
      <c r="D1341" s="5" t="s">
        <v>1109</v>
      </c>
      <c r="E1341" s="6" t="s">
        <v>2087</v>
      </c>
      <c r="F1341" s="6" t="s">
        <v>2081</v>
      </c>
      <c r="G1341" s="6" t="s">
        <v>2070</v>
      </c>
      <c r="H1341" s="5"/>
      <c r="I1341" s="6" t="s">
        <v>2071</v>
      </c>
    </row>
    <row r="1342" customFormat="false" ht="15" hidden="false" customHeight="false" outlineLevel="0" collapsed="false">
      <c r="A1342" s="5" t="s">
        <v>2232</v>
      </c>
      <c r="B1342" s="5" t="s">
        <v>1005</v>
      </c>
      <c r="C1342" s="5" t="s">
        <v>1109</v>
      </c>
      <c r="D1342" s="5" t="s">
        <v>1109</v>
      </c>
      <c r="E1342" s="6" t="s">
        <v>2088</v>
      </c>
      <c r="F1342" s="6" t="s">
        <v>2081</v>
      </c>
      <c r="G1342" s="6" t="s">
        <v>2070</v>
      </c>
      <c r="H1342" s="5"/>
      <c r="I1342" s="6" t="s">
        <v>2071</v>
      </c>
    </row>
    <row r="1343" customFormat="false" ht="15" hidden="false" customHeight="false" outlineLevel="0" collapsed="false">
      <c r="A1343" s="5" t="s">
        <v>2232</v>
      </c>
      <c r="B1343" s="5" t="s">
        <v>1005</v>
      </c>
      <c r="C1343" s="5" t="s">
        <v>1109</v>
      </c>
      <c r="D1343" s="5" t="s">
        <v>1109</v>
      </c>
      <c r="E1343" s="6" t="s">
        <v>2089</v>
      </c>
      <c r="F1343" s="6" t="s">
        <v>2081</v>
      </c>
      <c r="G1343" s="6" t="s">
        <v>2070</v>
      </c>
      <c r="H1343" s="5"/>
      <c r="I1343" s="6" t="s">
        <v>2071</v>
      </c>
    </row>
    <row r="1344" customFormat="false" ht="15" hidden="false" customHeight="false" outlineLevel="0" collapsed="false">
      <c r="A1344" s="5" t="s">
        <v>2232</v>
      </c>
      <c r="B1344" s="5" t="s">
        <v>1005</v>
      </c>
      <c r="C1344" s="5" t="s">
        <v>1109</v>
      </c>
      <c r="D1344" s="5" t="s">
        <v>1109</v>
      </c>
      <c r="E1344" s="6" t="s">
        <v>2090</v>
      </c>
      <c r="F1344" s="6" t="s">
        <v>2081</v>
      </c>
      <c r="G1344" s="6" t="s">
        <v>2070</v>
      </c>
      <c r="H1344" s="5"/>
      <c r="I1344" s="6" t="s">
        <v>2071</v>
      </c>
    </row>
    <row r="1345" customFormat="false" ht="15" hidden="false" customHeight="false" outlineLevel="0" collapsed="false">
      <c r="A1345" s="5" t="s">
        <v>2232</v>
      </c>
      <c r="B1345" s="5" t="s">
        <v>1005</v>
      </c>
      <c r="C1345" s="5" t="s">
        <v>1109</v>
      </c>
      <c r="D1345" s="5" t="s">
        <v>1109</v>
      </c>
      <c r="E1345" s="6" t="s">
        <v>2091</v>
      </c>
      <c r="F1345" s="6" t="s">
        <v>2083</v>
      </c>
      <c r="G1345" s="6" t="s">
        <v>2235</v>
      </c>
      <c r="H1345" s="5"/>
      <c r="I1345" s="6" t="s">
        <v>2093</v>
      </c>
    </row>
    <row r="1346" customFormat="false" ht="15" hidden="false" customHeight="false" outlineLevel="0" collapsed="false">
      <c r="A1346" s="5" t="s">
        <v>2232</v>
      </c>
      <c r="B1346" s="5" t="s">
        <v>1005</v>
      </c>
      <c r="C1346" s="5" t="s">
        <v>1109</v>
      </c>
      <c r="D1346" s="5" t="s">
        <v>1109</v>
      </c>
      <c r="E1346" s="6" t="s">
        <v>2094</v>
      </c>
      <c r="F1346" s="6" t="s">
        <v>2069</v>
      </c>
      <c r="G1346" s="6" t="s">
        <v>2236</v>
      </c>
      <c r="H1346" s="5"/>
      <c r="I1346" s="6" t="s">
        <v>2093</v>
      </c>
    </row>
    <row r="1347" customFormat="false" ht="15" hidden="false" customHeight="false" outlineLevel="0" collapsed="false">
      <c r="A1347" s="5" t="s">
        <v>2232</v>
      </c>
      <c r="B1347" s="5" t="s">
        <v>1005</v>
      </c>
      <c r="C1347" s="5" t="s">
        <v>1109</v>
      </c>
      <c r="D1347" s="5" t="s">
        <v>1109</v>
      </c>
      <c r="E1347" s="6" t="s">
        <v>2096</v>
      </c>
      <c r="F1347" s="6" t="s">
        <v>2073</v>
      </c>
      <c r="G1347" s="6" t="s">
        <v>2237</v>
      </c>
      <c r="H1347" s="5"/>
      <c r="I1347" s="6" t="s">
        <v>2093</v>
      </c>
    </row>
    <row r="1348" customFormat="false" ht="15" hidden="false" customHeight="false" outlineLevel="0" collapsed="false">
      <c r="A1348" s="5" t="s">
        <v>2232</v>
      </c>
      <c r="B1348" s="5" t="s">
        <v>1005</v>
      </c>
      <c r="C1348" s="5" t="s">
        <v>1109</v>
      </c>
      <c r="D1348" s="5" t="s">
        <v>1109</v>
      </c>
      <c r="E1348" s="6" t="s">
        <v>2098</v>
      </c>
      <c r="F1348" s="6" t="s">
        <v>2075</v>
      </c>
      <c r="G1348" s="6" t="s">
        <v>2238</v>
      </c>
      <c r="H1348" s="5"/>
      <c r="I1348" s="6" t="s">
        <v>2093</v>
      </c>
    </row>
    <row r="1349" customFormat="false" ht="15" hidden="false" customHeight="false" outlineLevel="0" collapsed="false">
      <c r="A1349" s="5" t="s">
        <v>2232</v>
      </c>
      <c r="B1349" s="5" t="s">
        <v>1005</v>
      </c>
      <c r="C1349" s="5" t="s">
        <v>1109</v>
      </c>
      <c r="D1349" s="5" t="s">
        <v>1109</v>
      </c>
      <c r="E1349" s="6" t="s">
        <v>2100</v>
      </c>
      <c r="F1349" s="6" t="s">
        <v>2101</v>
      </c>
      <c r="G1349" s="6" t="s">
        <v>1917</v>
      </c>
      <c r="H1349" s="5"/>
      <c r="I1349" s="6" t="s">
        <v>2103</v>
      </c>
    </row>
    <row r="1350" customFormat="false" ht="23.85" hidden="false" customHeight="false" outlineLevel="0" collapsed="false">
      <c r="A1350" s="5" t="s">
        <v>2232</v>
      </c>
      <c r="B1350" s="5" t="s">
        <v>1005</v>
      </c>
      <c r="C1350" s="5" t="s">
        <v>1109</v>
      </c>
      <c r="D1350" s="5" t="s">
        <v>1109</v>
      </c>
      <c r="E1350" s="6" t="s">
        <v>2104</v>
      </c>
      <c r="F1350" s="6" t="s">
        <v>2105</v>
      </c>
      <c r="G1350" s="6" t="s">
        <v>1917</v>
      </c>
      <c r="H1350" s="5"/>
      <c r="I1350" s="6" t="s">
        <v>2103</v>
      </c>
    </row>
    <row r="1351" customFormat="false" ht="15" hidden="false" customHeight="false" outlineLevel="0" collapsed="false">
      <c r="A1351" s="5" t="s">
        <v>2232</v>
      </c>
      <c r="B1351" s="5" t="s">
        <v>1005</v>
      </c>
      <c r="C1351" s="5" t="s">
        <v>1109</v>
      </c>
      <c r="D1351" s="5" t="s">
        <v>1109</v>
      </c>
      <c r="E1351" s="6" t="s">
        <v>2107</v>
      </c>
      <c r="F1351" s="6" t="s">
        <v>2108</v>
      </c>
      <c r="G1351" s="6" t="s">
        <v>2239</v>
      </c>
      <c r="H1351" s="5"/>
      <c r="I1351" s="6" t="s">
        <v>2103</v>
      </c>
    </row>
    <row r="1352" customFormat="false" ht="15" hidden="false" customHeight="false" outlineLevel="0" collapsed="false">
      <c r="A1352" s="5" t="s">
        <v>2232</v>
      </c>
      <c r="B1352" s="5" t="s">
        <v>1005</v>
      </c>
      <c r="C1352" s="5" t="s">
        <v>1109</v>
      </c>
      <c r="D1352" s="5" t="s">
        <v>1109</v>
      </c>
      <c r="E1352" s="6" t="s">
        <v>2110</v>
      </c>
      <c r="F1352" s="6" t="s">
        <v>2111</v>
      </c>
      <c r="G1352" s="6" t="s">
        <v>2112</v>
      </c>
      <c r="H1352" s="5"/>
      <c r="I1352" s="6" t="s">
        <v>2103</v>
      </c>
    </row>
    <row r="1353" customFormat="false" ht="15" hidden="false" customHeight="false" outlineLevel="0" collapsed="false">
      <c r="A1353" s="5" t="s">
        <v>2232</v>
      </c>
      <c r="B1353" s="5" t="s">
        <v>1005</v>
      </c>
      <c r="C1353" s="5" t="s">
        <v>1109</v>
      </c>
      <c r="D1353" s="5" t="s">
        <v>1109</v>
      </c>
      <c r="E1353" s="6" t="s">
        <v>2113</v>
      </c>
      <c r="F1353" s="6" t="s">
        <v>2111</v>
      </c>
      <c r="G1353" s="6" t="s">
        <v>2112</v>
      </c>
      <c r="H1353" s="5"/>
      <c r="I1353" s="6" t="s">
        <v>2103</v>
      </c>
    </row>
    <row r="1354" customFormat="false" ht="15" hidden="false" customHeight="false" outlineLevel="0" collapsed="false">
      <c r="A1354" s="5" t="s">
        <v>2232</v>
      </c>
      <c r="B1354" s="5" t="s">
        <v>1005</v>
      </c>
      <c r="C1354" s="5" t="s">
        <v>1109</v>
      </c>
      <c r="D1354" s="5" t="s">
        <v>1109</v>
      </c>
      <c r="E1354" s="6" t="s">
        <v>2114</v>
      </c>
      <c r="F1354" s="6" t="s">
        <v>2115</v>
      </c>
      <c r="G1354" s="6" t="s">
        <v>2045</v>
      </c>
      <c r="H1354" s="5"/>
      <c r="I1354" s="6" t="s">
        <v>2116</v>
      </c>
    </row>
    <row r="1355" customFormat="false" ht="15" hidden="false" customHeight="false" outlineLevel="0" collapsed="false">
      <c r="A1355" s="5" t="s">
        <v>2232</v>
      </c>
      <c r="B1355" s="5" t="s">
        <v>1005</v>
      </c>
      <c r="C1355" s="5" t="s">
        <v>1109</v>
      </c>
      <c r="D1355" s="5" t="s">
        <v>1109</v>
      </c>
      <c r="E1355" s="6" t="s">
        <v>2117</v>
      </c>
      <c r="F1355" s="6" t="s">
        <v>2115</v>
      </c>
      <c r="G1355" s="6" t="s">
        <v>2045</v>
      </c>
      <c r="H1355" s="5"/>
      <c r="I1355" s="6" t="s">
        <v>2116</v>
      </c>
    </row>
    <row r="1356" customFormat="false" ht="15" hidden="false" customHeight="false" outlineLevel="0" collapsed="false">
      <c r="A1356" s="5" t="s">
        <v>2232</v>
      </c>
      <c r="B1356" s="5" t="s">
        <v>1005</v>
      </c>
      <c r="C1356" s="5" t="s">
        <v>1109</v>
      </c>
      <c r="D1356" s="5" t="s">
        <v>1109</v>
      </c>
      <c r="E1356" s="6" t="s">
        <v>2118</v>
      </c>
      <c r="F1356" s="6" t="s">
        <v>2115</v>
      </c>
      <c r="G1356" s="6" t="s">
        <v>2045</v>
      </c>
      <c r="H1356" s="5"/>
      <c r="I1356" s="6" t="s">
        <v>2116</v>
      </c>
    </row>
    <row r="1357" customFormat="false" ht="35.05" hidden="false" customHeight="false" outlineLevel="0" collapsed="false">
      <c r="A1357" s="5" t="s">
        <v>2240</v>
      </c>
      <c r="B1357" s="5" t="s">
        <v>1005</v>
      </c>
      <c r="C1357" s="5" t="s">
        <v>1114</v>
      </c>
      <c r="D1357" s="5" t="s">
        <v>1114</v>
      </c>
      <c r="E1357" s="6" t="s">
        <v>2043</v>
      </c>
      <c r="F1357" s="6" t="s">
        <v>2044</v>
      </c>
      <c r="G1357" s="6" t="s">
        <v>2045</v>
      </c>
      <c r="H1357" s="5"/>
      <c r="I1357" s="6" t="s">
        <v>2046</v>
      </c>
    </row>
    <row r="1358" customFormat="false" ht="23.85" hidden="false" customHeight="false" outlineLevel="0" collapsed="false">
      <c r="A1358" s="5" t="s">
        <v>2240</v>
      </c>
      <c r="B1358" s="5" t="s">
        <v>1005</v>
      </c>
      <c r="C1358" s="5" t="s">
        <v>1114</v>
      </c>
      <c r="D1358" s="5" t="s">
        <v>1114</v>
      </c>
      <c r="E1358" s="6" t="s">
        <v>2047</v>
      </c>
      <c r="F1358" s="6" t="s">
        <v>2048</v>
      </c>
      <c r="G1358" s="6" t="s">
        <v>2045</v>
      </c>
      <c r="H1358" s="5"/>
      <c r="I1358" s="6" t="s">
        <v>2049</v>
      </c>
    </row>
    <row r="1359" customFormat="false" ht="15" hidden="false" customHeight="false" outlineLevel="0" collapsed="false">
      <c r="A1359" s="5" t="s">
        <v>2240</v>
      </c>
      <c r="B1359" s="5" t="s">
        <v>1005</v>
      </c>
      <c r="C1359" s="5" t="s">
        <v>1114</v>
      </c>
      <c r="D1359" s="5" t="s">
        <v>1114</v>
      </c>
      <c r="E1359" s="6" t="s">
        <v>2050</v>
      </c>
      <c r="F1359" s="6" t="s">
        <v>2051</v>
      </c>
      <c r="G1359" s="6" t="s">
        <v>2241</v>
      </c>
      <c r="H1359" s="5"/>
      <c r="I1359" s="6" t="s">
        <v>2053</v>
      </c>
    </row>
    <row r="1360" customFormat="false" ht="15" hidden="false" customHeight="false" outlineLevel="0" collapsed="false">
      <c r="A1360" s="5" t="s">
        <v>2240</v>
      </c>
      <c r="B1360" s="5" t="s">
        <v>1005</v>
      </c>
      <c r="C1360" s="5" t="s">
        <v>1114</v>
      </c>
      <c r="D1360" s="5" t="s">
        <v>1114</v>
      </c>
      <c r="E1360" s="6" t="s">
        <v>2054</v>
      </c>
      <c r="F1360" s="6" t="s">
        <v>2055</v>
      </c>
      <c r="G1360" s="6" t="s">
        <v>2045</v>
      </c>
      <c r="H1360" s="5"/>
      <c r="I1360" s="6" t="s">
        <v>2056</v>
      </c>
    </row>
    <row r="1361" customFormat="false" ht="15" hidden="false" customHeight="false" outlineLevel="0" collapsed="false">
      <c r="A1361" s="5" t="s">
        <v>2240</v>
      </c>
      <c r="B1361" s="5" t="s">
        <v>1005</v>
      </c>
      <c r="C1361" s="5" t="s">
        <v>1114</v>
      </c>
      <c r="D1361" s="5" t="s">
        <v>1114</v>
      </c>
      <c r="E1361" s="6" t="s">
        <v>2141</v>
      </c>
      <c r="F1361" s="6" t="s">
        <v>2201</v>
      </c>
      <c r="G1361" s="6" t="s">
        <v>2242</v>
      </c>
      <c r="H1361" s="5"/>
      <c r="I1361" s="6" t="s">
        <v>2049</v>
      </c>
    </row>
    <row r="1362" customFormat="false" ht="15" hidden="false" customHeight="false" outlineLevel="0" collapsed="false">
      <c r="A1362" s="5" t="s">
        <v>2240</v>
      </c>
      <c r="B1362" s="5" t="s">
        <v>1005</v>
      </c>
      <c r="C1362" s="5" t="s">
        <v>1114</v>
      </c>
      <c r="D1362" s="5" t="s">
        <v>1114</v>
      </c>
      <c r="E1362" s="6" t="s">
        <v>2060</v>
      </c>
      <c r="F1362" s="6" t="s">
        <v>2061</v>
      </c>
      <c r="G1362" s="6" t="s">
        <v>2243</v>
      </c>
      <c r="H1362" s="5"/>
      <c r="I1362" s="6" t="s">
        <v>2049</v>
      </c>
    </row>
    <row r="1363" customFormat="false" ht="15" hidden="false" customHeight="false" outlineLevel="0" collapsed="false">
      <c r="A1363" s="5" t="s">
        <v>2240</v>
      </c>
      <c r="B1363" s="5" t="s">
        <v>1005</v>
      </c>
      <c r="C1363" s="5" t="s">
        <v>1114</v>
      </c>
      <c r="D1363" s="5" t="s">
        <v>1114</v>
      </c>
      <c r="E1363" s="6" t="s">
        <v>2063</v>
      </c>
      <c r="F1363" s="6" t="s">
        <v>2061</v>
      </c>
      <c r="G1363" s="6" t="s">
        <v>2151</v>
      </c>
      <c r="H1363" s="5"/>
      <c r="I1363" s="6" t="s">
        <v>2049</v>
      </c>
    </row>
    <row r="1364" customFormat="false" ht="15" hidden="false" customHeight="false" outlineLevel="0" collapsed="false">
      <c r="A1364" s="5" t="s">
        <v>2240</v>
      </c>
      <c r="B1364" s="5" t="s">
        <v>1005</v>
      </c>
      <c r="C1364" s="5" t="s">
        <v>1114</v>
      </c>
      <c r="D1364" s="5" t="s">
        <v>1114</v>
      </c>
      <c r="E1364" s="6" t="s">
        <v>2065</v>
      </c>
      <c r="F1364" s="6" t="s">
        <v>2066</v>
      </c>
      <c r="G1364" s="6" t="s">
        <v>1765</v>
      </c>
      <c r="H1364" s="5"/>
      <c r="I1364" s="6" t="s">
        <v>2067</v>
      </c>
    </row>
    <row r="1365" customFormat="false" ht="15" hidden="false" customHeight="false" outlineLevel="0" collapsed="false">
      <c r="A1365" s="5" t="s">
        <v>2240</v>
      </c>
      <c r="B1365" s="5" t="s">
        <v>1005</v>
      </c>
      <c r="C1365" s="5" t="s">
        <v>1114</v>
      </c>
      <c r="D1365" s="5" t="s">
        <v>1114</v>
      </c>
      <c r="E1365" s="6" t="s">
        <v>2068</v>
      </c>
      <c r="F1365" s="6" t="s">
        <v>2069</v>
      </c>
      <c r="G1365" s="6" t="s">
        <v>2070</v>
      </c>
      <c r="H1365" s="5"/>
      <c r="I1365" s="6" t="s">
        <v>2071</v>
      </c>
    </row>
    <row r="1366" customFormat="false" ht="15" hidden="false" customHeight="false" outlineLevel="0" collapsed="false">
      <c r="A1366" s="5" t="s">
        <v>2240</v>
      </c>
      <c r="B1366" s="5" t="s">
        <v>1005</v>
      </c>
      <c r="C1366" s="5" t="s">
        <v>1114</v>
      </c>
      <c r="D1366" s="5" t="s">
        <v>1114</v>
      </c>
      <c r="E1366" s="6" t="s">
        <v>2072</v>
      </c>
      <c r="F1366" s="6" t="s">
        <v>2073</v>
      </c>
      <c r="G1366" s="6" t="s">
        <v>2070</v>
      </c>
      <c r="H1366" s="5"/>
      <c r="I1366" s="6" t="s">
        <v>2071</v>
      </c>
    </row>
    <row r="1367" customFormat="false" ht="15" hidden="false" customHeight="false" outlineLevel="0" collapsed="false">
      <c r="A1367" s="5" t="s">
        <v>2240</v>
      </c>
      <c r="B1367" s="5" t="s">
        <v>1005</v>
      </c>
      <c r="C1367" s="5" t="s">
        <v>1114</v>
      </c>
      <c r="D1367" s="5" t="s">
        <v>1114</v>
      </c>
      <c r="E1367" s="6" t="s">
        <v>2074</v>
      </c>
      <c r="F1367" s="6" t="s">
        <v>2075</v>
      </c>
      <c r="G1367" s="6" t="s">
        <v>2070</v>
      </c>
      <c r="H1367" s="5"/>
      <c r="I1367" s="6" t="s">
        <v>2071</v>
      </c>
    </row>
    <row r="1368" customFormat="false" ht="23.85" hidden="false" customHeight="false" outlineLevel="0" collapsed="false">
      <c r="A1368" s="5" t="s">
        <v>2240</v>
      </c>
      <c r="B1368" s="5" t="s">
        <v>1005</v>
      </c>
      <c r="C1368" s="5" t="s">
        <v>1114</v>
      </c>
      <c r="D1368" s="5" t="s">
        <v>1114</v>
      </c>
      <c r="E1368" s="6" t="s">
        <v>2076</v>
      </c>
      <c r="F1368" s="6" t="s">
        <v>2077</v>
      </c>
      <c r="G1368" s="6" t="s">
        <v>2070</v>
      </c>
      <c r="H1368" s="5"/>
      <c r="I1368" s="6" t="s">
        <v>2071</v>
      </c>
    </row>
    <row r="1369" customFormat="false" ht="15" hidden="false" customHeight="false" outlineLevel="0" collapsed="false">
      <c r="A1369" s="5" t="s">
        <v>2240</v>
      </c>
      <c r="B1369" s="5" t="s">
        <v>1005</v>
      </c>
      <c r="C1369" s="5" t="s">
        <v>1114</v>
      </c>
      <c r="D1369" s="5" t="s">
        <v>1114</v>
      </c>
      <c r="E1369" s="6" t="s">
        <v>2078</v>
      </c>
      <c r="F1369" s="6" t="s">
        <v>2079</v>
      </c>
      <c r="G1369" s="6" t="s">
        <v>2070</v>
      </c>
      <c r="H1369" s="5"/>
      <c r="I1369" s="6" t="s">
        <v>2071</v>
      </c>
    </row>
    <row r="1370" customFormat="false" ht="15" hidden="false" customHeight="false" outlineLevel="0" collapsed="false">
      <c r="A1370" s="5" t="s">
        <v>2240</v>
      </c>
      <c r="B1370" s="5" t="s">
        <v>1005</v>
      </c>
      <c r="C1370" s="5" t="s">
        <v>1114</v>
      </c>
      <c r="D1370" s="5" t="s">
        <v>1114</v>
      </c>
      <c r="E1370" s="6" t="s">
        <v>2080</v>
      </c>
      <c r="F1370" s="6" t="s">
        <v>2081</v>
      </c>
      <c r="G1370" s="6" t="s">
        <v>2070</v>
      </c>
      <c r="H1370" s="5"/>
      <c r="I1370" s="6" t="s">
        <v>2071</v>
      </c>
    </row>
    <row r="1371" customFormat="false" ht="15" hidden="false" customHeight="false" outlineLevel="0" collapsed="false">
      <c r="A1371" s="5" t="s">
        <v>2240</v>
      </c>
      <c r="B1371" s="5" t="s">
        <v>1005</v>
      </c>
      <c r="C1371" s="5" t="s">
        <v>1114</v>
      </c>
      <c r="D1371" s="5" t="s">
        <v>1114</v>
      </c>
      <c r="E1371" s="6" t="s">
        <v>2082</v>
      </c>
      <c r="F1371" s="6" t="s">
        <v>2083</v>
      </c>
      <c r="G1371" s="6" t="s">
        <v>2070</v>
      </c>
      <c r="H1371" s="5"/>
      <c r="I1371" s="6" t="s">
        <v>2071</v>
      </c>
    </row>
    <row r="1372" customFormat="false" ht="15" hidden="false" customHeight="false" outlineLevel="0" collapsed="false">
      <c r="A1372" s="5" t="s">
        <v>2240</v>
      </c>
      <c r="B1372" s="5" t="s">
        <v>1005</v>
      </c>
      <c r="C1372" s="5" t="s">
        <v>1114</v>
      </c>
      <c r="D1372" s="5" t="s">
        <v>1114</v>
      </c>
      <c r="E1372" s="6" t="s">
        <v>2084</v>
      </c>
      <c r="F1372" s="6" t="s">
        <v>2073</v>
      </c>
      <c r="G1372" s="6" t="s">
        <v>2070</v>
      </c>
      <c r="H1372" s="5"/>
      <c r="I1372" s="6" t="s">
        <v>2071</v>
      </c>
    </row>
    <row r="1373" customFormat="false" ht="15" hidden="false" customHeight="false" outlineLevel="0" collapsed="false">
      <c r="A1373" s="5" t="s">
        <v>2240</v>
      </c>
      <c r="B1373" s="5" t="s">
        <v>1005</v>
      </c>
      <c r="C1373" s="5" t="s">
        <v>1114</v>
      </c>
      <c r="D1373" s="5" t="s">
        <v>1114</v>
      </c>
      <c r="E1373" s="6" t="s">
        <v>2085</v>
      </c>
      <c r="F1373" s="6" t="s">
        <v>2086</v>
      </c>
      <c r="G1373" s="6" t="s">
        <v>2070</v>
      </c>
      <c r="H1373" s="5"/>
      <c r="I1373" s="6" t="s">
        <v>2071</v>
      </c>
    </row>
    <row r="1374" customFormat="false" ht="23.85" hidden="false" customHeight="false" outlineLevel="0" collapsed="false">
      <c r="A1374" s="5" t="s">
        <v>2240</v>
      </c>
      <c r="B1374" s="5" t="s">
        <v>1005</v>
      </c>
      <c r="C1374" s="5" t="s">
        <v>1114</v>
      </c>
      <c r="D1374" s="5" t="s">
        <v>1114</v>
      </c>
      <c r="E1374" s="6" t="s">
        <v>2087</v>
      </c>
      <c r="F1374" s="6" t="s">
        <v>2081</v>
      </c>
      <c r="G1374" s="6" t="s">
        <v>2070</v>
      </c>
      <c r="H1374" s="5"/>
      <c r="I1374" s="6" t="s">
        <v>2071</v>
      </c>
    </row>
    <row r="1375" customFormat="false" ht="15" hidden="false" customHeight="false" outlineLevel="0" collapsed="false">
      <c r="A1375" s="5" t="s">
        <v>2240</v>
      </c>
      <c r="B1375" s="5" t="s">
        <v>1005</v>
      </c>
      <c r="C1375" s="5" t="s">
        <v>1114</v>
      </c>
      <c r="D1375" s="5" t="s">
        <v>1114</v>
      </c>
      <c r="E1375" s="6" t="s">
        <v>2088</v>
      </c>
      <c r="F1375" s="6" t="s">
        <v>2081</v>
      </c>
      <c r="G1375" s="6" t="s">
        <v>2070</v>
      </c>
      <c r="H1375" s="5"/>
      <c r="I1375" s="6" t="s">
        <v>2071</v>
      </c>
    </row>
    <row r="1376" customFormat="false" ht="15" hidden="false" customHeight="false" outlineLevel="0" collapsed="false">
      <c r="A1376" s="5" t="s">
        <v>2240</v>
      </c>
      <c r="B1376" s="5" t="s">
        <v>1005</v>
      </c>
      <c r="C1376" s="5" t="s">
        <v>1114</v>
      </c>
      <c r="D1376" s="5" t="s">
        <v>1114</v>
      </c>
      <c r="E1376" s="6" t="s">
        <v>2089</v>
      </c>
      <c r="F1376" s="6" t="s">
        <v>2081</v>
      </c>
      <c r="G1376" s="6" t="s">
        <v>2070</v>
      </c>
      <c r="H1376" s="5"/>
      <c r="I1376" s="6" t="s">
        <v>2071</v>
      </c>
    </row>
    <row r="1377" customFormat="false" ht="15" hidden="false" customHeight="false" outlineLevel="0" collapsed="false">
      <c r="A1377" s="5" t="s">
        <v>2240</v>
      </c>
      <c r="B1377" s="5" t="s">
        <v>1005</v>
      </c>
      <c r="C1377" s="5" t="s">
        <v>1114</v>
      </c>
      <c r="D1377" s="5" t="s">
        <v>1114</v>
      </c>
      <c r="E1377" s="6" t="s">
        <v>2090</v>
      </c>
      <c r="F1377" s="6" t="s">
        <v>2081</v>
      </c>
      <c r="G1377" s="6" t="s">
        <v>2070</v>
      </c>
      <c r="H1377" s="5"/>
      <c r="I1377" s="6" t="s">
        <v>2071</v>
      </c>
    </row>
    <row r="1378" customFormat="false" ht="15" hidden="false" customHeight="false" outlineLevel="0" collapsed="false">
      <c r="A1378" s="5" t="s">
        <v>2240</v>
      </c>
      <c r="B1378" s="5" t="s">
        <v>1005</v>
      </c>
      <c r="C1378" s="5" t="s">
        <v>1114</v>
      </c>
      <c r="D1378" s="5" t="s">
        <v>1114</v>
      </c>
      <c r="E1378" s="6" t="s">
        <v>2091</v>
      </c>
      <c r="F1378" s="6" t="s">
        <v>2083</v>
      </c>
      <c r="G1378" s="6" t="s">
        <v>2244</v>
      </c>
      <c r="H1378" s="5"/>
      <c r="I1378" s="6" t="s">
        <v>2093</v>
      </c>
    </row>
    <row r="1379" customFormat="false" ht="15" hidden="false" customHeight="false" outlineLevel="0" collapsed="false">
      <c r="A1379" s="5" t="s">
        <v>2240</v>
      </c>
      <c r="B1379" s="5" t="s">
        <v>1005</v>
      </c>
      <c r="C1379" s="5" t="s">
        <v>1114</v>
      </c>
      <c r="D1379" s="5" t="s">
        <v>1114</v>
      </c>
      <c r="E1379" s="6" t="s">
        <v>2094</v>
      </c>
      <c r="F1379" s="6" t="s">
        <v>2069</v>
      </c>
      <c r="G1379" s="6" t="s">
        <v>2245</v>
      </c>
      <c r="H1379" s="5"/>
      <c r="I1379" s="6" t="s">
        <v>2093</v>
      </c>
    </row>
    <row r="1380" customFormat="false" ht="15" hidden="false" customHeight="false" outlineLevel="0" collapsed="false">
      <c r="A1380" s="5" t="s">
        <v>2240</v>
      </c>
      <c r="B1380" s="5" t="s">
        <v>1005</v>
      </c>
      <c r="C1380" s="5" t="s">
        <v>1114</v>
      </c>
      <c r="D1380" s="5" t="s">
        <v>1114</v>
      </c>
      <c r="E1380" s="6" t="s">
        <v>2096</v>
      </c>
      <c r="F1380" s="6" t="s">
        <v>2073</v>
      </c>
      <c r="G1380" s="6" t="s">
        <v>2195</v>
      </c>
      <c r="H1380" s="5"/>
      <c r="I1380" s="6" t="s">
        <v>2093</v>
      </c>
    </row>
    <row r="1381" customFormat="false" ht="15" hidden="false" customHeight="false" outlineLevel="0" collapsed="false">
      <c r="A1381" s="5" t="s">
        <v>2240</v>
      </c>
      <c r="B1381" s="5" t="s">
        <v>1005</v>
      </c>
      <c r="C1381" s="5" t="s">
        <v>1114</v>
      </c>
      <c r="D1381" s="5" t="s">
        <v>1114</v>
      </c>
      <c r="E1381" s="6" t="s">
        <v>2098</v>
      </c>
      <c r="F1381" s="6" t="s">
        <v>2075</v>
      </c>
      <c r="G1381" s="6" t="s">
        <v>2246</v>
      </c>
      <c r="H1381" s="5"/>
      <c r="I1381" s="6" t="s">
        <v>2093</v>
      </c>
    </row>
    <row r="1382" customFormat="false" ht="15" hidden="false" customHeight="false" outlineLevel="0" collapsed="false">
      <c r="A1382" s="5" t="s">
        <v>2240</v>
      </c>
      <c r="B1382" s="5" t="s">
        <v>1005</v>
      </c>
      <c r="C1382" s="5" t="s">
        <v>1114</v>
      </c>
      <c r="D1382" s="5" t="s">
        <v>1114</v>
      </c>
      <c r="E1382" s="6" t="s">
        <v>2100</v>
      </c>
      <c r="F1382" s="6" t="s">
        <v>2125</v>
      </c>
      <c r="G1382" s="6" t="s">
        <v>1914</v>
      </c>
      <c r="H1382" s="5"/>
      <c r="I1382" s="6" t="s">
        <v>2103</v>
      </c>
    </row>
    <row r="1383" customFormat="false" ht="23.85" hidden="false" customHeight="false" outlineLevel="0" collapsed="false">
      <c r="A1383" s="5" t="s">
        <v>2240</v>
      </c>
      <c r="B1383" s="5" t="s">
        <v>1005</v>
      </c>
      <c r="C1383" s="5" t="s">
        <v>1114</v>
      </c>
      <c r="D1383" s="5" t="s">
        <v>1114</v>
      </c>
      <c r="E1383" s="6" t="s">
        <v>2104</v>
      </c>
      <c r="F1383" s="6" t="s">
        <v>2127</v>
      </c>
      <c r="G1383" s="6" t="s">
        <v>1915</v>
      </c>
      <c r="H1383" s="5"/>
      <c r="I1383" s="6" t="s">
        <v>2103</v>
      </c>
    </row>
    <row r="1384" customFormat="false" ht="15" hidden="false" customHeight="false" outlineLevel="0" collapsed="false">
      <c r="A1384" s="5" t="s">
        <v>2240</v>
      </c>
      <c r="B1384" s="5" t="s">
        <v>1005</v>
      </c>
      <c r="C1384" s="5" t="s">
        <v>1114</v>
      </c>
      <c r="D1384" s="5" t="s">
        <v>1114</v>
      </c>
      <c r="E1384" s="6" t="s">
        <v>2107</v>
      </c>
      <c r="F1384" s="6" t="s">
        <v>2129</v>
      </c>
      <c r="G1384" s="6" t="s">
        <v>1893</v>
      </c>
      <c r="H1384" s="5"/>
      <c r="I1384" s="6" t="s">
        <v>2103</v>
      </c>
    </row>
    <row r="1385" customFormat="false" ht="15" hidden="false" customHeight="false" outlineLevel="0" collapsed="false">
      <c r="A1385" s="5" t="s">
        <v>2240</v>
      </c>
      <c r="B1385" s="5" t="s">
        <v>1005</v>
      </c>
      <c r="C1385" s="5" t="s">
        <v>1114</v>
      </c>
      <c r="D1385" s="5" t="s">
        <v>1114</v>
      </c>
      <c r="E1385" s="6" t="s">
        <v>2110</v>
      </c>
      <c r="F1385" s="6" t="s">
        <v>2111</v>
      </c>
      <c r="G1385" s="6" t="s">
        <v>2112</v>
      </c>
      <c r="H1385" s="5"/>
      <c r="I1385" s="6" t="s">
        <v>2103</v>
      </c>
    </row>
    <row r="1386" customFormat="false" ht="15" hidden="false" customHeight="false" outlineLevel="0" collapsed="false">
      <c r="A1386" s="5" t="s">
        <v>2240</v>
      </c>
      <c r="B1386" s="5" t="s">
        <v>1005</v>
      </c>
      <c r="C1386" s="5" t="s">
        <v>1114</v>
      </c>
      <c r="D1386" s="5" t="s">
        <v>1114</v>
      </c>
      <c r="E1386" s="6" t="s">
        <v>2113</v>
      </c>
      <c r="F1386" s="6" t="s">
        <v>2111</v>
      </c>
      <c r="G1386" s="6" t="s">
        <v>2112</v>
      </c>
      <c r="H1386" s="5"/>
      <c r="I1386" s="6" t="s">
        <v>2103</v>
      </c>
    </row>
    <row r="1387" customFormat="false" ht="15" hidden="false" customHeight="false" outlineLevel="0" collapsed="false">
      <c r="A1387" s="5" t="s">
        <v>2240</v>
      </c>
      <c r="B1387" s="5" t="s">
        <v>1005</v>
      </c>
      <c r="C1387" s="5" t="s">
        <v>1114</v>
      </c>
      <c r="D1387" s="5" t="s">
        <v>1114</v>
      </c>
      <c r="E1387" s="6" t="s">
        <v>2114</v>
      </c>
      <c r="F1387" s="6" t="s">
        <v>2115</v>
      </c>
      <c r="G1387" s="6" t="s">
        <v>2045</v>
      </c>
      <c r="H1387" s="5"/>
      <c r="I1387" s="6" t="s">
        <v>2116</v>
      </c>
    </row>
    <row r="1388" customFormat="false" ht="15" hidden="false" customHeight="false" outlineLevel="0" collapsed="false">
      <c r="A1388" s="5" t="s">
        <v>2240</v>
      </c>
      <c r="B1388" s="5" t="s">
        <v>1005</v>
      </c>
      <c r="C1388" s="5" t="s">
        <v>1114</v>
      </c>
      <c r="D1388" s="5" t="s">
        <v>1114</v>
      </c>
      <c r="E1388" s="6" t="s">
        <v>2117</v>
      </c>
      <c r="F1388" s="6" t="s">
        <v>2115</v>
      </c>
      <c r="G1388" s="6" t="s">
        <v>2045</v>
      </c>
      <c r="H1388" s="5"/>
      <c r="I1388" s="6" t="s">
        <v>2116</v>
      </c>
    </row>
    <row r="1389" customFormat="false" ht="15" hidden="false" customHeight="false" outlineLevel="0" collapsed="false">
      <c r="A1389" s="5" t="s">
        <v>2240</v>
      </c>
      <c r="B1389" s="5" t="s">
        <v>1005</v>
      </c>
      <c r="C1389" s="5" t="s">
        <v>1114</v>
      </c>
      <c r="D1389" s="5" t="s">
        <v>1114</v>
      </c>
      <c r="E1389" s="6" t="s">
        <v>2118</v>
      </c>
      <c r="F1389" s="6" t="s">
        <v>2115</v>
      </c>
      <c r="G1389" s="6" t="s">
        <v>2045</v>
      </c>
      <c r="H1389" s="5"/>
      <c r="I1389" s="6" t="s">
        <v>2116</v>
      </c>
    </row>
    <row r="1390" customFormat="false" ht="35.05" hidden="false" customHeight="false" outlineLevel="0" collapsed="false">
      <c r="A1390" s="5" t="s">
        <v>2247</v>
      </c>
      <c r="B1390" s="5" t="s">
        <v>1005</v>
      </c>
      <c r="C1390" s="5" t="s">
        <v>1120</v>
      </c>
      <c r="D1390" s="5" t="s">
        <v>1120</v>
      </c>
      <c r="E1390" s="6" t="s">
        <v>2043</v>
      </c>
      <c r="F1390" s="6" t="s">
        <v>2044</v>
      </c>
      <c r="G1390" s="6" t="s">
        <v>2045</v>
      </c>
      <c r="H1390" s="5"/>
      <c r="I1390" s="6" t="s">
        <v>2046</v>
      </c>
    </row>
    <row r="1391" customFormat="false" ht="23.85" hidden="false" customHeight="false" outlineLevel="0" collapsed="false">
      <c r="A1391" s="5" t="s">
        <v>2247</v>
      </c>
      <c r="B1391" s="5" t="s">
        <v>1005</v>
      </c>
      <c r="C1391" s="5" t="s">
        <v>1120</v>
      </c>
      <c r="D1391" s="5" t="s">
        <v>1120</v>
      </c>
      <c r="E1391" s="6" t="s">
        <v>2047</v>
      </c>
      <c r="F1391" s="6" t="s">
        <v>2048</v>
      </c>
      <c r="G1391" s="6" t="s">
        <v>2045</v>
      </c>
      <c r="H1391" s="5"/>
      <c r="I1391" s="6" t="s">
        <v>2049</v>
      </c>
    </row>
    <row r="1392" customFormat="false" ht="15" hidden="false" customHeight="false" outlineLevel="0" collapsed="false">
      <c r="A1392" s="5" t="s">
        <v>2247</v>
      </c>
      <c r="B1392" s="5" t="s">
        <v>1005</v>
      </c>
      <c r="C1392" s="5" t="s">
        <v>1120</v>
      </c>
      <c r="D1392" s="5" t="s">
        <v>1120</v>
      </c>
      <c r="E1392" s="6" t="s">
        <v>2050</v>
      </c>
      <c r="F1392" s="6" t="s">
        <v>2051</v>
      </c>
      <c r="G1392" s="6" t="s">
        <v>2248</v>
      </c>
      <c r="H1392" s="5"/>
      <c r="I1392" s="6" t="s">
        <v>2053</v>
      </c>
    </row>
    <row r="1393" customFormat="false" ht="15" hidden="false" customHeight="false" outlineLevel="0" collapsed="false">
      <c r="A1393" s="5" t="s">
        <v>2247</v>
      </c>
      <c r="B1393" s="5" t="s">
        <v>1005</v>
      </c>
      <c r="C1393" s="5" t="s">
        <v>1120</v>
      </c>
      <c r="D1393" s="5" t="s">
        <v>1120</v>
      </c>
      <c r="E1393" s="6" t="s">
        <v>2054</v>
      </c>
      <c r="F1393" s="6" t="s">
        <v>2055</v>
      </c>
      <c r="G1393" s="6" t="s">
        <v>2045</v>
      </c>
      <c r="H1393" s="5"/>
      <c r="I1393" s="6" t="s">
        <v>2056</v>
      </c>
    </row>
    <row r="1394" customFormat="false" ht="15" hidden="false" customHeight="false" outlineLevel="0" collapsed="false">
      <c r="A1394" s="5" t="s">
        <v>2247</v>
      </c>
      <c r="B1394" s="5" t="s">
        <v>1005</v>
      </c>
      <c r="C1394" s="5" t="s">
        <v>1120</v>
      </c>
      <c r="D1394" s="5" t="s">
        <v>1120</v>
      </c>
      <c r="E1394" s="6" t="s">
        <v>2141</v>
      </c>
      <c r="F1394" s="6" t="s">
        <v>2249</v>
      </c>
      <c r="G1394" s="6" t="s">
        <v>2250</v>
      </c>
      <c r="H1394" s="5"/>
      <c r="I1394" s="6" t="s">
        <v>2049</v>
      </c>
    </row>
    <row r="1395" customFormat="false" ht="15" hidden="false" customHeight="false" outlineLevel="0" collapsed="false">
      <c r="A1395" s="5" t="s">
        <v>2247</v>
      </c>
      <c r="B1395" s="5" t="s">
        <v>1005</v>
      </c>
      <c r="C1395" s="5" t="s">
        <v>1120</v>
      </c>
      <c r="D1395" s="5" t="s">
        <v>1120</v>
      </c>
      <c r="E1395" s="6" t="s">
        <v>2060</v>
      </c>
      <c r="F1395" s="6" t="s">
        <v>2061</v>
      </c>
      <c r="G1395" s="6" t="s">
        <v>2169</v>
      </c>
      <c r="H1395" s="5"/>
      <c r="I1395" s="6" t="s">
        <v>2049</v>
      </c>
    </row>
    <row r="1396" customFormat="false" ht="15" hidden="false" customHeight="false" outlineLevel="0" collapsed="false">
      <c r="A1396" s="5" t="s">
        <v>2247</v>
      </c>
      <c r="B1396" s="5" t="s">
        <v>1005</v>
      </c>
      <c r="C1396" s="5" t="s">
        <v>1120</v>
      </c>
      <c r="D1396" s="5" t="s">
        <v>1120</v>
      </c>
      <c r="E1396" s="6" t="s">
        <v>2063</v>
      </c>
      <c r="F1396" s="6" t="s">
        <v>2061</v>
      </c>
      <c r="G1396" s="6" t="s">
        <v>2251</v>
      </c>
      <c r="H1396" s="5"/>
      <c r="I1396" s="6" t="s">
        <v>2049</v>
      </c>
    </row>
    <row r="1397" customFormat="false" ht="15" hidden="false" customHeight="false" outlineLevel="0" collapsed="false">
      <c r="A1397" s="5" t="s">
        <v>2247</v>
      </c>
      <c r="B1397" s="5" t="s">
        <v>1005</v>
      </c>
      <c r="C1397" s="5" t="s">
        <v>1120</v>
      </c>
      <c r="D1397" s="5" t="s">
        <v>1120</v>
      </c>
      <c r="E1397" s="6" t="s">
        <v>2065</v>
      </c>
      <c r="F1397" s="6" t="s">
        <v>2066</v>
      </c>
      <c r="G1397" s="6" t="s">
        <v>2252</v>
      </c>
      <c r="H1397" s="5"/>
      <c r="I1397" s="6" t="s">
        <v>2067</v>
      </c>
    </row>
    <row r="1398" customFormat="false" ht="15" hidden="false" customHeight="false" outlineLevel="0" collapsed="false">
      <c r="A1398" s="5" t="s">
        <v>2247</v>
      </c>
      <c r="B1398" s="5" t="s">
        <v>1005</v>
      </c>
      <c r="C1398" s="5" t="s">
        <v>1120</v>
      </c>
      <c r="D1398" s="5" t="s">
        <v>1120</v>
      </c>
      <c r="E1398" s="6" t="s">
        <v>2068</v>
      </c>
      <c r="F1398" s="6" t="s">
        <v>2069</v>
      </c>
      <c r="G1398" s="6" t="s">
        <v>2070</v>
      </c>
      <c r="H1398" s="5"/>
      <c r="I1398" s="6" t="s">
        <v>2071</v>
      </c>
    </row>
    <row r="1399" customFormat="false" ht="15" hidden="false" customHeight="false" outlineLevel="0" collapsed="false">
      <c r="A1399" s="5" t="s">
        <v>2247</v>
      </c>
      <c r="B1399" s="5" t="s">
        <v>1005</v>
      </c>
      <c r="C1399" s="5" t="s">
        <v>1120</v>
      </c>
      <c r="D1399" s="5" t="s">
        <v>1120</v>
      </c>
      <c r="E1399" s="6" t="s">
        <v>2072</v>
      </c>
      <c r="F1399" s="6" t="s">
        <v>2073</v>
      </c>
      <c r="G1399" s="6" t="s">
        <v>2070</v>
      </c>
      <c r="H1399" s="5"/>
      <c r="I1399" s="6" t="s">
        <v>2071</v>
      </c>
    </row>
    <row r="1400" customFormat="false" ht="15" hidden="false" customHeight="false" outlineLevel="0" collapsed="false">
      <c r="A1400" s="5" t="s">
        <v>2247</v>
      </c>
      <c r="B1400" s="5" t="s">
        <v>1005</v>
      </c>
      <c r="C1400" s="5" t="s">
        <v>1120</v>
      </c>
      <c r="D1400" s="5" t="s">
        <v>1120</v>
      </c>
      <c r="E1400" s="6" t="s">
        <v>2074</v>
      </c>
      <c r="F1400" s="6" t="s">
        <v>2075</v>
      </c>
      <c r="G1400" s="6" t="s">
        <v>2070</v>
      </c>
      <c r="H1400" s="5"/>
      <c r="I1400" s="6" t="s">
        <v>2071</v>
      </c>
    </row>
    <row r="1401" customFormat="false" ht="23.85" hidden="false" customHeight="false" outlineLevel="0" collapsed="false">
      <c r="A1401" s="5" t="s">
        <v>2247</v>
      </c>
      <c r="B1401" s="5" t="s">
        <v>1005</v>
      </c>
      <c r="C1401" s="5" t="s">
        <v>1120</v>
      </c>
      <c r="D1401" s="5" t="s">
        <v>1120</v>
      </c>
      <c r="E1401" s="6" t="s">
        <v>2076</v>
      </c>
      <c r="F1401" s="6" t="s">
        <v>2077</v>
      </c>
      <c r="G1401" s="6" t="s">
        <v>2070</v>
      </c>
      <c r="H1401" s="5"/>
      <c r="I1401" s="6" t="s">
        <v>2071</v>
      </c>
    </row>
    <row r="1402" customFormat="false" ht="15" hidden="false" customHeight="false" outlineLevel="0" collapsed="false">
      <c r="A1402" s="5" t="s">
        <v>2247</v>
      </c>
      <c r="B1402" s="5" t="s">
        <v>1005</v>
      </c>
      <c r="C1402" s="5" t="s">
        <v>1120</v>
      </c>
      <c r="D1402" s="5" t="s">
        <v>1120</v>
      </c>
      <c r="E1402" s="6" t="s">
        <v>2078</v>
      </c>
      <c r="F1402" s="6" t="s">
        <v>2079</v>
      </c>
      <c r="G1402" s="6" t="s">
        <v>2070</v>
      </c>
      <c r="H1402" s="5"/>
      <c r="I1402" s="6" t="s">
        <v>2071</v>
      </c>
    </row>
    <row r="1403" customFormat="false" ht="15" hidden="false" customHeight="false" outlineLevel="0" collapsed="false">
      <c r="A1403" s="5" t="s">
        <v>2247</v>
      </c>
      <c r="B1403" s="5" t="s">
        <v>1005</v>
      </c>
      <c r="C1403" s="5" t="s">
        <v>1120</v>
      </c>
      <c r="D1403" s="5" t="s">
        <v>1120</v>
      </c>
      <c r="E1403" s="6" t="s">
        <v>2080</v>
      </c>
      <c r="F1403" s="6" t="s">
        <v>2081</v>
      </c>
      <c r="G1403" s="6" t="s">
        <v>2070</v>
      </c>
      <c r="H1403" s="5"/>
      <c r="I1403" s="6" t="s">
        <v>2071</v>
      </c>
    </row>
    <row r="1404" customFormat="false" ht="15" hidden="false" customHeight="false" outlineLevel="0" collapsed="false">
      <c r="A1404" s="5" t="s">
        <v>2247</v>
      </c>
      <c r="B1404" s="5" t="s">
        <v>1005</v>
      </c>
      <c r="C1404" s="5" t="s">
        <v>1120</v>
      </c>
      <c r="D1404" s="5" t="s">
        <v>1120</v>
      </c>
      <c r="E1404" s="6" t="s">
        <v>2082</v>
      </c>
      <c r="F1404" s="6" t="s">
        <v>2083</v>
      </c>
      <c r="G1404" s="6" t="s">
        <v>2070</v>
      </c>
      <c r="H1404" s="5"/>
      <c r="I1404" s="6" t="s">
        <v>2071</v>
      </c>
    </row>
    <row r="1405" customFormat="false" ht="15" hidden="false" customHeight="false" outlineLevel="0" collapsed="false">
      <c r="A1405" s="5" t="s">
        <v>2247</v>
      </c>
      <c r="B1405" s="5" t="s">
        <v>1005</v>
      </c>
      <c r="C1405" s="5" t="s">
        <v>1120</v>
      </c>
      <c r="D1405" s="5" t="s">
        <v>1120</v>
      </c>
      <c r="E1405" s="6" t="s">
        <v>2084</v>
      </c>
      <c r="F1405" s="6" t="s">
        <v>2073</v>
      </c>
      <c r="G1405" s="6" t="s">
        <v>2070</v>
      </c>
      <c r="H1405" s="5"/>
      <c r="I1405" s="6" t="s">
        <v>2071</v>
      </c>
    </row>
    <row r="1406" customFormat="false" ht="15" hidden="false" customHeight="false" outlineLevel="0" collapsed="false">
      <c r="A1406" s="5" t="s">
        <v>2247</v>
      </c>
      <c r="B1406" s="5" t="s">
        <v>1005</v>
      </c>
      <c r="C1406" s="5" t="s">
        <v>1120</v>
      </c>
      <c r="D1406" s="5" t="s">
        <v>1120</v>
      </c>
      <c r="E1406" s="6" t="s">
        <v>2085</v>
      </c>
      <c r="F1406" s="6" t="s">
        <v>2086</v>
      </c>
      <c r="G1406" s="6" t="s">
        <v>2070</v>
      </c>
      <c r="H1406" s="5"/>
      <c r="I1406" s="6" t="s">
        <v>2071</v>
      </c>
    </row>
    <row r="1407" customFormat="false" ht="23.85" hidden="false" customHeight="false" outlineLevel="0" collapsed="false">
      <c r="A1407" s="5" t="s">
        <v>2247</v>
      </c>
      <c r="B1407" s="5" t="s">
        <v>1005</v>
      </c>
      <c r="C1407" s="5" t="s">
        <v>1120</v>
      </c>
      <c r="D1407" s="5" t="s">
        <v>1120</v>
      </c>
      <c r="E1407" s="6" t="s">
        <v>2087</v>
      </c>
      <c r="F1407" s="6" t="s">
        <v>2081</v>
      </c>
      <c r="G1407" s="6" t="s">
        <v>2070</v>
      </c>
      <c r="H1407" s="5"/>
      <c r="I1407" s="6" t="s">
        <v>2071</v>
      </c>
    </row>
    <row r="1408" customFormat="false" ht="15" hidden="false" customHeight="false" outlineLevel="0" collapsed="false">
      <c r="A1408" s="5" t="s">
        <v>2247</v>
      </c>
      <c r="B1408" s="5" t="s">
        <v>1005</v>
      </c>
      <c r="C1408" s="5" t="s">
        <v>1120</v>
      </c>
      <c r="D1408" s="5" t="s">
        <v>1120</v>
      </c>
      <c r="E1408" s="6" t="s">
        <v>2088</v>
      </c>
      <c r="F1408" s="6" t="s">
        <v>2081</v>
      </c>
      <c r="G1408" s="6" t="s">
        <v>2070</v>
      </c>
      <c r="H1408" s="5"/>
      <c r="I1408" s="6" t="s">
        <v>2071</v>
      </c>
    </row>
    <row r="1409" customFormat="false" ht="15" hidden="false" customHeight="false" outlineLevel="0" collapsed="false">
      <c r="A1409" s="5" t="s">
        <v>2247</v>
      </c>
      <c r="B1409" s="5" t="s">
        <v>1005</v>
      </c>
      <c r="C1409" s="5" t="s">
        <v>1120</v>
      </c>
      <c r="D1409" s="5" t="s">
        <v>1120</v>
      </c>
      <c r="E1409" s="6" t="s">
        <v>2089</v>
      </c>
      <c r="F1409" s="6" t="s">
        <v>2081</v>
      </c>
      <c r="G1409" s="6" t="s">
        <v>2070</v>
      </c>
      <c r="H1409" s="5"/>
      <c r="I1409" s="6" t="s">
        <v>2071</v>
      </c>
    </row>
    <row r="1410" customFormat="false" ht="15" hidden="false" customHeight="false" outlineLevel="0" collapsed="false">
      <c r="A1410" s="5" t="s">
        <v>2247</v>
      </c>
      <c r="B1410" s="5" t="s">
        <v>1005</v>
      </c>
      <c r="C1410" s="5" t="s">
        <v>1120</v>
      </c>
      <c r="D1410" s="5" t="s">
        <v>1120</v>
      </c>
      <c r="E1410" s="6" t="s">
        <v>2090</v>
      </c>
      <c r="F1410" s="6" t="s">
        <v>2081</v>
      </c>
      <c r="G1410" s="6" t="s">
        <v>2070</v>
      </c>
      <c r="H1410" s="5"/>
      <c r="I1410" s="6" t="s">
        <v>2071</v>
      </c>
    </row>
    <row r="1411" customFormat="false" ht="15" hidden="false" customHeight="false" outlineLevel="0" collapsed="false">
      <c r="A1411" s="5" t="s">
        <v>2247</v>
      </c>
      <c r="B1411" s="5" t="s">
        <v>1005</v>
      </c>
      <c r="C1411" s="5" t="s">
        <v>1120</v>
      </c>
      <c r="D1411" s="5" t="s">
        <v>1120</v>
      </c>
      <c r="E1411" s="6" t="s">
        <v>2091</v>
      </c>
      <c r="F1411" s="6" t="s">
        <v>2083</v>
      </c>
      <c r="G1411" s="6" t="s">
        <v>2253</v>
      </c>
      <c r="H1411" s="5"/>
      <c r="I1411" s="6" t="s">
        <v>2093</v>
      </c>
    </row>
    <row r="1412" customFormat="false" ht="15" hidden="false" customHeight="false" outlineLevel="0" collapsed="false">
      <c r="A1412" s="5" t="s">
        <v>2247</v>
      </c>
      <c r="B1412" s="5" t="s">
        <v>1005</v>
      </c>
      <c r="C1412" s="5" t="s">
        <v>1120</v>
      </c>
      <c r="D1412" s="5" t="s">
        <v>1120</v>
      </c>
      <c r="E1412" s="6" t="s">
        <v>2094</v>
      </c>
      <c r="F1412" s="6" t="s">
        <v>2069</v>
      </c>
      <c r="G1412" s="6" t="s">
        <v>2254</v>
      </c>
      <c r="H1412" s="5"/>
      <c r="I1412" s="6" t="s">
        <v>2093</v>
      </c>
    </row>
    <row r="1413" customFormat="false" ht="15" hidden="false" customHeight="false" outlineLevel="0" collapsed="false">
      <c r="A1413" s="5" t="s">
        <v>2247</v>
      </c>
      <c r="B1413" s="5" t="s">
        <v>1005</v>
      </c>
      <c r="C1413" s="5" t="s">
        <v>1120</v>
      </c>
      <c r="D1413" s="5" t="s">
        <v>1120</v>
      </c>
      <c r="E1413" s="6" t="s">
        <v>2096</v>
      </c>
      <c r="F1413" s="6" t="s">
        <v>2073</v>
      </c>
      <c r="G1413" s="6" t="s">
        <v>2244</v>
      </c>
      <c r="H1413" s="5"/>
      <c r="I1413" s="6" t="s">
        <v>2093</v>
      </c>
    </row>
    <row r="1414" customFormat="false" ht="15" hidden="false" customHeight="false" outlineLevel="0" collapsed="false">
      <c r="A1414" s="5" t="s">
        <v>2247</v>
      </c>
      <c r="B1414" s="5" t="s">
        <v>1005</v>
      </c>
      <c r="C1414" s="5" t="s">
        <v>1120</v>
      </c>
      <c r="D1414" s="5" t="s">
        <v>1120</v>
      </c>
      <c r="E1414" s="6" t="s">
        <v>2098</v>
      </c>
      <c r="F1414" s="6" t="s">
        <v>2075</v>
      </c>
      <c r="G1414" s="6" t="s">
        <v>2097</v>
      </c>
      <c r="H1414" s="5"/>
      <c r="I1414" s="6" t="s">
        <v>2093</v>
      </c>
    </row>
    <row r="1415" customFormat="false" ht="15" hidden="false" customHeight="false" outlineLevel="0" collapsed="false">
      <c r="A1415" s="5" t="s">
        <v>2247</v>
      </c>
      <c r="B1415" s="5" t="s">
        <v>1005</v>
      </c>
      <c r="C1415" s="5" t="s">
        <v>1120</v>
      </c>
      <c r="D1415" s="5" t="s">
        <v>1120</v>
      </c>
      <c r="E1415" s="6" t="s">
        <v>2100</v>
      </c>
      <c r="F1415" s="6" t="s">
        <v>2125</v>
      </c>
      <c r="G1415" s="6" t="s">
        <v>1926</v>
      </c>
      <c r="H1415" s="5"/>
      <c r="I1415" s="6" t="s">
        <v>2103</v>
      </c>
    </row>
    <row r="1416" customFormat="false" ht="23.85" hidden="false" customHeight="false" outlineLevel="0" collapsed="false">
      <c r="A1416" s="5" t="s">
        <v>2247</v>
      </c>
      <c r="B1416" s="5" t="s">
        <v>1005</v>
      </c>
      <c r="C1416" s="5" t="s">
        <v>1120</v>
      </c>
      <c r="D1416" s="5" t="s">
        <v>1120</v>
      </c>
      <c r="E1416" s="6" t="s">
        <v>2104</v>
      </c>
      <c r="F1416" s="6" t="s">
        <v>2127</v>
      </c>
      <c r="G1416" s="6" t="s">
        <v>1917</v>
      </c>
      <c r="H1416" s="5"/>
      <c r="I1416" s="6" t="s">
        <v>2103</v>
      </c>
    </row>
    <row r="1417" customFormat="false" ht="15" hidden="false" customHeight="false" outlineLevel="0" collapsed="false">
      <c r="A1417" s="5" t="s">
        <v>2247</v>
      </c>
      <c r="B1417" s="5" t="s">
        <v>1005</v>
      </c>
      <c r="C1417" s="5" t="s">
        <v>1120</v>
      </c>
      <c r="D1417" s="5" t="s">
        <v>1120</v>
      </c>
      <c r="E1417" s="6" t="s">
        <v>2107</v>
      </c>
      <c r="F1417" s="6" t="s">
        <v>2129</v>
      </c>
      <c r="G1417" s="6" t="s">
        <v>2199</v>
      </c>
      <c r="H1417" s="5"/>
      <c r="I1417" s="6" t="s">
        <v>2103</v>
      </c>
    </row>
    <row r="1418" customFormat="false" ht="15" hidden="false" customHeight="false" outlineLevel="0" collapsed="false">
      <c r="A1418" s="5" t="s">
        <v>2247</v>
      </c>
      <c r="B1418" s="5" t="s">
        <v>1005</v>
      </c>
      <c r="C1418" s="5" t="s">
        <v>1120</v>
      </c>
      <c r="D1418" s="5" t="s">
        <v>1120</v>
      </c>
      <c r="E1418" s="6" t="s">
        <v>2130</v>
      </c>
      <c r="F1418" s="6" t="s">
        <v>2111</v>
      </c>
      <c r="G1418" s="6" t="s">
        <v>2112</v>
      </c>
      <c r="H1418" s="5"/>
      <c r="I1418" s="6" t="s">
        <v>2103</v>
      </c>
    </row>
    <row r="1419" customFormat="false" ht="15" hidden="false" customHeight="false" outlineLevel="0" collapsed="false">
      <c r="A1419" s="5" t="s">
        <v>2247</v>
      </c>
      <c r="B1419" s="5" t="s">
        <v>1005</v>
      </c>
      <c r="C1419" s="5" t="s">
        <v>1120</v>
      </c>
      <c r="D1419" s="5" t="s">
        <v>1120</v>
      </c>
      <c r="E1419" s="6" t="s">
        <v>2131</v>
      </c>
      <c r="F1419" s="6" t="s">
        <v>2111</v>
      </c>
      <c r="G1419" s="6" t="s">
        <v>2112</v>
      </c>
      <c r="H1419" s="5"/>
      <c r="I1419" s="6" t="s">
        <v>2103</v>
      </c>
    </row>
    <row r="1420" customFormat="false" ht="15" hidden="false" customHeight="false" outlineLevel="0" collapsed="false">
      <c r="A1420" s="5" t="s">
        <v>2247</v>
      </c>
      <c r="B1420" s="5" t="s">
        <v>1005</v>
      </c>
      <c r="C1420" s="5" t="s">
        <v>1120</v>
      </c>
      <c r="D1420" s="5" t="s">
        <v>1120</v>
      </c>
      <c r="E1420" s="6" t="s">
        <v>2114</v>
      </c>
      <c r="F1420" s="6" t="s">
        <v>2115</v>
      </c>
      <c r="G1420" s="6" t="s">
        <v>2045</v>
      </c>
      <c r="H1420" s="5"/>
      <c r="I1420" s="6" t="s">
        <v>2116</v>
      </c>
    </row>
    <row r="1421" customFormat="false" ht="15" hidden="false" customHeight="false" outlineLevel="0" collapsed="false">
      <c r="A1421" s="5" t="s">
        <v>2247</v>
      </c>
      <c r="B1421" s="5" t="s">
        <v>1005</v>
      </c>
      <c r="C1421" s="5" t="s">
        <v>1120</v>
      </c>
      <c r="D1421" s="5" t="s">
        <v>1120</v>
      </c>
      <c r="E1421" s="6" t="s">
        <v>2117</v>
      </c>
      <c r="F1421" s="6" t="s">
        <v>2115</v>
      </c>
      <c r="G1421" s="6" t="s">
        <v>2045</v>
      </c>
      <c r="H1421" s="5"/>
      <c r="I1421" s="6" t="s">
        <v>2116</v>
      </c>
    </row>
    <row r="1422" customFormat="false" ht="15" hidden="false" customHeight="false" outlineLevel="0" collapsed="false">
      <c r="A1422" s="5" t="s">
        <v>2247</v>
      </c>
      <c r="B1422" s="5" t="s">
        <v>1005</v>
      </c>
      <c r="C1422" s="5" t="s">
        <v>1120</v>
      </c>
      <c r="D1422" s="5" t="s">
        <v>1120</v>
      </c>
      <c r="E1422" s="6" t="s">
        <v>2118</v>
      </c>
      <c r="F1422" s="6" t="s">
        <v>2115</v>
      </c>
      <c r="G1422" s="6" t="s">
        <v>2045</v>
      </c>
      <c r="H1422" s="5"/>
      <c r="I1422" s="6" t="s">
        <v>2116</v>
      </c>
    </row>
    <row r="1423" customFormat="false" ht="35.05" hidden="false" customHeight="false" outlineLevel="0" collapsed="false">
      <c r="A1423" s="5" t="s">
        <v>2255</v>
      </c>
      <c r="B1423" s="5" t="s">
        <v>1005</v>
      </c>
      <c r="C1423" s="5" t="s">
        <v>1126</v>
      </c>
      <c r="D1423" s="5" t="s">
        <v>1126</v>
      </c>
      <c r="E1423" s="6" t="s">
        <v>2043</v>
      </c>
      <c r="F1423" s="6" t="s">
        <v>2044</v>
      </c>
      <c r="G1423" s="6" t="s">
        <v>2045</v>
      </c>
      <c r="H1423" s="5"/>
      <c r="I1423" s="6" t="s">
        <v>2046</v>
      </c>
    </row>
    <row r="1424" customFormat="false" ht="23.85" hidden="false" customHeight="false" outlineLevel="0" collapsed="false">
      <c r="A1424" s="5" t="s">
        <v>2255</v>
      </c>
      <c r="B1424" s="5" t="s">
        <v>1005</v>
      </c>
      <c r="C1424" s="5" t="s">
        <v>1126</v>
      </c>
      <c r="D1424" s="5" t="s">
        <v>1126</v>
      </c>
      <c r="E1424" s="6" t="s">
        <v>2047</v>
      </c>
      <c r="F1424" s="6" t="s">
        <v>2048</v>
      </c>
      <c r="G1424" s="6" t="s">
        <v>2045</v>
      </c>
      <c r="H1424" s="5"/>
      <c r="I1424" s="6" t="s">
        <v>2049</v>
      </c>
    </row>
    <row r="1425" customFormat="false" ht="15" hidden="false" customHeight="false" outlineLevel="0" collapsed="false">
      <c r="A1425" s="5" t="s">
        <v>2255</v>
      </c>
      <c r="B1425" s="5" t="s">
        <v>1005</v>
      </c>
      <c r="C1425" s="5" t="s">
        <v>1126</v>
      </c>
      <c r="D1425" s="5" t="s">
        <v>1126</v>
      </c>
      <c r="E1425" s="6" t="s">
        <v>2050</v>
      </c>
      <c r="F1425" s="6" t="s">
        <v>2051</v>
      </c>
      <c r="G1425" s="6" t="s">
        <v>2256</v>
      </c>
      <c r="H1425" s="5"/>
      <c r="I1425" s="6" t="s">
        <v>2053</v>
      </c>
    </row>
    <row r="1426" customFormat="false" ht="15" hidden="false" customHeight="false" outlineLevel="0" collapsed="false">
      <c r="A1426" s="5" t="s">
        <v>2255</v>
      </c>
      <c r="B1426" s="5" t="s">
        <v>1005</v>
      </c>
      <c r="C1426" s="5" t="s">
        <v>1126</v>
      </c>
      <c r="D1426" s="5" t="s">
        <v>1126</v>
      </c>
      <c r="E1426" s="6" t="s">
        <v>2054</v>
      </c>
      <c r="F1426" s="6" t="s">
        <v>2055</v>
      </c>
      <c r="G1426" s="6" t="s">
        <v>2045</v>
      </c>
      <c r="H1426" s="5"/>
      <c r="I1426" s="6" t="s">
        <v>2056</v>
      </c>
    </row>
    <row r="1427" customFormat="false" ht="15" hidden="false" customHeight="false" outlineLevel="0" collapsed="false">
      <c r="A1427" s="5" t="s">
        <v>2255</v>
      </c>
      <c r="B1427" s="5" t="s">
        <v>1005</v>
      </c>
      <c r="C1427" s="5" t="s">
        <v>1126</v>
      </c>
      <c r="D1427" s="5" t="s">
        <v>1126</v>
      </c>
      <c r="E1427" s="6" t="s">
        <v>2141</v>
      </c>
      <c r="F1427" s="6" t="s">
        <v>2257</v>
      </c>
      <c r="G1427" s="6" t="s">
        <v>2258</v>
      </c>
      <c r="H1427" s="5"/>
      <c r="I1427" s="6" t="s">
        <v>2049</v>
      </c>
    </row>
    <row r="1428" customFormat="false" ht="15" hidden="false" customHeight="false" outlineLevel="0" collapsed="false">
      <c r="A1428" s="5" t="s">
        <v>2255</v>
      </c>
      <c r="B1428" s="5" t="s">
        <v>1005</v>
      </c>
      <c r="C1428" s="5" t="s">
        <v>1126</v>
      </c>
      <c r="D1428" s="5" t="s">
        <v>1126</v>
      </c>
      <c r="E1428" s="6" t="s">
        <v>2060</v>
      </c>
      <c r="F1428" s="6" t="s">
        <v>2061</v>
      </c>
      <c r="G1428" s="6" t="s">
        <v>2169</v>
      </c>
      <c r="H1428" s="5"/>
      <c r="I1428" s="6" t="s">
        <v>2049</v>
      </c>
    </row>
    <row r="1429" customFormat="false" ht="15" hidden="false" customHeight="false" outlineLevel="0" collapsed="false">
      <c r="A1429" s="5" t="s">
        <v>2255</v>
      </c>
      <c r="B1429" s="5" t="s">
        <v>1005</v>
      </c>
      <c r="C1429" s="5" t="s">
        <v>1126</v>
      </c>
      <c r="D1429" s="5" t="s">
        <v>1126</v>
      </c>
      <c r="E1429" s="6" t="s">
        <v>2063</v>
      </c>
      <c r="F1429" s="6" t="s">
        <v>2061</v>
      </c>
      <c r="G1429" s="6" t="s">
        <v>2064</v>
      </c>
      <c r="H1429" s="5"/>
      <c r="I1429" s="6" t="s">
        <v>2049</v>
      </c>
    </row>
    <row r="1430" customFormat="false" ht="15" hidden="false" customHeight="false" outlineLevel="0" collapsed="false">
      <c r="A1430" s="5" t="s">
        <v>2255</v>
      </c>
      <c r="B1430" s="5" t="s">
        <v>1005</v>
      </c>
      <c r="C1430" s="5" t="s">
        <v>1126</v>
      </c>
      <c r="D1430" s="5" t="s">
        <v>1126</v>
      </c>
      <c r="E1430" s="6" t="s">
        <v>2065</v>
      </c>
      <c r="F1430" s="6" t="s">
        <v>2066</v>
      </c>
      <c r="G1430" s="6" t="s">
        <v>2259</v>
      </c>
      <c r="H1430" s="5"/>
      <c r="I1430" s="6" t="s">
        <v>2067</v>
      </c>
    </row>
    <row r="1431" customFormat="false" ht="15" hidden="false" customHeight="false" outlineLevel="0" collapsed="false">
      <c r="A1431" s="5" t="s">
        <v>2255</v>
      </c>
      <c r="B1431" s="5" t="s">
        <v>1005</v>
      </c>
      <c r="C1431" s="5" t="s">
        <v>1126</v>
      </c>
      <c r="D1431" s="5" t="s">
        <v>1126</v>
      </c>
      <c r="E1431" s="6" t="s">
        <v>2068</v>
      </c>
      <c r="F1431" s="6" t="s">
        <v>2069</v>
      </c>
      <c r="G1431" s="6" t="s">
        <v>2070</v>
      </c>
      <c r="H1431" s="5"/>
      <c r="I1431" s="6" t="s">
        <v>2071</v>
      </c>
    </row>
    <row r="1432" customFormat="false" ht="15" hidden="false" customHeight="false" outlineLevel="0" collapsed="false">
      <c r="A1432" s="5" t="s">
        <v>2255</v>
      </c>
      <c r="B1432" s="5" t="s">
        <v>1005</v>
      </c>
      <c r="C1432" s="5" t="s">
        <v>1126</v>
      </c>
      <c r="D1432" s="5" t="s">
        <v>1126</v>
      </c>
      <c r="E1432" s="6" t="s">
        <v>2072</v>
      </c>
      <c r="F1432" s="6" t="s">
        <v>2073</v>
      </c>
      <c r="G1432" s="6" t="s">
        <v>2070</v>
      </c>
      <c r="H1432" s="5"/>
      <c r="I1432" s="6" t="s">
        <v>2071</v>
      </c>
    </row>
    <row r="1433" customFormat="false" ht="15" hidden="false" customHeight="false" outlineLevel="0" collapsed="false">
      <c r="A1433" s="5" t="s">
        <v>2255</v>
      </c>
      <c r="B1433" s="5" t="s">
        <v>1005</v>
      </c>
      <c r="C1433" s="5" t="s">
        <v>1126</v>
      </c>
      <c r="D1433" s="5" t="s">
        <v>1126</v>
      </c>
      <c r="E1433" s="6" t="s">
        <v>2074</v>
      </c>
      <c r="F1433" s="6" t="s">
        <v>2075</v>
      </c>
      <c r="G1433" s="6" t="s">
        <v>2070</v>
      </c>
      <c r="H1433" s="5"/>
      <c r="I1433" s="6" t="s">
        <v>2071</v>
      </c>
    </row>
    <row r="1434" customFormat="false" ht="23.85" hidden="false" customHeight="false" outlineLevel="0" collapsed="false">
      <c r="A1434" s="5" t="s">
        <v>2255</v>
      </c>
      <c r="B1434" s="5" t="s">
        <v>1005</v>
      </c>
      <c r="C1434" s="5" t="s">
        <v>1126</v>
      </c>
      <c r="D1434" s="5" t="s">
        <v>1126</v>
      </c>
      <c r="E1434" s="6" t="s">
        <v>2076</v>
      </c>
      <c r="F1434" s="6" t="s">
        <v>2077</v>
      </c>
      <c r="G1434" s="6" t="s">
        <v>2070</v>
      </c>
      <c r="H1434" s="5"/>
      <c r="I1434" s="6" t="s">
        <v>2071</v>
      </c>
    </row>
    <row r="1435" customFormat="false" ht="15" hidden="false" customHeight="false" outlineLevel="0" collapsed="false">
      <c r="A1435" s="5" t="s">
        <v>2255</v>
      </c>
      <c r="B1435" s="5" t="s">
        <v>1005</v>
      </c>
      <c r="C1435" s="5" t="s">
        <v>1126</v>
      </c>
      <c r="D1435" s="5" t="s">
        <v>1126</v>
      </c>
      <c r="E1435" s="6" t="s">
        <v>2078</v>
      </c>
      <c r="F1435" s="6" t="s">
        <v>2079</v>
      </c>
      <c r="G1435" s="6" t="s">
        <v>2070</v>
      </c>
      <c r="H1435" s="5"/>
      <c r="I1435" s="6" t="s">
        <v>2071</v>
      </c>
    </row>
    <row r="1436" customFormat="false" ht="15" hidden="false" customHeight="false" outlineLevel="0" collapsed="false">
      <c r="A1436" s="5" t="s">
        <v>2255</v>
      </c>
      <c r="B1436" s="5" t="s">
        <v>1005</v>
      </c>
      <c r="C1436" s="5" t="s">
        <v>1126</v>
      </c>
      <c r="D1436" s="5" t="s">
        <v>1126</v>
      </c>
      <c r="E1436" s="6" t="s">
        <v>2080</v>
      </c>
      <c r="F1436" s="6" t="s">
        <v>2081</v>
      </c>
      <c r="G1436" s="6" t="s">
        <v>2070</v>
      </c>
      <c r="H1436" s="5"/>
      <c r="I1436" s="6" t="s">
        <v>2071</v>
      </c>
    </row>
    <row r="1437" customFormat="false" ht="15" hidden="false" customHeight="false" outlineLevel="0" collapsed="false">
      <c r="A1437" s="5" t="s">
        <v>2255</v>
      </c>
      <c r="B1437" s="5" t="s">
        <v>1005</v>
      </c>
      <c r="C1437" s="5" t="s">
        <v>1126</v>
      </c>
      <c r="D1437" s="5" t="s">
        <v>1126</v>
      </c>
      <c r="E1437" s="6" t="s">
        <v>2082</v>
      </c>
      <c r="F1437" s="6" t="s">
        <v>2083</v>
      </c>
      <c r="G1437" s="6" t="s">
        <v>2070</v>
      </c>
      <c r="H1437" s="5"/>
      <c r="I1437" s="6" t="s">
        <v>2071</v>
      </c>
    </row>
    <row r="1438" customFormat="false" ht="15" hidden="false" customHeight="false" outlineLevel="0" collapsed="false">
      <c r="A1438" s="5" t="s">
        <v>2255</v>
      </c>
      <c r="B1438" s="5" t="s">
        <v>1005</v>
      </c>
      <c r="C1438" s="5" t="s">
        <v>1126</v>
      </c>
      <c r="D1438" s="5" t="s">
        <v>1126</v>
      </c>
      <c r="E1438" s="6" t="s">
        <v>2084</v>
      </c>
      <c r="F1438" s="6" t="s">
        <v>2073</v>
      </c>
      <c r="G1438" s="6" t="s">
        <v>2070</v>
      </c>
      <c r="H1438" s="5"/>
      <c r="I1438" s="6" t="s">
        <v>2071</v>
      </c>
    </row>
    <row r="1439" customFormat="false" ht="15" hidden="false" customHeight="false" outlineLevel="0" collapsed="false">
      <c r="A1439" s="5" t="s">
        <v>2255</v>
      </c>
      <c r="B1439" s="5" t="s">
        <v>1005</v>
      </c>
      <c r="C1439" s="5" t="s">
        <v>1126</v>
      </c>
      <c r="D1439" s="5" t="s">
        <v>1126</v>
      </c>
      <c r="E1439" s="6" t="s">
        <v>2085</v>
      </c>
      <c r="F1439" s="6" t="s">
        <v>2086</v>
      </c>
      <c r="G1439" s="6" t="s">
        <v>2070</v>
      </c>
      <c r="H1439" s="5"/>
      <c r="I1439" s="6" t="s">
        <v>2071</v>
      </c>
    </row>
    <row r="1440" customFormat="false" ht="23.85" hidden="false" customHeight="false" outlineLevel="0" collapsed="false">
      <c r="A1440" s="5" t="s">
        <v>2255</v>
      </c>
      <c r="B1440" s="5" t="s">
        <v>1005</v>
      </c>
      <c r="C1440" s="5" t="s">
        <v>1126</v>
      </c>
      <c r="D1440" s="5" t="s">
        <v>1126</v>
      </c>
      <c r="E1440" s="6" t="s">
        <v>2087</v>
      </c>
      <c r="F1440" s="6" t="s">
        <v>2081</v>
      </c>
      <c r="G1440" s="6" t="s">
        <v>2070</v>
      </c>
      <c r="H1440" s="5"/>
      <c r="I1440" s="6" t="s">
        <v>2071</v>
      </c>
    </row>
    <row r="1441" customFormat="false" ht="15" hidden="false" customHeight="false" outlineLevel="0" collapsed="false">
      <c r="A1441" s="5" t="s">
        <v>2255</v>
      </c>
      <c r="B1441" s="5" t="s">
        <v>1005</v>
      </c>
      <c r="C1441" s="5" t="s">
        <v>1126</v>
      </c>
      <c r="D1441" s="5" t="s">
        <v>1126</v>
      </c>
      <c r="E1441" s="6" t="s">
        <v>2088</v>
      </c>
      <c r="F1441" s="6" t="s">
        <v>2081</v>
      </c>
      <c r="G1441" s="6" t="s">
        <v>2070</v>
      </c>
      <c r="H1441" s="5"/>
      <c r="I1441" s="6" t="s">
        <v>2071</v>
      </c>
    </row>
    <row r="1442" customFormat="false" ht="15" hidden="false" customHeight="false" outlineLevel="0" collapsed="false">
      <c r="A1442" s="5" t="s">
        <v>2255</v>
      </c>
      <c r="B1442" s="5" t="s">
        <v>1005</v>
      </c>
      <c r="C1442" s="5" t="s">
        <v>1126</v>
      </c>
      <c r="D1442" s="5" t="s">
        <v>1126</v>
      </c>
      <c r="E1442" s="6" t="s">
        <v>2089</v>
      </c>
      <c r="F1442" s="6" t="s">
        <v>2081</v>
      </c>
      <c r="G1442" s="6" t="s">
        <v>2070</v>
      </c>
      <c r="H1442" s="5"/>
      <c r="I1442" s="6" t="s">
        <v>2071</v>
      </c>
    </row>
    <row r="1443" customFormat="false" ht="15" hidden="false" customHeight="false" outlineLevel="0" collapsed="false">
      <c r="A1443" s="5" t="s">
        <v>2255</v>
      </c>
      <c r="B1443" s="5" t="s">
        <v>1005</v>
      </c>
      <c r="C1443" s="5" t="s">
        <v>1126</v>
      </c>
      <c r="D1443" s="5" t="s">
        <v>1126</v>
      </c>
      <c r="E1443" s="6" t="s">
        <v>2090</v>
      </c>
      <c r="F1443" s="6" t="s">
        <v>2081</v>
      </c>
      <c r="G1443" s="6" t="s">
        <v>2070</v>
      </c>
      <c r="H1443" s="5"/>
      <c r="I1443" s="6" t="s">
        <v>2071</v>
      </c>
    </row>
    <row r="1444" customFormat="false" ht="15" hidden="false" customHeight="false" outlineLevel="0" collapsed="false">
      <c r="A1444" s="5" t="s">
        <v>2255</v>
      </c>
      <c r="B1444" s="5" t="s">
        <v>1005</v>
      </c>
      <c r="C1444" s="5" t="s">
        <v>1126</v>
      </c>
      <c r="D1444" s="5" t="s">
        <v>1126</v>
      </c>
      <c r="E1444" s="6" t="s">
        <v>2091</v>
      </c>
      <c r="F1444" s="6" t="s">
        <v>2083</v>
      </c>
      <c r="G1444" s="6" t="s">
        <v>2092</v>
      </c>
      <c r="H1444" s="5"/>
      <c r="I1444" s="6" t="s">
        <v>2093</v>
      </c>
    </row>
    <row r="1445" customFormat="false" ht="15" hidden="false" customHeight="false" outlineLevel="0" collapsed="false">
      <c r="A1445" s="5" t="s">
        <v>2255</v>
      </c>
      <c r="B1445" s="5" t="s">
        <v>1005</v>
      </c>
      <c r="C1445" s="5" t="s">
        <v>1126</v>
      </c>
      <c r="D1445" s="5" t="s">
        <v>1126</v>
      </c>
      <c r="E1445" s="6" t="s">
        <v>2094</v>
      </c>
      <c r="F1445" s="6" t="s">
        <v>2069</v>
      </c>
      <c r="G1445" s="6" t="s">
        <v>2260</v>
      </c>
      <c r="H1445" s="5"/>
      <c r="I1445" s="6" t="s">
        <v>2093</v>
      </c>
    </row>
    <row r="1446" customFormat="false" ht="15" hidden="false" customHeight="false" outlineLevel="0" collapsed="false">
      <c r="A1446" s="5" t="s">
        <v>2255</v>
      </c>
      <c r="B1446" s="5" t="s">
        <v>1005</v>
      </c>
      <c r="C1446" s="5" t="s">
        <v>1126</v>
      </c>
      <c r="D1446" s="5" t="s">
        <v>1126</v>
      </c>
      <c r="E1446" s="6" t="s">
        <v>2096</v>
      </c>
      <c r="F1446" s="6" t="s">
        <v>2073</v>
      </c>
      <c r="G1446" s="6" t="s">
        <v>2254</v>
      </c>
      <c r="H1446" s="5"/>
      <c r="I1446" s="6" t="s">
        <v>2093</v>
      </c>
    </row>
    <row r="1447" customFormat="false" ht="15" hidden="false" customHeight="false" outlineLevel="0" collapsed="false">
      <c r="A1447" s="5" t="s">
        <v>2255</v>
      </c>
      <c r="B1447" s="5" t="s">
        <v>1005</v>
      </c>
      <c r="C1447" s="5" t="s">
        <v>1126</v>
      </c>
      <c r="D1447" s="5" t="s">
        <v>1126</v>
      </c>
      <c r="E1447" s="6" t="s">
        <v>2098</v>
      </c>
      <c r="F1447" s="6" t="s">
        <v>2075</v>
      </c>
      <c r="G1447" s="6" t="s">
        <v>2261</v>
      </c>
      <c r="H1447" s="5"/>
      <c r="I1447" s="6" t="s">
        <v>2093</v>
      </c>
    </row>
    <row r="1448" customFormat="false" ht="15" hidden="false" customHeight="false" outlineLevel="0" collapsed="false">
      <c r="A1448" s="5" t="s">
        <v>2255</v>
      </c>
      <c r="B1448" s="5" t="s">
        <v>1005</v>
      </c>
      <c r="C1448" s="5" t="s">
        <v>1126</v>
      </c>
      <c r="D1448" s="5" t="s">
        <v>1126</v>
      </c>
      <c r="E1448" s="6" t="s">
        <v>2100</v>
      </c>
      <c r="F1448" s="6" t="s">
        <v>2125</v>
      </c>
      <c r="G1448" s="6" t="s">
        <v>2199</v>
      </c>
      <c r="H1448" s="5"/>
      <c r="I1448" s="6" t="s">
        <v>2103</v>
      </c>
    </row>
    <row r="1449" customFormat="false" ht="23.85" hidden="false" customHeight="false" outlineLevel="0" collapsed="false">
      <c r="A1449" s="5" t="s">
        <v>2255</v>
      </c>
      <c r="B1449" s="5" t="s">
        <v>1005</v>
      </c>
      <c r="C1449" s="5" t="s">
        <v>1126</v>
      </c>
      <c r="D1449" s="5" t="s">
        <v>1126</v>
      </c>
      <c r="E1449" s="6" t="s">
        <v>2104</v>
      </c>
      <c r="F1449" s="6" t="s">
        <v>2127</v>
      </c>
      <c r="G1449" s="6" t="s">
        <v>2199</v>
      </c>
      <c r="H1449" s="5"/>
      <c r="I1449" s="6" t="s">
        <v>2103</v>
      </c>
    </row>
    <row r="1450" customFormat="false" ht="15" hidden="false" customHeight="false" outlineLevel="0" collapsed="false">
      <c r="A1450" s="5" t="s">
        <v>2255</v>
      </c>
      <c r="B1450" s="5" t="s">
        <v>1005</v>
      </c>
      <c r="C1450" s="5" t="s">
        <v>1126</v>
      </c>
      <c r="D1450" s="5" t="s">
        <v>1126</v>
      </c>
      <c r="E1450" s="6" t="s">
        <v>2107</v>
      </c>
      <c r="F1450" s="6" t="s">
        <v>2129</v>
      </c>
      <c r="G1450" s="6" t="s">
        <v>2199</v>
      </c>
      <c r="H1450" s="5"/>
      <c r="I1450" s="6" t="s">
        <v>2103</v>
      </c>
    </row>
    <row r="1451" customFormat="false" ht="15" hidden="false" customHeight="false" outlineLevel="0" collapsed="false">
      <c r="A1451" s="5" t="s">
        <v>2255</v>
      </c>
      <c r="B1451" s="5" t="s">
        <v>1005</v>
      </c>
      <c r="C1451" s="5" t="s">
        <v>1126</v>
      </c>
      <c r="D1451" s="5" t="s">
        <v>1126</v>
      </c>
      <c r="E1451" s="6" t="s">
        <v>2130</v>
      </c>
      <c r="F1451" s="6" t="s">
        <v>2111</v>
      </c>
      <c r="G1451" s="6" t="s">
        <v>2112</v>
      </c>
      <c r="H1451" s="5"/>
      <c r="I1451" s="6" t="s">
        <v>2103</v>
      </c>
    </row>
    <row r="1452" customFormat="false" ht="15" hidden="false" customHeight="false" outlineLevel="0" collapsed="false">
      <c r="A1452" s="5" t="s">
        <v>2255</v>
      </c>
      <c r="B1452" s="5" t="s">
        <v>1005</v>
      </c>
      <c r="C1452" s="5" t="s">
        <v>1126</v>
      </c>
      <c r="D1452" s="5" t="s">
        <v>1126</v>
      </c>
      <c r="E1452" s="6" t="s">
        <v>2131</v>
      </c>
      <c r="F1452" s="6" t="s">
        <v>2111</v>
      </c>
      <c r="G1452" s="6" t="s">
        <v>2112</v>
      </c>
      <c r="H1452" s="5"/>
      <c r="I1452" s="6" t="s">
        <v>2103</v>
      </c>
    </row>
    <row r="1453" customFormat="false" ht="15" hidden="false" customHeight="false" outlineLevel="0" collapsed="false">
      <c r="A1453" s="5" t="s">
        <v>2255</v>
      </c>
      <c r="B1453" s="5" t="s">
        <v>1005</v>
      </c>
      <c r="C1453" s="5" t="s">
        <v>1126</v>
      </c>
      <c r="D1453" s="5" t="s">
        <v>1126</v>
      </c>
      <c r="E1453" s="6" t="s">
        <v>2114</v>
      </c>
      <c r="F1453" s="6" t="s">
        <v>2115</v>
      </c>
      <c r="G1453" s="6" t="s">
        <v>2045</v>
      </c>
      <c r="H1453" s="5"/>
      <c r="I1453" s="6" t="s">
        <v>2116</v>
      </c>
    </row>
    <row r="1454" customFormat="false" ht="15" hidden="false" customHeight="false" outlineLevel="0" collapsed="false">
      <c r="A1454" s="5" t="s">
        <v>2255</v>
      </c>
      <c r="B1454" s="5" t="s">
        <v>1005</v>
      </c>
      <c r="C1454" s="5" t="s">
        <v>1126</v>
      </c>
      <c r="D1454" s="5" t="s">
        <v>1126</v>
      </c>
      <c r="E1454" s="6" t="s">
        <v>2117</v>
      </c>
      <c r="F1454" s="6" t="s">
        <v>2115</v>
      </c>
      <c r="G1454" s="6" t="s">
        <v>2045</v>
      </c>
      <c r="H1454" s="5"/>
      <c r="I1454" s="6" t="s">
        <v>2116</v>
      </c>
    </row>
    <row r="1455" customFormat="false" ht="15" hidden="false" customHeight="false" outlineLevel="0" collapsed="false">
      <c r="A1455" s="5" t="s">
        <v>2255</v>
      </c>
      <c r="B1455" s="5" t="s">
        <v>1005</v>
      </c>
      <c r="C1455" s="5" t="s">
        <v>1126</v>
      </c>
      <c r="D1455" s="5" t="s">
        <v>1126</v>
      </c>
      <c r="E1455" s="6" t="s">
        <v>2118</v>
      </c>
      <c r="F1455" s="6" t="s">
        <v>2115</v>
      </c>
      <c r="G1455" s="6" t="s">
        <v>2045</v>
      </c>
      <c r="H1455" s="5"/>
      <c r="I1455" s="6" t="s">
        <v>2116</v>
      </c>
    </row>
    <row r="1456" customFormat="false" ht="35.05" hidden="false" customHeight="false" outlineLevel="0" collapsed="false">
      <c r="A1456" s="5" t="s">
        <v>2262</v>
      </c>
      <c r="B1456" s="5" t="s">
        <v>1005</v>
      </c>
      <c r="C1456" s="5" t="s">
        <v>1132</v>
      </c>
      <c r="D1456" s="5" t="s">
        <v>1132</v>
      </c>
      <c r="E1456" s="6" t="s">
        <v>2043</v>
      </c>
      <c r="F1456" s="6" t="s">
        <v>2044</v>
      </c>
      <c r="G1456" s="6" t="s">
        <v>2045</v>
      </c>
      <c r="H1456" s="5"/>
      <c r="I1456" s="6" t="s">
        <v>2046</v>
      </c>
    </row>
    <row r="1457" customFormat="false" ht="23.85" hidden="false" customHeight="false" outlineLevel="0" collapsed="false">
      <c r="A1457" s="5" t="s">
        <v>2262</v>
      </c>
      <c r="B1457" s="5" t="s">
        <v>1005</v>
      </c>
      <c r="C1457" s="5" t="s">
        <v>1132</v>
      </c>
      <c r="D1457" s="5" t="s">
        <v>1132</v>
      </c>
      <c r="E1457" s="6" t="s">
        <v>2047</v>
      </c>
      <c r="F1457" s="6" t="s">
        <v>2048</v>
      </c>
      <c r="G1457" s="6" t="s">
        <v>2045</v>
      </c>
      <c r="H1457" s="5"/>
      <c r="I1457" s="6" t="s">
        <v>2049</v>
      </c>
    </row>
    <row r="1458" customFormat="false" ht="15" hidden="false" customHeight="false" outlineLevel="0" collapsed="false">
      <c r="A1458" s="5" t="s">
        <v>2262</v>
      </c>
      <c r="B1458" s="5" t="s">
        <v>1005</v>
      </c>
      <c r="C1458" s="5" t="s">
        <v>1132</v>
      </c>
      <c r="D1458" s="5" t="s">
        <v>1132</v>
      </c>
      <c r="E1458" s="6" t="s">
        <v>2050</v>
      </c>
      <c r="F1458" s="6" t="s">
        <v>2051</v>
      </c>
      <c r="G1458" s="6" t="s">
        <v>2263</v>
      </c>
      <c r="H1458" s="5"/>
      <c r="I1458" s="6" t="s">
        <v>2053</v>
      </c>
    </row>
    <row r="1459" customFormat="false" ht="15" hidden="false" customHeight="false" outlineLevel="0" collapsed="false">
      <c r="A1459" s="5" t="s">
        <v>2262</v>
      </c>
      <c r="B1459" s="5" t="s">
        <v>1005</v>
      </c>
      <c r="C1459" s="5" t="s">
        <v>1132</v>
      </c>
      <c r="D1459" s="5" t="s">
        <v>1132</v>
      </c>
      <c r="E1459" s="6" t="s">
        <v>2054</v>
      </c>
      <c r="F1459" s="6" t="s">
        <v>2055</v>
      </c>
      <c r="G1459" s="6" t="s">
        <v>2045</v>
      </c>
      <c r="H1459" s="5"/>
      <c r="I1459" s="6" t="s">
        <v>2056</v>
      </c>
    </row>
    <row r="1460" customFormat="false" ht="15" hidden="false" customHeight="false" outlineLevel="0" collapsed="false">
      <c r="A1460" s="5" t="s">
        <v>2262</v>
      </c>
      <c r="B1460" s="5" t="s">
        <v>1005</v>
      </c>
      <c r="C1460" s="5" t="s">
        <v>1132</v>
      </c>
      <c r="D1460" s="5" t="s">
        <v>1132</v>
      </c>
      <c r="E1460" s="6" t="s">
        <v>2057</v>
      </c>
      <c r="F1460" s="6" t="s">
        <v>2264</v>
      </c>
      <c r="G1460" s="6" t="s">
        <v>2265</v>
      </c>
      <c r="H1460" s="5"/>
      <c r="I1460" s="6" t="s">
        <v>2049</v>
      </c>
    </row>
    <row r="1461" customFormat="false" ht="15" hidden="false" customHeight="false" outlineLevel="0" collapsed="false">
      <c r="A1461" s="5" t="s">
        <v>2262</v>
      </c>
      <c r="B1461" s="5" t="s">
        <v>1005</v>
      </c>
      <c r="C1461" s="5" t="s">
        <v>1132</v>
      </c>
      <c r="D1461" s="5" t="s">
        <v>1132</v>
      </c>
      <c r="E1461" s="6" t="s">
        <v>2060</v>
      </c>
      <c r="F1461" s="6" t="s">
        <v>2061</v>
      </c>
      <c r="G1461" s="6" t="s">
        <v>2234</v>
      </c>
      <c r="H1461" s="5"/>
      <c r="I1461" s="6" t="s">
        <v>2049</v>
      </c>
    </row>
    <row r="1462" customFormat="false" ht="15" hidden="false" customHeight="false" outlineLevel="0" collapsed="false">
      <c r="A1462" s="5" t="s">
        <v>2262</v>
      </c>
      <c r="B1462" s="5" t="s">
        <v>1005</v>
      </c>
      <c r="C1462" s="5" t="s">
        <v>1132</v>
      </c>
      <c r="D1462" s="5" t="s">
        <v>1132</v>
      </c>
      <c r="E1462" s="6" t="s">
        <v>2063</v>
      </c>
      <c r="F1462" s="6" t="s">
        <v>2061</v>
      </c>
      <c r="G1462" s="6" t="s">
        <v>2151</v>
      </c>
      <c r="H1462" s="5"/>
      <c r="I1462" s="6" t="s">
        <v>2049</v>
      </c>
    </row>
    <row r="1463" customFormat="false" ht="15" hidden="false" customHeight="false" outlineLevel="0" collapsed="false">
      <c r="A1463" s="5" t="s">
        <v>2262</v>
      </c>
      <c r="B1463" s="5" t="s">
        <v>1005</v>
      </c>
      <c r="C1463" s="5" t="s">
        <v>1132</v>
      </c>
      <c r="D1463" s="5" t="s">
        <v>1132</v>
      </c>
      <c r="E1463" s="6" t="s">
        <v>2065</v>
      </c>
      <c r="F1463" s="6" t="s">
        <v>2066</v>
      </c>
      <c r="G1463" s="6" t="s">
        <v>1765</v>
      </c>
      <c r="H1463" s="5"/>
      <c r="I1463" s="6" t="s">
        <v>2067</v>
      </c>
    </row>
    <row r="1464" customFormat="false" ht="15" hidden="false" customHeight="false" outlineLevel="0" collapsed="false">
      <c r="A1464" s="5" t="s">
        <v>2262</v>
      </c>
      <c r="B1464" s="5" t="s">
        <v>1005</v>
      </c>
      <c r="C1464" s="5" t="s">
        <v>1132</v>
      </c>
      <c r="D1464" s="5" t="s">
        <v>1132</v>
      </c>
      <c r="E1464" s="6" t="s">
        <v>2068</v>
      </c>
      <c r="F1464" s="6" t="s">
        <v>2069</v>
      </c>
      <c r="G1464" s="6" t="s">
        <v>2070</v>
      </c>
      <c r="H1464" s="5"/>
      <c r="I1464" s="6" t="s">
        <v>2071</v>
      </c>
    </row>
    <row r="1465" customFormat="false" ht="15" hidden="false" customHeight="false" outlineLevel="0" collapsed="false">
      <c r="A1465" s="5" t="s">
        <v>2262</v>
      </c>
      <c r="B1465" s="5" t="s">
        <v>1005</v>
      </c>
      <c r="C1465" s="5" t="s">
        <v>1132</v>
      </c>
      <c r="D1465" s="5" t="s">
        <v>1132</v>
      </c>
      <c r="E1465" s="6" t="s">
        <v>2072</v>
      </c>
      <c r="F1465" s="6" t="s">
        <v>2073</v>
      </c>
      <c r="G1465" s="6" t="s">
        <v>2070</v>
      </c>
      <c r="H1465" s="5"/>
      <c r="I1465" s="6" t="s">
        <v>2071</v>
      </c>
    </row>
    <row r="1466" customFormat="false" ht="15" hidden="false" customHeight="false" outlineLevel="0" collapsed="false">
      <c r="A1466" s="5" t="s">
        <v>2262</v>
      </c>
      <c r="B1466" s="5" t="s">
        <v>1005</v>
      </c>
      <c r="C1466" s="5" t="s">
        <v>1132</v>
      </c>
      <c r="D1466" s="5" t="s">
        <v>1132</v>
      </c>
      <c r="E1466" s="6" t="s">
        <v>2074</v>
      </c>
      <c r="F1466" s="6" t="s">
        <v>2075</v>
      </c>
      <c r="G1466" s="6" t="s">
        <v>2070</v>
      </c>
      <c r="H1466" s="5"/>
      <c r="I1466" s="6" t="s">
        <v>2071</v>
      </c>
    </row>
    <row r="1467" customFormat="false" ht="23.85" hidden="false" customHeight="false" outlineLevel="0" collapsed="false">
      <c r="A1467" s="5" t="s">
        <v>2262</v>
      </c>
      <c r="B1467" s="5" t="s">
        <v>1005</v>
      </c>
      <c r="C1467" s="5" t="s">
        <v>1132</v>
      </c>
      <c r="D1467" s="5" t="s">
        <v>1132</v>
      </c>
      <c r="E1467" s="6" t="s">
        <v>2076</v>
      </c>
      <c r="F1467" s="6" t="s">
        <v>2077</v>
      </c>
      <c r="G1467" s="6" t="s">
        <v>2070</v>
      </c>
      <c r="H1467" s="5"/>
      <c r="I1467" s="6" t="s">
        <v>2071</v>
      </c>
    </row>
    <row r="1468" customFormat="false" ht="15" hidden="false" customHeight="false" outlineLevel="0" collapsed="false">
      <c r="A1468" s="5" t="s">
        <v>2262</v>
      </c>
      <c r="B1468" s="5" t="s">
        <v>1005</v>
      </c>
      <c r="C1468" s="5" t="s">
        <v>1132</v>
      </c>
      <c r="D1468" s="5" t="s">
        <v>1132</v>
      </c>
      <c r="E1468" s="6" t="s">
        <v>2078</v>
      </c>
      <c r="F1468" s="6" t="s">
        <v>2079</v>
      </c>
      <c r="G1468" s="6" t="s">
        <v>2070</v>
      </c>
      <c r="H1468" s="5"/>
      <c r="I1468" s="6" t="s">
        <v>2071</v>
      </c>
    </row>
    <row r="1469" customFormat="false" ht="15" hidden="false" customHeight="false" outlineLevel="0" collapsed="false">
      <c r="A1469" s="5" t="s">
        <v>2262</v>
      </c>
      <c r="B1469" s="5" t="s">
        <v>1005</v>
      </c>
      <c r="C1469" s="5" t="s">
        <v>1132</v>
      </c>
      <c r="D1469" s="5" t="s">
        <v>1132</v>
      </c>
      <c r="E1469" s="6" t="s">
        <v>2080</v>
      </c>
      <c r="F1469" s="6" t="s">
        <v>2081</v>
      </c>
      <c r="G1469" s="6" t="s">
        <v>2070</v>
      </c>
      <c r="H1469" s="5"/>
      <c r="I1469" s="6" t="s">
        <v>2071</v>
      </c>
    </row>
    <row r="1470" customFormat="false" ht="15" hidden="false" customHeight="false" outlineLevel="0" collapsed="false">
      <c r="A1470" s="5" t="s">
        <v>2262</v>
      </c>
      <c r="B1470" s="5" t="s">
        <v>1005</v>
      </c>
      <c r="C1470" s="5" t="s">
        <v>1132</v>
      </c>
      <c r="D1470" s="5" t="s">
        <v>1132</v>
      </c>
      <c r="E1470" s="6" t="s">
        <v>2082</v>
      </c>
      <c r="F1470" s="6" t="s">
        <v>2083</v>
      </c>
      <c r="G1470" s="6" t="s">
        <v>2070</v>
      </c>
      <c r="H1470" s="5"/>
      <c r="I1470" s="6" t="s">
        <v>2071</v>
      </c>
    </row>
    <row r="1471" customFormat="false" ht="15" hidden="false" customHeight="false" outlineLevel="0" collapsed="false">
      <c r="A1471" s="5" t="s">
        <v>2262</v>
      </c>
      <c r="B1471" s="5" t="s">
        <v>1005</v>
      </c>
      <c r="C1471" s="5" t="s">
        <v>1132</v>
      </c>
      <c r="D1471" s="5" t="s">
        <v>1132</v>
      </c>
      <c r="E1471" s="6" t="s">
        <v>2084</v>
      </c>
      <c r="F1471" s="6" t="s">
        <v>2073</v>
      </c>
      <c r="G1471" s="6" t="s">
        <v>2070</v>
      </c>
      <c r="H1471" s="5"/>
      <c r="I1471" s="6" t="s">
        <v>2071</v>
      </c>
    </row>
    <row r="1472" customFormat="false" ht="15" hidden="false" customHeight="false" outlineLevel="0" collapsed="false">
      <c r="A1472" s="5" t="s">
        <v>2262</v>
      </c>
      <c r="B1472" s="5" t="s">
        <v>1005</v>
      </c>
      <c r="C1472" s="5" t="s">
        <v>1132</v>
      </c>
      <c r="D1472" s="5" t="s">
        <v>1132</v>
      </c>
      <c r="E1472" s="6" t="s">
        <v>2085</v>
      </c>
      <c r="F1472" s="6" t="s">
        <v>2086</v>
      </c>
      <c r="G1472" s="6" t="s">
        <v>2070</v>
      </c>
      <c r="H1472" s="5"/>
      <c r="I1472" s="6" t="s">
        <v>2071</v>
      </c>
    </row>
    <row r="1473" customFormat="false" ht="23.85" hidden="false" customHeight="false" outlineLevel="0" collapsed="false">
      <c r="A1473" s="5" t="s">
        <v>2262</v>
      </c>
      <c r="B1473" s="5" t="s">
        <v>1005</v>
      </c>
      <c r="C1473" s="5" t="s">
        <v>1132</v>
      </c>
      <c r="D1473" s="5" t="s">
        <v>1132</v>
      </c>
      <c r="E1473" s="6" t="s">
        <v>2087</v>
      </c>
      <c r="F1473" s="6" t="s">
        <v>2081</v>
      </c>
      <c r="G1473" s="6" t="s">
        <v>2070</v>
      </c>
      <c r="H1473" s="5"/>
      <c r="I1473" s="6" t="s">
        <v>2071</v>
      </c>
    </row>
    <row r="1474" customFormat="false" ht="15" hidden="false" customHeight="false" outlineLevel="0" collapsed="false">
      <c r="A1474" s="5" t="s">
        <v>2262</v>
      </c>
      <c r="B1474" s="5" t="s">
        <v>1005</v>
      </c>
      <c r="C1474" s="5" t="s">
        <v>1132</v>
      </c>
      <c r="D1474" s="5" t="s">
        <v>1132</v>
      </c>
      <c r="E1474" s="6" t="s">
        <v>2088</v>
      </c>
      <c r="F1474" s="6" t="s">
        <v>2081</v>
      </c>
      <c r="G1474" s="6" t="s">
        <v>2070</v>
      </c>
      <c r="H1474" s="5"/>
      <c r="I1474" s="6" t="s">
        <v>2071</v>
      </c>
    </row>
    <row r="1475" customFormat="false" ht="15" hidden="false" customHeight="false" outlineLevel="0" collapsed="false">
      <c r="A1475" s="5" t="s">
        <v>2262</v>
      </c>
      <c r="B1475" s="5" t="s">
        <v>1005</v>
      </c>
      <c r="C1475" s="5" t="s">
        <v>1132</v>
      </c>
      <c r="D1475" s="5" t="s">
        <v>1132</v>
      </c>
      <c r="E1475" s="6" t="s">
        <v>2089</v>
      </c>
      <c r="F1475" s="6" t="s">
        <v>2081</v>
      </c>
      <c r="G1475" s="6" t="s">
        <v>2070</v>
      </c>
      <c r="H1475" s="5"/>
      <c r="I1475" s="6" t="s">
        <v>2071</v>
      </c>
    </row>
    <row r="1476" customFormat="false" ht="15" hidden="false" customHeight="false" outlineLevel="0" collapsed="false">
      <c r="A1476" s="5" t="s">
        <v>2262</v>
      </c>
      <c r="B1476" s="5" t="s">
        <v>1005</v>
      </c>
      <c r="C1476" s="5" t="s">
        <v>1132</v>
      </c>
      <c r="D1476" s="5" t="s">
        <v>1132</v>
      </c>
      <c r="E1476" s="6" t="s">
        <v>2090</v>
      </c>
      <c r="F1476" s="6" t="s">
        <v>2081</v>
      </c>
      <c r="G1476" s="6" t="s">
        <v>2070</v>
      </c>
      <c r="H1476" s="5"/>
      <c r="I1476" s="6" t="s">
        <v>2071</v>
      </c>
    </row>
    <row r="1477" customFormat="false" ht="15" hidden="false" customHeight="false" outlineLevel="0" collapsed="false">
      <c r="A1477" s="5" t="s">
        <v>2262</v>
      </c>
      <c r="B1477" s="5" t="s">
        <v>1005</v>
      </c>
      <c r="C1477" s="5" t="s">
        <v>1132</v>
      </c>
      <c r="D1477" s="5" t="s">
        <v>1132</v>
      </c>
      <c r="E1477" s="6" t="s">
        <v>2091</v>
      </c>
      <c r="F1477" s="6" t="s">
        <v>2083</v>
      </c>
      <c r="G1477" s="6" t="s">
        <v>2244</v>
      </c>
      <c r="H1477" s="5"/>
      <c r="I1477" s="6" t="s">
        <v>2093</v>
      </c>
    </row>
    <row r="1478" customFormat="false" ht="15" hidden="false" customHeight="false" outlineLevel="0" collapsed="false">
      <c r="A1478" s="5" t="s">
        <v>2262</v>
      </c>
      <c r="B1478" s="5" t="s">
        <v>1005</v>
      </c>
      <c r="C1478" s="5" t="s">
        <v>1132</v>
      </c>
      <c r="D1478" s="5" t="s">
        <v>1132</v>
      </c>
      <c r="E1478" s="6" t="s">
        <v>2094</v>
      </c>
      <c r="F1478" s="6" t="s">
        <v>2069</v>
      </c>
      <c r="G1478" s="6" t="s">
        <v>2236</v>
      </c>
      <c r="H1478" s="5"/>
      <c r="I1478" s="6" t="s">
        <v>2093</v>
      </c>
    </row>
    <row r="1479" customFormat="false" ht="15" hidden="false" customHeight="false" outlineLevel="0" collapsed="false">
      <c r="A1479" s="5" t="s">
        <v>2262</v>
      </c>
      <c r="B1479" s="5" t="s">
        <v>1005</v>
      </c>
      <c r="C1479" s="5" t="s">
        <v>1132</v>
      </c>
      <c r="D1479" s="5" t="s">
        <v>1132</v>
      </c>
      <c r="E1479" s="6" t="s">
        <v>2096</v>
      </c>
      <c r="F1479" s="6" t="s">
        <v>2073</v>
      </c>
      <c r="G1479" s="6" t="s">
        <v>2238</v>
      </c>
      <c r="H1479" s="5"/>
      <c r="I1479" s="6" t="s">
        <v>2093</v>
      </c>
    </row>
    <row r="1480" customFormat="false" ht="15" hidden="false" customHeight="false" outlineLevel="0" collapsed="false">
      <c r="A1480" s="5" t="s">
        <v>2262</v>
      </c>
      <c r="B1480" s="5" t="s">
        <v>1005</v>
      </c>
      <c r="C1480" s="5" t="s">
        <v>1132</v>
      </c>
      <c r="D1480" s="5" t="s">
        <v>1132</v>
      </c>
      <c r="E1480" s="6" t="s">
        <v>2098</v>
      </c>
      <c r="F1480" s="6" t="s">
        <v>2075</v>
      </c>
      <c r="G1480" s="6" t="s">
        <v>2171</v>
      </c>
      <c r="H1480" s="5"/>
      <c r="I1480" s="6" t="s">
        <v>2093</v>
      </c>
    </row>
    <row r="1481" customFormat="false" ht="15" hidden="false" customHeight="false" outlineLevel="0" collapsed="false">
      <c r="A1481" s="5" t="s">
        <v>2262</v>
      </c>
      <c r="B1481" s="5" t="s">
        <v>1005</v>
      </c>
      <c r="C1481" s="5" t="s">
        <v>1132</v>
      </c>
      <c r="D1481" s="5" t="s">
        <v>1132</v>
      </c>
      <c r="E1481" s="6" t="s">
        <v>2100</v>
      </c>
      <c r="F1481" s="6" t="s">
        <v>2101</v>
      </c>
      <c r="G1481" s="6" t="s">
        <v>2266</v>
      </c>
      <c r="H1481" s="5"/>
      <c r="I1481" s="6" t="s">
        <v>2103</v>
      </c>
    </row>
    <row r="1482" customFormat="false" ht="23.85" hidden="false" customHeight="false" outlineLevel="0" collapsed="false">
      <c r="A1482" s="5" t="s">
        <v>2262</v>
      </c>
      <c r="B1482" s="5" t="s">
        <v>1005</v>
      </c>
      <c r="C1482" s="5" t="s">
        <v>1132</v>
      </c>
      <c r="D1482" s="5" t="s">
        <v>1132</v>
      </c>
      <c r="E1482" s="6" t="s">
        <v>2104</v>
      </c>
      <c r="F1482" s="6" t="s">
        <v>2105</v>
      </c>
      <c r="G1482" s="6" t="s">
        <v>2267</v>
      </c>
      <c r="H1482" s="5"/>
      <c r="I1482" s="6" t="s">
        <v>2103</v>
      </c>
    </row>
    <row r="1483" customFormat="false" ht="15" hidden="false" customHeight="false" outlineLevel="0" collapsed="false">
      <c r="A1483" s="5" t="s">
        <v>2262</v>
      </c>
      <c r="B1483" s="5" t="s">
        <v>1005</v>
      </c>
      <c r="C1483" s="5" t="s">
        <v>1132</v>
      </c>
      <c r="D1483" s="5" t="s">
        <v>1132</v>
      </c>
      <c r="E1483" s="6" t="s">
        <v>2107</v>
      </c>
      <c r="F1483" s="6" t="s">
        <v>2108</v>
      </c>
      <c r="G1483" s="6" t="s">
        <v>1893</v>
      </c>
      <c r="H1483" s="5"/>
      <c r="I1483" s="6" t="s">
        <v>2103</v>
      </c>
    </row>
    <row r="1484" customFormat="false" ht="15" hidden="false" customHeight="false" outlineLevel="0" collapsed="false">
      <c r="A1484" s="5" t="s">
        <v>2262</v>
      </c>
      <c r="B1484" s="5" t="s">
        <v>1005</v>
      </c>
      <c r="C1484" s="5" t="s">
        <v>1132</v>
      </c>
      <c r="D1484" s="5" t="s">
        <v>1132</v>
      </c>
      <c r="E1484" s="6" t="s">
        <v>2110</v>
      </c>
      <c r="F1484" s="6" t="s">
        <v>2111</v>
      </c>
      <c r="G1484" s="6" t="s">
        <v>2112</v>
      </c>
      <c r="H1484" s="5"/>
      <c r="I1484" s="6" t="s">
        <v>2103</v>
      </c>
    </row>
    <row r="1485" customFormat="false" ht="15" hidden="false" customHeight="false" outlineLevel="0" collapsed="false">
      <c r="A1485" s="5" t="s">
        <v>2262</v>
      </c>
      <c r="B1485" s="5" t="s">
        <v>1005</v>
      </c>
      <c r="C1485" s="5" t="s">
        <v>1132</v>
      </c>
      <c r="D1485" s="5" t="s">
        <v>1132</v>
      </c>
      <c r="E1485" s="6" t="s">
        <v>2113</v>
      </c>
      <c r="F1485" s="6" t="s">
        <v>2111</v>
      </c>
      <c r="G1485" s="6" t="s">
        <v>2112</v>
      </c>
      <c r="H1485" s="5"/>
      <c r="I1485" s="6" t="s">
        <v>2103</v>
      </c>
    </row>
    <row r="1486" customFormat="false" ht="15" hidden="false" customHeight="false" outlineLevel="0" collapsed="false">
      <c r="A1486" s="5" t="s">
        <v>2262</v>
      </c>
      <c r="B1486" s="5" t="s">
        <v>1005</v>
      </c>
      <c r="C1486" s="5" t="s">
        <v>1132</v>
      </c>
      <c r="D1486" s="5" t="s">
        <v>1132</v>
      </c>
      <c r="E1486" s="6" t="s">
        <v>2114</v>
      </c>
      <c r="F1486" s="6" t="s">
        <v>2115</v>
      </c>
      <c r="G1486" s="6" t="s">
        <v>2045</v>
      </c>
      <c r="H1486" s="5"/>
      <c r="I1486" s="6" t="s">
        <v>2116</v>
      </c>
    </row>
    <row r="1487" customFormat="false" ht="15" hidden="false" customHeight="false" outlineLevel="0" collapsed="false">
      <c r="A1487" s="5" t="s">
        <v>2262</v>
      </c>
      <c r="B1487" s="5" t="s">
        <v>1005</v>
      </c>
      <c r="C1487" s="5" t="s">
        <v>1132</v>
      </c>
      <c r="D1487" s="5" t="s">
        <v>1132</v>
      </c>
      <c r="E1487" s="6" t="s">
        <v>2117</v>
      </c>
      <c r="F1487" s="6" t="s">
        <v>2115</v>
      </c>
      <c r="G1487" s="6" t="s">
        <v>2045</v>
      </c>
      <c r="H1487" s="5"/>
      <c r="I1487" s="6" t="s">
        <v>2116</v>
      </c>
    </row>
    <row r="1488" customFormat="false" ht="15" hidden="false" customHeight="false" outlineLevel="0" collapsed="false">
      <c r="A1488" s="5" t="s">
        <v>2262</v>
      </c>
      <c r="B1488" s="5" t="s">
        <v>1005</v>
      </c>
      <c r="C1488" s="5" t="s">
        <v>1132</v>
      </c>
      <c r="D1488" s="5" t="s">
        <v>1132</v>
      </c>
      <c r="E1488" s="6" t="s">
        <v>2118</v>
      </c>
      <c r="F1488" s="6" t="s">
        <v>2115</v>
      </c>
      <c r="G1488" s="6" t="s">
        <v>2045</v>
      </c>
      <c r="H1488" s="5"/>
      <c r="I1488" s="6" t="s">
        <v>2116</v>
      </c>
    </row>
    <row r="1489" customFormat="false" ht="35.05" hidden="false" customHeight="false" outlineLevel="0" collapsed="false">
      <c r="A1489" s="5" t="s">
        <v>2268</v>
      </c>
      <c r="B1489" s="5" t="s">
        <v>1005</v>
      </c>
      <c r="C1489" s="5" t="s">
        <v>1137</v>
      </c>
      <c r="D1489" s="5" t="s">
        <v>1137</v>
      </c>
      <c r="E1489" s="6" t="s">
        <v>2043</v>
      </c>
      <c r="F1489" s="6" t="s">
        <v>2044</v>
      </c>
      <c r="G1489" s="6" t="s">
        <v>2045</v>
      </c>
      <c r="H1489" s="5"/>
      <c r="I1489" s="6" t="s">
        <v>2046</v>
      </c>
    </row>
    <row r="1490" customFormat="false" ht="23.85" hidden="false" customHeight="false" outlineLevel="0" collapsed="false">
      <c r="A1490" s="5" t="s">
        <v>2268</v>
      </c>
      <c r="B1490" s="5" t="s">
        <v>1005</v>
      </c>
      <c r="C1490" s="5" t="s">
        <v>1137</v>
      </c>
      <c r="D1490" s="5" t="s">
        <v>1137</v>
      </c>
      <c r="E1490" s="6" t="s">
        <v>2047</v>
      </c>
      <c r="F1490" s="6" t="s">
        <v>2048</v>
      </c>
      <c r="G1490" s="6" t="s">
        <v>2045</v>
      </c>
      <c r="H1490" s="5"/>
      <c r="I1490" s="6" t="s">
        <v>2049</v>
      </c>
    </row>
    <row r="1491" customFormat="false" ht="15" hidden="false" customHeight="false" outlineLevel="0" collapsed="false">
      <c r="A1491" s="5" t="s">
        <v>2268</v>
      </c>
      <c r="B1491" s="5" t="s">
        <v>1005</v>
      </c>
      <c r="C1491" s="5" t="s">
        <v>1137</v>
      </c>
      <c r="D1491" s="5" t="s">
        <v>1137</v>
      </c>
      <c r="E1491" s="6" t="s">
        <v>2050</v>
      </c>
      <c r="F1491" s="6" t="s">
        <v>2051</v>
      </c>
      <c r="G1491" s="6" t="s">
        <v>2269</v>
      </c>
      <c r="H1491" s="5"/>
      <c r="I1491" s="6" t="s">
        <v>2053</v>
      </c>
    </row>
    <row r="1492" customFormat="false" ht="15" hidden="false" customHeight="false" outlineLevel="0" collapsed="false">
      <c r="A1492" s="5" t="s">
        <v>2268</v>
      </c>
      <c r="B1492" s="5" t="s">
        <v>1005</v>
      </c>
      <c r="C1492" s="5" t="s">
        <v>1137</v>
      </c>
      <c r="D1492" s="5" t="s">
        <v>1137</v>
      </c>
      <c r="E1492" s="6" t="s">
        <v>2054</v>
      </c>
      <c r="F1492" s="6" t="s">
        <v>2055</v>
      </c>
      <c r="G1492" s="6" t="s">
        <v>2045</v>
      </c>
      <c r="H1492" s="5"/>
      <c r="I1492" s="6" t="s">
        <v>2056</v>
      </c>
    </row>
    <row r="1493" customFormat="false" ht="15" hidden="false" customHeight="false" outlineLevel="0" collapsed="false">
      <c r="A1493" s="5" t="s">
        <v>2268</v>
      </c>
      <c r="B1493" s="5" t="s">
        <v>1005</v>
      </c>
      <c r="C1493" s="5" t="s">
        <v>1137</v>
      </c>
      <c r="D1493" s="5" t="s">
        <v>1137</v>
      </c>
      <c r="E1493" s="6" t="s">
        <v>2057</v>
      </c>
      <c r="F1493" s="6" t="s">
        <v>2270</v>
      </c>
      <c r="G1493" s="6" t="s">
        <v>2271</v>
      </c>
      <c r="H1493" s="5"/>
      <c r="I1493" s="6" t="s">
        <v>2049</v>
      </c>
    </row>
    <row r="1494" customFormat="false" ht="15" hidden="false" customHeight="false" outlineLevel="0" collapsed="false">
      <c r="A1494" s="5" t="s">
        <v>2268</v>
      </c>
      <c r="B1494" s="5" t="s">
        <v>1005</v>
      </c>
      <c r="C1494" s="5" t="s">
        <v>1137</v>
      </c>
      <c r="D1494" s="5" t="s">
        <v>1137</v>
      </c>
      <c r="E1494" s="6" t="s">
        <v>2060</v>
      </c>
      <c r="F1494" s="6" t="s">
        <v>2061</v>
      </c>
      <c r="G1494" s="6" t="s">
        <v>2221</v>
      </c>
      <c r="H1494" s="5"/>
      <c r="I1494" s="6" t="s">
        <v>2049</v>
      </c>
    </row>
    <row r="1495" customFormat="false" ht="15" hidden="false" customHeight="false" outlineLevel="0" collapsed="false">
      <c r="A1495" s="5" t="s">
        <v>2268</v>
      </c>
      <c r="B1495" s="5" t="s">
        <v>1005</v>
      </c>
      <c r="C1495" s="5" t="s">
        <v>1137</v>
      </c>
      <c r="D1495" s="5" t="s">
        <v>1137</v>
      </c>
      <c r="E1495" s="6" t="s">
        <v>2063</v>
      </c>
      <c r="F1495" s="6" t="s">
        <v>2061</v>
      </c>
      <c r="G1495" s="6" t="s">
        <v>2144</v>
      </c>
      <c r="H1495" s="5"/>
      <c r="I1495" s="6" t="s">
        <v>2049</v>
      </c>
    </row>
    <row r="1496" customFormat="false" ht="15" hidden="false" customHeight="false" outlineLevel="0" collapsed="false">
      <c r="A1496" s="5" t="s">
        <v>2268</v>
      </c>
      <c r="B1496" s="5" t="s">
        <v>1005</v>
      </c>
      <c r="C1496" s="5" t="s">
        <v>1137</v>
      </c>
      <c r="D1496" s="5" t="s">
        <v>1137</v>
      </c>
      <c r="E1496" s="6" t="s">
        <v>2065</v>
      </c>
      <c r="F1496" s="6" t="s">
        <v>2066</v>
      </c>
      <c r="G1496" s="6" t="s">
        <v>1765</v>
      </c>
      <c r="H1496" s="5"/>
      <c r="I1496" s="6" t="s">
        <v>2067</v>
      </c>
    </row>
    <row r="1497" customFormat="false" ht="15" hidden="false" customHeight="false" outlineLevel="0" collapsed="false">
      <c r="A1497" s="5" t="s">
        <v>2268</v>
      </c>
      <c r="B1497" s="5" t="s">
        <v>1005</v>
      </c>
      <c r="C1497" s="5" t="s">
        <v>1137</v>
      </c>
      <c r="D1497" s="5" t="s">
        <v>1137</v>
      </c>
      <c r="E1497" s="6" t="s">
        <v>2068</v>
      </c>
      <c r="F1497" s="6" t="s">
        <v>2069</v>
      </c>
      <c r="G1497" s="6" t="s">
        <v>2070</v>
      </c>
      <c r="H1497" s="5"/>
      <c r="I1497" s="6" t="s">
        <v>2071</v>
      </c>
    </row>
    <row r="1498" customFormat="false" ht="15" hidden="false" customHeight="false" outlineLevel="0" collapsed="false">
      <c r="A1498" s="5" t="s">
        <v>2268</v>
      </c>
      <c r="B1498" s="5" t="s">
        <v>1005</v>
      </c>
      <c r="C1498" s="5" t="s">
        <v>1137</v>
      </c>
      <c r="D1498" s="5" t="s">
        <v>1137</v>
      </c>
      <c r="E1498" s="6" t="s">
        <v>2072</v>
      </c>
      <c r="F1498" s="6" t="s">
        <v>2073</v>
      </c>
      <c r="G1498" s="6" t="s">
        <v>2070</v>
      </c>
      <c r="H1498" s="5"/>
      <c r="I1498" s="6" t="s">
        <v>2071</v>
      </c>
    </row>
    <row r="1499" customFormat="false" ht="15" hidden="false" customHeight="false" outlineLevel="0" collapsed="false">
      <c r="A1499" s="5" t="s">
        <v>2268</v>
      </c>
      <c r="B1499" s="5" t="s">
        <v>1005</v>
      </c>
      <c r="C1499" s="5" t="s">
        <v>1137</v>
      </c>
      <c r="D1499" s="5" t="s">
        <v>1137</v>
      </c>
      <c r="E1499" s="6" t="s">
        <v>2074</v>
      </c>
      <c r="F1499" s="6" t="s">
        <v>2075</v>
      </c>
      <c r="G1499" s="6" t="s">
        <v>2070</v>
      </c>
      <c r="H1499" s="5"/>
      <c r="I1499" s="6" t="s">
        <v>2071</v>
      </c>
    </row>
    <row r="1500" customFormat="false" ht="23.85" hidden="false" customHeight="false" outlineLevel="0" collapsed="false">
      <c r="A1500" s="5" t="s">
        <v>2268</v>
      </c>
      <c r="B1500" s="5" t="s">
        <v>1005</v>
      </c>
      <c r="C1500" s="5" t="s">
        <v>1137</v>
      </c>
      <c r="D1500" s="5" t="s">
        <v>1137</v>
      </c>
      <c r="E1500" s="6" t="s">
        <v>2076</v>
      </c>
      <c r="F1500" s="6" t="s">
        <v>2077</v>
      </c>
      <c r="G1500" s="6" t="s">
        <v>2070</v>
      </c>
      <c r="H1500" s="5"/>
      <c r="I1500" s="6" t="s">
        <v>2071</v>
      </c>
    </row>
    <row r="1501" customFormat="false" ht="15" hidden="false" customHeight="false" outlineLevel="0" collapsed="false">
      <c r="A1501" s="5" t="s">
        <v>2268</v>
      </c>
      <c r="B1501" s="5" t="s">
        <v>1005</v>
      </c>
      <c r="C1501" s="5" t="s">
        <v>1137</v>
      </c>
      <c r="D1501" s="5" t="s">
        <v>1137</v>
      </c>
      <c r="E1501" s="6" t="s">
        <v>2078</v>
      </c>
      <c r="F1501" s="6" t="s">
        <v>2079</v>
      </c>
      <c r="G1501" s="6" t="s">
        <v>2070</v>
      </c>
      <c r="H1501" s="5"/>
      <c r="I1501" s="6" t="s">
        <v>2071</v>
      </c>
    </row>
    <row r="1502" customFormat="false" ht="15" hidden="false" customHeight="false" outlineLevel="0" collapsed="false">
      <c r="A1502" s="5" t="s">
        <v>2268</v>
      </c>
      <c r="B1502" s="5" t="s">
        <v>1005</v>
      </c>
      <c r="C1502" s="5" t="s">
        <v>1137</v>
      </c>
      <c r="D1502" s="5" t="s">
        <v>1137</v>
      </c>
      <c r="E1502" s="6" t="s">
        <v>2080</v>
      </c>
      <c r="F1502" s="6" t="s">
        <v>2081</v>
      </c>
      <c r="G1502" s="6" t="s">
        <v>2070</v>
      </c>
      <c r="H1502" s="5"/>
      <c r="I1502" s="6" t="s">
        <v>2071</v>
      </c>
    </row>
    <row r="1503" customFormat="false" ht="15" hidden="false" customHeight="false" outlineLevel="0" collapsed="false">
      <c r="A1503" s="5" t="s">
        <v>2268</v>
      </c>
      <c r="B1503" s="5" t="s">
        <v>1005</v>
      </c>
      <c r="C1503" s="5" t="s">
        <v>1137</v>
      </c>
      <c r="D1503" s="5" t="s">
        <v>1137</v>
      </c>
      <c r="E1503" s="6" t="s">
        <v>2082</v>
      </c>
      <c r="F1503" s="6" t="s">
        <v>2083</v>
      </c>
      <c r="G1503" s="6" t="s">
        <v>2070</v>
      </c>
      <c r="H1503" s="5"/>
      <c r="I1503" s="6" t="s">
        <v>2071</v>
      </c>
    </row>
    <row r="1504" customFormat="false" ht="15" hidden="false" customHeight="false" outlineLevel="0" collapsed="false">
      <c r="A1504" s="5" t="s">
        <v>2268</v>
      </c>
      <c r="B1504" s="5" t="s">
        <v>1005</v>
      </c>
      <c r="C1504" s="5" t="s">
        <v>1137</v>
      </c>
      <c r="D1504" s="5" t="s">
        <v>1137</v>
      </c>
      <c r="E1504" s="6" t="s">
        <v>2084</v>
      </c>
      <c r="F1504" s="6" t="s">
        <v>2073</v>
      </c>
      <c r="G1504" s="6" t="s">
        <v>2070</v>
      </c>
      <c r="H1504" s="5"/>
      <c r="I1504" s="6" t="s">
        <v>2071</v>
      </c>
    </row>
    <row r="1505" customFormat="false" ht="15" hidden="false" customHeight="false" outlineLevel="0" collapsed="false">
      <c r="A1505" s="5" t="s">
        <v>2268</v>
      </c>
      <c r="B1505" s="5" t="s">
        <v>1005</v>
      </c>
      <c r="C1505" s="5" t="s">
        <v>1137</v>
      </c>
      <c r="D1505" s="5" t="s">
        <v>1137</v>
      </c>
      <c r="E1505" s="6" t="s">
        <v>2085</v>
      </c>
      <c r="F1505" s="6" t="s">
        <v>2086</v>
      </c>
      <c r="G1505" s="6" t="s">
        <v>2070</v>
      </c>
      <c r="H1505" s="5"/>
      <c r="I1505" s="6" t="s">
        <v>2071</v>
      </c>
    </row>
    <row r="1506" customFormat="false" ht="23.85" hidden="false" customHeight="false" outlineLevel="0" collapsed="false">
      <c r="A1506" s="5" t="s">
        <v>2268</v>
      </c>
      <c r="B1506" s="5" t="s">
        <v>1005</v>
      </c>
      <c r="C1506" s="5" t="s">
        <v>1137</v>
      </c>
      <c r="D1506" s="5" t="s">
        <v>1137</v>
      </c>
      <c r="E1506" s="6" t="s">
        <v>2087</v>
      </c>
      <c r="F1506" s="6" t="s">
        <v>2081</v>
      </c>
      <c r="G1506" s="6" t="s">
        <v>2070</v>
      </c>
      <c r="H1506" s="5"/>
      <c r="I1506" s="6" t="s">
        <v>2071</v>
      </c>
    </row>
    <row r="1507" customFormat="false" ht="15" hidden="false" customHeight="false" outlineLevel="0" collapsed="false">
      <c r="A1507" s="5" t="s">
        <v>2268</v>
      </c>
      <c r="B1507" s="5" t="s">
        <v>1005</v>
      </c>
      <c r="C1507" s="5" t="s">
        <v>1137</v>
      </c>
      <c r="D1507" s="5" t="s">
        <v>1137</v>
      </c>
      <c r="E1507" s="6" t="s">
        <v>2088</v>
      </c>
      <c r="F1507" s="6" t="s">
        <v>2081</v>
      </c>
      <c r="G1507" s="6" t="s">
        <v>2070</v>
      </c>
      <c r="H1507" s="5"/>
      <c r="I1507" s="6" t="s">
        <v>2071</v>
      </c>
    </row>
    <row r="1508" customFormat="false" ht="15" hidden="false" customHeight="false" outlineLevel="0" collapsed="false">
      <c r="A1508" s="5" t="s">
        <v>2268</v>
      </c>
      <c r="B1508" s="5" t="s">
        <v>1005</v>
      </c>
      <c r="C1508" s="5" t="s">
        <v>1137</v>
      </c>
      <c r="D1508" s="5" t="s">
        <v>1137</v>
      </c>
      <c r="E1508" s="6" t="s">
        <v>2089</v>
      </c>
      <c r="F1508" s="6" t="s">
        <v>2081</v>
      </c>
      <c r="G1508" s="6" t="s">
        <v>2070</v>
      </c>
      <c r="H1508" s="5"/>
      <c r="I1508" s="6" t="s">
        <v>2071</v>
      </c>
    </row>
    <row r="1509" customFormat="false" ht="15" hidden="false" customHeight="false" outlineLevel="0" collapsed="false">
      <c r="A1509" s="5" t="s">
        <v>2268</v>
      </c>
      <c r="B1509" s="5" t="s">
        <v>1005</v>
      </c>
      <c r="C1509" s="5" t="s">
        <v>1137</v>
      </c>
      <c r="D1509" s="5" t="s">
        <v>1137</v>
      </c>
      <c r="E1509" s="6" t="s">
        <v>2090</v>
      </c>
      <c r="F1509" s="6" t="s">
        <v>2081</v>
      </c>
      <c r="G1509" s="6" t="s">
        <v>2070</v>
      </c>
      <c r="H1509" s="5"/>
      <c r="I1509" s="6" t="s">
        <v>2071</v>
      </c>
    </row>
    <row r="1510" customFormat="false" ht="15" hidden="false" customHeight="false" outlineLevel="0" collapsed="false">
      <c r="A1510" s="5" t="s">
        <v>2268</v>
      </c>
      <c r="B1510" s="5" t="s">
        <v>1005</v>
      </c>
      <c r="C1510" s="5" t="s">
        <v>1137</v>
      </c>
      <c r="D1510" s="5" t="s">
        <v>1137</v>
      </c>
      <c r="E1510" s="6" t="s">
        <v>2091</v>
      </c>
      <c r="F1510" s="6" t="s">
        <v>2083</v>
      </c>
      <c r="G1510" s="6" t="s">
        <v>2272</v>
      </c>
      <c r="H1510" s="5"/>
      <c r="I1510" s="6" t="s">
        <v>2093</v>
      </c>
    </row>
    <row r="1511" customFormat="false" ht="15" hidden="false" customHeight="false" outlineLevel="0" collapsed="false">
      <c r="A1511" s="5" t="s">
        <v>2268</v>
      </c>
      <c r="B1511" s="5" t="s">
        <v>1005</v>
      </c>
      <c r="C1511" s="5" t="s">
        <v>1137</v>
      </c>
      <c r="D1511" s="5" t="s">
        <v>1137</v>
      </c>
      <c r="E1511" s="6" t="s">
        <v>2094</v>
      </c>
      <c r="F1511" s="6" t="s">
        <v>2069</v>
      </c>
      <c r="G1511" s="6" t="s">
        <v>2273</v>
      </c>
      <c r="H1511" s="5"/>
      <c r="I1511" s="6" t="s">
        <v>2093</v>
      </c>
    </row>
    <row r="1512" customFormat="false" ht="15" hidden="false" customHeight="false" outlineLevel="0" collapsed="false">
      <c r="A1512" s="5" t="s">
        <v>2268</v>
      </c>
      <c r="B1512" s="5" t="s">
        <v>1005</v>
      </c>
      <c r="C1512" s="5" t="s">
        <v>1137</v>
      </c>
      <c r="D1512" s="5" t="s">
        <v>1137</v>
      </c>
      <c r="E1512" s="6" t="s">
        <v>2096</v>
      </c>
      <c r="F1512" s="6" t="s">
        <v>2073</v>
      </c>
      <c r="G1512" s="6" t="s">
        <v>2274</v>
      </c>
      <c r="H1512" s="5"/>
      <c r="I1512" s="6" t="s">
        <v>2093</v>
      </c>
    </row>
    <row r="1513" customFormat="false" ht="15" hidden="false" customHeight="false" outlineLevel="0" collapsed="false">
      <c r="A1513" s="5" t="s">
        <v>2268</v>
      </c>
      <c r="B1513" s="5" t="s">
        <v>1005</v>
      </c>
      <c r="C1513" s="5" t="s">
        <v>1137</v>
      </c>
      <c r="D1513" s="5" t="s">
        <v>1137</v>
      </c>
      <c r="E1513" s="6" t="s">
        <v>2098</v>
      </c>
      <c r="F1513" s="6" t="s">
        <v>2075</v>
      </c>
      <c r="G1513" s="6" t="s">
        <v>2179</v>
      </c>
      <c r="H1513" s="5"/>
      <c r="I1513" s="6" t="s">
        <v>2093</v>
      </c>
    </row>
    <row r="1514" customFormat="false" ht="15" hidden="false" customHeight="false" outlineLevel="0" collapsed="false">
      <c r="A1514" s="5" t="s">
        <v>2268</v>
      </c>
      <c r="B1514" s="5" t="s">
        <v>1005</v>
      </c>
      <c r="C1514" s="5" t="s">
        <v>1137</v>
      </c>
      <c r="D1514" s="5" t="s">
        <v>1137</v>
      </c>
      <c r="E1514" s="6" t="s">
        <v>2100</v>
      </c>
      <c r="F1514" s="6" t="s">
        <v>2101</v>
      </c>
      <c r="G1514" s="6" t="s">
        <v>2173</v>
      </c>
      <c r="H1514" s="5"/>
      <c r="I1514" s="6" t="s">
        <v>2103</v>
      </c>
    </row>
    <row r="1515" customFormat="false" ht="23.85" hidden="false" customHeight="false" outlineLevel="0" collapsed="false">
      <c r="A1515" s="5" t="s">
        <v>2268</v>
      </c>
      <c r="B1515" s="5" t="s">
        <v>1005</v>
      </c>
      <c r="C1515" s="5" t="s">
        <v>1137</v>
      </c>
      <c r="D1515" s="5" t="s">
        <v>1137</v>
      </c>
      <c r="E1515" s="6" t="s">
        <v>2104</v>
      </c>
      <c r="F1515" s="6" t="s">
        <v>2105</v>
      </c>
      <c r="G1515" s="6" t="s">
        <v>2174</v>
      </c>
      <c r="H1515" s="5"/>
      <c r="I1515" s="6" t="s">
        <v>2103</v>
      </c>
    </row>
    <row r="1516" customFormat="false" ht="15" hidden="false" customHeight="false" outlineLevel="0" collapsed="false">
      <c r="A1516" s="5" t="s">
        <v>2268</v>
      </c>
      <c r="B1516" s="5" t="s">
        <v>1005</v>
      </c>
      <c r="C1516" s="5" t="s">
        <v>1137</v>
      </c>
      <c r="D1516" s="5" t="s">
        <v>1137</v>
      </c>
      <c r="E1516" s="6" t="s">
        <v>2107</v>
      </c>
      <c r="F1516" s="6" t="s">
        <v>2108</v>
      </c>
      <c r="G1516" s="6" t="s">
        <v>1893</v>
      </c>
      <c r="H1516" s="5"/>
      <c r="I1516" s="6" t="s">
        <v>2103</v>
      </c>
    </row>
    <row r="1517" customFormat="false" ht="15" hidden="false" customHeight="false" outlineLevel="0" collapsed="false">
      <c r="A1517" s="5" t="s">
        <v>2268</v>
      </c>
      <c r="B1517" s="5" t="s">
        <v>1005</v>
      </c>
      <c r="C1517" s="5" t="s">
        <v>1137</v>
      </c>
      <c r="D1517" s="5" t="s">
        <v>1137</v>
      </c>
      <c r="E1517" s="6" t="s">
        <v>2110</v>
      </c>
      <c r="F1517" s="6" t="s">
        <v>2111</v>
      </c>
      <c r="G1517" s="6" t="s">
        <v>2112</v>
      </c>
      <c r="H1517" s="5"/>
      <c r="I1517" s="6" t="s">
        <v>2103</v>
      </c>
    </row>
    <row r="1518" customFormat="false" ht="15" hidden="false" customHeight="false" outlineLevel="0" collapsed="false">
      <c r="A1518" s="5" t="s">
        <v>2268</v>
      </c>
      <c r="B1518" s="5" t="s">
        <v>1005</v>
      </c>
      <c r="C1518" s="5" t="s">
        <v>1137</v>
      </c>
      <c r="D1518" s="5" t="s">
        <v>1137</v>
      </c>
      <c r="E1518" s="6" t="s">
        <v>2113</v>
      </c>
      <c r="F1518" s="6" t="s">
        <v>2111</v>
      </c>
      <c r="G1518" s="6" t="s">
        <v>2112</v>
      </c>
      <c r="H1518" s="5"/>
      <c r="I1518" s="6" t="s">
        <v>2103</v>
      </c>
    </row>
    <row r="1519" customFormat="false" ht="15" hidden="false" customHeight="false" outlineLevel="0" collapsed="false">
      <c r="A1519" s="5" t="s">
        <v>2268</v>
      </c>
      <c r="B1519" s="5" t="s">
        <v>1005</v>
      </c>
      <c r="C1519" s="5" t="s">
        <v>1137</v>
      </c>
      <c r="D1519" s="5" t="s">
        <v>1137</v>
      </c>
      <c r="E1519" s="6" t="s">
        <v>2114</v>
      </c>
      <c r="F1519" s="6" t="s">
        <v>2115</v>
      </c>
      <c r="G1519" s="6" t="s">
        <v>2045</v>
      </c>
      <c r="H1519" s="5"/>
      <c r="I1519" s="6" t="s">
        <v>2116</v>
      </c>
    </row>
    <row r="1520" customFormat="false" ht="15" hidden="false" customHeight="false" outlineLevel="0" collapsed="false">
      <c r="A1520" s="5" t="s">
        <v>2268</v>
      </c>
      <c r="B1520" s="5" t="s">
        <v>1005</v>
      </c>
      <c r="C1520" s="5" t="s">
        <v>1137</v>
      </c>
      <c r="D1520" s="5" t="s">
        <v>1137</v>
      </c>
      <c r="E1520" s="6" t="s">
        <v>2117</v>
      </c>
      <c r="F1520" s="6" t="s">
        <v>2115</v>
      </c>
      <c r="G1520" s="6" t="s">
        <v>2045</v>
      </c>
      <c r="H1520" s="5"/>
      <c r="I1520" s="6" t="s">
        <v>2116</v>
      </c>
    </row>
    <row r="1521" customFormat="false" ht="15" hidden="false" customHeight="false" outlineLevel="0" collapsed="false">
      <c r="A1521" s="5" t="s">
        <v>2268</v>
      </c>
      <c r="B1521" s="5" t="s">
        <v>1005</v>
      </c>
      <c r="C1521" s="5" t="s">
        <v>1137</v>
      </c>
      <c r="D1521" s="5" t="s">
        <v>1137</v>
      </c>
      <c r="E1521" s="6" t="s">
        <v>2118</v>
      </c>
      <c r="F1521" s="6" t="s">
        <v>2115</v>
      </c>
      <c r="G1521" s="6" t="s">
        <v>2045</v>
      </c>
      <c r="H1521" s="5"/>
      <c r="I1521" s="6" t="s">
        <v>2116</v>
      </c>
    </row>
    <row r="1522" customFormat="false" ht="35.05" hidden="false" customHeight="false" outlineLevel="0" collapsed="false">
      <c r="A1522" s="5" t="s">
        <v>2275</v>
      </c>
      <c r="B1522" s="5" t="s">
        <v>1005</v>
      </c>
      <c r="C1522" s="5" t="s">
        <v>1142</v>
      </c>
      <c r="D1522" s="5" t="s">
        <v>1142</v>
      </c>
      <c r="E1522" s="6" t="s">
        <v>2043</v>
      </c>
      <c r="F1522" s="6" t="s">
        <v>2044</v>
      </c>
      <c r="G1522" s="6" t="s">
        <v>2045</v>
      </c>
      <c r="H1522" s="5"/>
      <c r="I1522" s="6" t="s">
        <v>2046</v>
      </c>
    </row>
    <row r="1523" customFormat="false" ht="23.85" hidden="false" customHeight="false" outlineLevel="0" collapsed="false">
      <c r="A1523" s="5" t="s">
        <v>2275</v>
      </c>
      <c r="B1523" s="5" t="s">
        <v>1005</v>
      </c>
      <c r="C1523" s="5" t="s">
        <v>1142</v>
      </c>
      <c r="D1523" s="5" t="s">
        <v>1142</v>
      </c>
      <c r="E1523" s="6" t="s">
        <v>2047</v>
      </c>
      <c r="F1523" s="6" t="s">
        <v>2048</v>
      </c>
      <c r="G1523" s="6" t="s">
        <v>2045</v>
      </c>
      <c r="H1523" s="5"/>
      <c r="I1523" s="6" t="s">
        <v>2049</v>
      </c>
    </row>
    <row r="1524" customFormat="false" ht="15" hidden="false" customHeight="false" outlineLevel="0" collapsed="false">
      <c r="A1524" s="5" t="s">
        <v>2275</v>
      </c>
      <c r="B1524" s="5" t="s">
        <v>1005</v>
      </c>
      <c r="C1524" s="5" t="s">
        <v>1142</v>
      </c>
      <c r="D1524" s="5" t="s">
        <v>1142</v>
      </c>
      <c r="E1524" s="6" t="s">
        <v>2050</v>
      </c>
      <c r="F1524" s="6" t="s">
        <v>2051</v>
      </c>
      <c r="G1524" s="6" t="s">
        <v>2276</v>
      </c>
      <c r="H1524" s="5"/>
      <c r="I1524" s="6" t="s">
        <v>2053</v>
      </c>
    </row>
    <row r="1525" customFormat="false" ht="15" hidden="false" customHeight="false" outlineLevel="0" collapsed="false">
      <c r="A1525" s="5" t="s">
        <v>2275</v>
      </c>
      <c r="B1525" s="5" t="s">
        <v>1005</v>
      </c>
      <c r="C1525" s="5" t="s">
        <v>1142</v>
      </c>
      <c r="D1525" s="5" t="s">
        <v>1142</v>
      </c>
      <c r="E1525" s="6" t="s">
        <v>2054</v>
      </c>
      <c r="F1525" s="6" t="s">
        <v>2055</v>
      </c>
      <c r="G1525" s="6" t="s">
        <v>2045</v>
      </c>
      <c r="H1525" s="5"/>
      <c r="I1525" s="6" t="s">
        <v>2056</v>
      </c>
    </row>
    <row r="1526" customFormat="false" ht="15" hidden="false" customHeight="false" outlineLevel="0" collapsed="false">
      <c r="A1526" s="5" t="s">
        <v>2275</v>
      </c>
      <c r="B1526" s="5" t="s">
        <v>1005</v>
      </c>
      <c r="C1526" s="5" t="s">
        <v>1142</v>
      </c>
      <c r="D1526" s="5" t="s">
        <v>1142</v>
      </c>
      <c r="E1526" s="6" t="s">
        <v>2141</v>
      </c>
      <c r="F1526" s="6" t="s">
        <v>2277</v>
      </c>
      <c r="G1526" s="6" t="s">
        <v>2278</v>
      </c>
      <c r="H1526" s="5"/>
      <c r="I1526" s="6" t="s">
        <v>2049</v>
      </c>
    </row>
    <row r="1527" customFormat="false" ht="15" hidden="false" customHeight="false" outlineLevel="0" collapsed="false">
      <c r="A1527" s="5" t="s">
        <v>2275</v>
      </c>
      <c r="B1527" s="5" t="s">
        <v>1005</v>
      </c>
      <c r="C1527" s="5" t="s">
        <v>1142</v>
      </c>
      <c r="D1527" s="5" t="s">
        <v>1142</v>
      </c>
      <c r="E1527" s="6" t="s">
        <v>2060</v>
      </c>
      <c r="F1527" s="6" t="s">
        <v>2061</v>
      </c>
      <c r="G1527" s="6" t="s">
        <v>2160</v>
      </c>
      <c r="H1527" s="5"/>
      <c r="I1527" s="6" t="s">
        <v>2049</v>
      </c>
    </row>
    <row r="1528" customFormat="false" ht="15" hidden="false" customHeight="false" outlineLevel="0" collapsed="false">
      <c r="A1528" s="5" t="s">
        <v>2275</v>
      </c>
      <c r="B1528" s="5" t="s">
        <v>1005</v>
      </c>
      <c r="C1528" s="5" t="s">
        <v>1142</v>
      </c>
      <c r="D1528" s="5" t="s">
        <v>1142</v>
      </c>
      <c r="E1528" s="6" t="s">
        <v>2063</v>
      </c>
      <c r="F1528" s="6" t="s">
        <v>2061</v>
      </c>
      <c r="G1528" s="6" t="s">
        <v>2144</v>
      </c>
      <c r="H1528" s="5"/>
      <c r="I1528" s="6" t="s">
        <v>2049</v>
      </c>
    </row>
    <row r="1529" customFormat="false" ht="15" hidden="false" customHeight="false" outlineLevel="0" collapsed="false">
      <c r="A1529" s="5" t="s">
        <v>2275</v>
      </c>
      <c r="B1529" s="5" t="s">
        <v>1005</v>
      </c>
      <c r="C1529" s="5" t="s">
        <v>1142</v>
      </c>
      <c r="D1529" s="5" t="s">
        <v>1142</v>
      </c>
      <c r="E1529" s="6" t="s">
        <v>2065</v>
      </c>
      <c r="F1529" s="6" t="s">
        <v>2066</v>
      </c>
      <c r="G1529" s="6" t="s">
        <v>1765</v>
      </c>
      <c r="H1529" s="5"/>
      <c r="I1529" s="6" t="s">
        <v>2067</v>
      </c>
    </row>
    <row r="1530" customFormat="false" ht="15" hidden="false" customHeight="false" outlineLevel="0" collapsed="false">
      <c r="A1530" s="5" t="s">
        <v>2275</v>
      </c>
      <c r="B1530" s="5" t="s">
        <v>1005</v>
      </c>
      <c r="C1530" s="5" t="s">
        <v>1142</v>
      </c>
      <c r="D1530" s="5" t="s">
        <v>1142</v>
      </c>
      <c r="E1530" s="6" t="s">
        <v>2068</v>
      </c>
      <c r="F1530" s="6" t="s">
        <v>2069</v>
      </c>
      <c r="G1530" s="6" t="s">
        <v>2070</v>
      </c>
      <c r="H1530" s="5"/>
      <c r="I1530" s="6" t="s">
        <v>2071</v>
      </c>
    </row>
    <row r="1531" customFormat="false" ht="15" hidden="false" customHeight="false" outlineLevel="0" collapsed="false">
      <c r="A1531" s="5" t="s">
        <v>2275</v>
      </c>
      <c r="B1531" s="5" t="s">
        <v>1005</v>
      </c>
      <c r="C1531" s="5" t="s">
        <v>1142</v>
      </c>
      <c r="D1531" s="5" t="s">
        <v>1142</v>
      </c>
      <c r="E1531" s="6" t="s">
        <v>2072</v>
      </c>
      <c r="F1531" s="6" t="s">
        <v>2073</v>
      </c>
      <c r="G1531" s="6" t="s">
        <v>2070</v>
      </c>
      <c r="H1531" s="5"/>
      <c r="I1531" s="6" t="s">
        <v>2071</v>
      </c>
    </row>
    <row r="1532" customFormat="false" ht="15" hidden="false" customHeight="false" outlineLevel="0" collapsed="false">
      <c r="A1532" s="5" t="s">
        <v>2275</v>
      </c>
      <c r="B1532" s="5" t="s">
        <v>1005</v>
      </c>
      <c r="C1532" s="5" t="s">
        <v>1142</v>
      </c>
      <c r="D1532" s="5" t="s">
        <v>1142</v>
      </c>
      <c r="E1532" s="6" t="s">
        <v>2074</v>
      </c>
      <c r="F1532" s="6" t="s">
        <v>2075</v>
      </c>
      <c r="G1532" s="6" t="s">
        <v>2070</v>
      </c>
      <c r="H1532" s="5"/>
      <c r="I1532" s="6" t="s">
        <v>2071</v>
      </c>
    </row>
    <row r="1533" customFormat="false" ht="23.85" hidden="false" customHeight="false" outlineLevel="0" collapsed="false">
      <c r="A1533" s="5" t="s">
        <v>2275</v>
      </c>
      <c r="B1533" s="5" t="s">
        <v>1005</v>
      </c>
      <c r="C1533" s="5" t="s">
        <v>1142</v>
      </c>
      <c r="D1533" s="5" t="s">
        <v>1142</v>
      </c>
      <c r="E1533" s="6" t="s">
        <v>2076</v>
      </c>
      <c r="F1533" s="6" t="s">
        <v>2077</v>
      </c>
      <c r="G1533" s="6" t="s">
        <v>2070</v>
      </c>
      <c r="H1533" s="5"/>
      <c r="I1533" s="6" t="s">
        <v>2071</v>
      </c>
    </row>
    <row r="1534" customFormat="false" ht="15" hidden="false" customHeight="false" outlineLevel="0" collapsed="false">
      <c r="A1534" s="5" t="s">
        <v>2275</v>
      </c>
      <c r="B1534" s="5" t="s">
        <v>1005</v>
      </c>
      <c r="C1534" s="5" t="s">
        <v>1142</v>
      </c>
      <c r="D1534" s="5" t="s">
        <v>1142</v>
      </c>
      <c r="E1534" s="6" t="s">
        <v>2078</v>
      </c>
      <c r="F1534" s="6" t="s">
        <v>2079</v>
      </c>
      <c r="G1534" s="6" t="s">
        <v>2070</v>
      </c>
      <c r="H1534" s="5"/>
      <c r="I1534" s="6" t="s">
        <v>2071</v>
      </c>
    </row>
    <row r="1535" customFormat="false" ht="15" hidden="false" customHeight="false" outlineLevel="0" collapsed="false">
      <c r="A1535" s="5" t="s">
        <v>2275</v>
      </c>
      <c r="B1535" s="5" t="s">
        <v>1005</v>
      </c>
      <c r="C1535" s="5" t="s">
        <v>1142</v>
      </c>
      <c r="D1535" s="5" t="s">
        <v>1142</v>
      </c>
      <c r="E1535" s="6" t="s">
        <v>2080</v>
      </c>
      <c r="F1535" s="6" t="s">
        <v>2081</v>
      </c>
      <c r="G1535" s="6" t="s">
        <v>2070</v>
      </c>
      <c r="H1535" s="5"/>
      <c r="I1535" s="6" t="s">
        <v>2071</v>
      </c>
    </row>
    <row r="1536" customFormat="false" ht="15" hidden="false" customHeight="false" outlineLevel="0" collapsed="false">
      <c r="A1536" s="5" t="s">
        <v>2275</v>
      </c>
      <c r="B1536" s="5" t="s">
        <v>1005</v>
      </c>
      <c r="C1536" s="5" t="s">
        <v>1142</v>
      </c>
      <c r="D1536" s="5" t="s">
        <v>1142</v>
      </c>
      <c r="E1536" s="6" t="s">
        <v>2082</v>
      </c>
      <c r="F1536" s="6" t="s">
        <v>2083</v>
      </c>
      <c r="G1536" s="6" t="s">
        <v>2070</v>
      </c>
      <c r="H1536" s="5"/>
      <c r="I1536" s="6" t="s">
        <v>2071</v>
      </c>
    </row>
    <row r="1537" customFormat="false" ht="15" hidden="false" customHeight="false" outlineLevel="0" collapsed="false">
      <c r="A1537" s="5" t="s">
        <v>2275</v>
      </c>
      <c r="B1537" s="5" t="s">
        <v>1005</v>
      </c>
      <c r="C1537" s="5" t="s">
        <v>1142</v>
      </c>
      <c r="D1537" s="5" t="s">
        <v>1142</v>
      </c>
      <c r="E1537" s="6" t="s">
        <v>2084</v>
      </c>
      <c r="F1537" s="6" t="s">
        <v>2073</v>
      </c>
      <c r="G1537" s="6" t="s">
        <v>2070</v>
      </c>
      <c r="H1537" s="5"/>
      <c r="I1537" s="6" t="s">
        <v>2071</v>
      </c>
    </row>
    <row r="1538" customFormat="false" ht="15" hidden="false" customHeight="false" outlineLevel="0" collapsed="false">
      <c r="A1538" s="5" t="s">
        <v>2275</v>
      </c>
      <c r="B1538" s="5" t="s">
        <v>1005</v>
      </c>
      <c r="C1538" s="5" t="s">
        <v>1142</v>
      </c>
      <c r="D1538" s="5" t="s">
        <v>1142</v>
      </c>
      <c r="E1538" s="6" t="s">
        <v>2085</v>
      </c>
      <c r="F1538" s="6" t="s">
        <v>2086</v>
      </c>
      <c r="G1538" s="6" t="s">
        <v>2070</v>
      </c>
      <c r="H1538" s="5"/>
      <c r="I1538" s="6" t="s">
        <v>2071</v>
      </c>
    </row>
    <row r="1539" customFormat="false" ht="23.85" hidden="false" customHeight="false" outlineLevel="0" collapsed="false">
      <c r="A1539" s="5" t="s">
        <v>2275</v>
      </c>
      <c r="B1539" s="5" t="s">
        <v>1005</v>
      </c>
      <c r="C1539" s="5" t="s">
        <v>1142</v>
      </c>
      <c r="D1539" s="5" t="s">
        <v>1142</v>
      </c>
      <c r="E1539" s="6" t="s">
        <v>2087</v>
      </c>
      <c r="F1539" s="6" t="s">
        <v>2081</v>
      </c>
      <c r="G1539" s="6" t="s">
        <v>2070</v>
      </c>
      <c r="H1539" s="5"/>
      <c r="I1539" s="6" t="s">
        <v>2071</v>
      </c>
    </row>
    <row r="1540" customFormat="false" ht="15" hidden="false" customHeight="false" outlineLevel="0" collapsed="false">
      <c r="A1540" s="5" t="s">
        <v>2275</v>
      </c>
      <c r="B1540" s="5" t="s">
        <v>1005</v>
      </c>
      <c r="C1540" s="5" t="s">
        <v>1142</v>
      </c>
      <c r="D1540" s="5" t="s">
        <v>1142</v>
      </c>
      <c r="E1540" s="6" t="s">
        <v>2088</v>
      </c>
      <c r="F1540" s="6" t="s">
        <v>2081</v>
      </c>
      <c r="G1540" s="6" t="s">
        <v>2070</v>
      </c>
      <c r="H1540" s="5"/>
      <c r="I1540" s="6" t="s">
        <v>2071</v>
      </c>
    </row>
    <row r="1541" customFormat="false" ht="15" hidden="false" customHeight="false" outlineLevel="0" collapsed="false">
      <c r="A1541" s="5" t="s">
        <v>2275</v>
      </c>
      <c r="B1541" s="5" t="s">
        <v>1005</v>
      </c>
      <c r="C1541" s="5" t="s">
        <v>1142</v>
      </c>
      <c r="D1541" s="5" t="s">
        <v>1142</v>
      </c>
      <c r="E1541" s="6" t="s">
        <v>2089</v>
      </c>
      <c r="F1541" s="6" t="s">
        <v>2081</v>
      </c>
      <c r="G1541" s="6" t="s">
        <v>2070</v>
      </c>
      <c r="H1541" s="5"/>
      <c r="I1541" s="6" t="s">
        <v>2071</v>
      </c>
    </row>
    <row r="1542" customFormat="false" ht="15" hidden="false" customHeight="false" outlineLevel="0" collapsed="false">
      <c r="A1542" s="5" t="s">
        <v>2275</v>
      </c>
      <c r="B1542" s="5" t="s">
        <v>1005</v>
      </c>
      <c r="C1542" s="5" t="s">
        <v>1142</v>
      </c>
      <c r="D1542" s="5" t="s">
        <v>1142</v>
      </c>
      <c r="E1542" s="6" t="s">
        <v>2090</v>
      </c>
      <c r="F1542" s="6" t="s">
        <v>2081</v>
      </c>
      <c r="G1542" s="6" t="s">
        <v>2070</v>
      </c>
      <c r="H1542" s="5"/>
      <c r="I1542" s="6" t="s">
        <v>2071</v>
      </c>
    </row>
    <row r="1543" customFormat="false" ht="15" hidden="false" customHeight="false" outlineLevel="0" collapsed="false">
      <c r="A1543" s="5" t="s">
        <v>2275</v>
      </c>
      <c r="B1543" s="5" t="s">
        <v>1005</v>
      </c>
      <c r="C1543" s="5" t="s">
        <v>1142</v>
      </c>
      <c r="D1543" s="5" t="s">
        <v>1142</v>
      </c>
      <c r="E1543" s="6" t="s">
        <v>2091</v>
      </c>
      <c r="F1543" s="6" t="s">
        <v>2083</v>
      </c>
      <c r="G1543" s="6" t="s">
        <v>2244</v>
      </c>
      <c r="H1543" s="5"/>
      <c r="I1543" s="6" t="s">
        <v>2093</v>
      </c>
    </row>
    <row r="1544" customFormat="false" ht="15" hidden="false" customHeight="false" outlineLevel="0" collapsed="false">
      <c r="A1544" s="5" t="s">
        <v>2275</v>
      </c>
      <c r="B1544" s="5" t="s">
        <v>1005</v>
      </c>
      <c r="C1544" s="5" t="s">
        <v>1142</v>
      </c>
      <c r="D1544" s="5" t="s">
        <v>1142</v>
      </c>
      <c r="E1544" s="6" t="s">
        <v>2094</v>
      </c>
      <c r="F1544" s="6" t="s">
        <v>2069</v>
      </c>
      <c r="G1544" s="6" t="s">
        <v>2279</v>
      </c>
      <c r="H1544" s="5"/>
      <c r="I1544" s="6" t="s">
        <v>2093</v>
      </c>
    </row>
    <row r="1545" customFormat="false" ht="15" hidden="false" customHeight="false" outlineLevel="0" collapsed="false">
      <c r="A1545" s="5" t="s">
        <v>2275</v>
      </c>
      <c r="B1545" s="5" t="s">
        <v>1005</v>
      </c>
      <c r="C1545" s="5" t="s">
        <v>1142</v>
      </c>
      <c r="D1545" s="5" t="s">
        <v>1142</v>
      </c>
      <c r="E1545" s="6" t="s">
        <v>2096</v>
      </c>
      <c r="F1545" s="6" t="s">
        <v>2073</v>
      </c>
      <c r="G1545" s="6" t="s">
        <v>2280</v>
      </c>
      <c r="H1545" s="5"/>
      <c r="I1545" s="6" t="s">
        <v>2093</v>
      </c>
    </row>
    <row r="1546" customFormat="false" ht="15" hidden="false" customHeight="false" outlineLevel="0" collapsed="false">
      <c r="A1546" s="5" t="s">
        <v>2275</v>
      </c>
      <c r="B1546" s="5" t="s">
        <v>1005</v>
      </c>
      <c r="C1546" s="5" t="s">
        <v>1142</v>
      </c>
      <c r="D1546" s="5" t="s">
        <v>1142</v>
      </c>
      <c r="E1546" s="6" t="s">
        <v>2098</v>
      </c>
      <c r="F1546" s="6" t="s">
        <v>2075</v>
      </c>
      <c r="G1546" s="6" t="s">
        <v>2179</v>
      </c>
      <c r="H1546" s="5"/>
      <c r="I1546" s="6" t="s">
        <v>2093</v>
      </c>
    </row>
    <row r="1547" customFormat="false" ht="15" hidden="false" customHeight="false" outlineLevel="0" collapsed="false">
      <c r="A1547" s="5" t="s">
        <v>2275</v>
      </c>
      <c r="B1547" s="5" t="s">
        <v>1005</v>
      </c>
      <c r="C1547" s="5" t="s">
        <v>1142</v>
      </c>
      <c r="D1547" s="5" t="s">
        <v>1142</v>
      </c>
      <c r="E1547" s="6" t="s">
        <v>2100</v>
      </c>
      <c r="F1547" s="6" t="s">
        <v>2125</v>
      </c>
      <c r="G1547" s="6" t="s">
        <v>2281</v>
      </c>
      <c r="H1547" s="5"/>
      <c r="I1547" s="6" t="s">
        <v>2103</v>
      </c>
    </row>
    <row r="1548" customFormat="false" ht="23.85" hidden="false" customHeight="false" outlineLevel="0" collapsed="false">
      <c r="A1548" s="5" t="s">
        <v>2275</v>
      </c>
      <c r="B1548" s="5" t="s">
        <v>1005</v>
      </c>
      <c r="C1548" s="5" t="s">
        <v>1142</v>
      </c>
      <c r="D1548" s="5" t="s">
        <v>1142</v>
      </c>
      <c r="E1548" s="6" t="s">
        <v>2104</v>
      </c>
      <c r="F1548" s="6" t="s">
        <v>2127</v>
      </c>
      <c r="G1548" s="6" t="s">
        <v>2282</v>
      </c>
      <c r="H1548" s="5"/>
      <c r="I1548" s="6" t="s">
        <v>2103</v>
      </c>
    </row>
    <row r="1549" customFormat="false" ht="15" hidden="false" customHeight="false" outlineLevel="0" collapsed="false">
      <c r="A1549" s="5" t="s">
        <v>2275</v>
      </c>
      <c r="B1549" s="5" t="s">
        <v>1005</v>
      </c>
      <c r="C1549" s="5" t="s">
        <v>1142</v>
      </c>
      <c r="D1549" s="5" t="s">
        <v>1142</v>
      </c>
      <c r="E1549" s="6" t="s">
        <v>2107</v>
      </c>
      <c r="F1549" s="6" t="s">
        <v>2129</v>
      </c>
      <c r="G1549" s="6" t="s">
        <v>2216</v>
      </c>
      <c r="H1549" s="5"/>
      <c r="I1549" s="6" t="s">
        <v>2103</v>
      </c>
    </row>
    <row r="1550" customFormat="false" ht="15" hidden="false" customHeight="false" outlineLevel="0" collapsed="false">
      <c r="A1550" s="5" t="s">
        <v>2275</v>
      </c>
      <c r="B1550" s="5" t="s">
        <v>1005</v>
      </c>
      <c r="C1550" s="5" t="s">
        <v>1142</v>
      </c>
      <c r="D1550" s="5" t="s">
        <v>1142</v>
      </c>
      <c r="E1550" s="6" t="s">
        <v>2110</v>
      </c>
      <c r="F1550" s="6" t="s">
        <v>2111</v>
      </c>
      <c r="G1550" s="6" t="s">
        <v>2112</v>
      </c>
      <c r="H1550" s="5"/>
      <c r="I1550" s="6" t="s">
        <v>2103</v>
      </c>
    </row>
    <row r="1551" customFormat="false" ht="15" hidden="false" customHeight="false" outlineLevel="0" collapsed="false">
      <c r="A1551" s="5" t="s">
        <v>2275</v>
      </c>
      <c r="B1551" s="5" t="s">
        <v>1005</v>
      </c>
      <c r="C1551" s="5" t="s">
        <v>1142</v>
      </c>
      <c r="D1551" s="5" t="s">
        <v>1142</v>
      </c>
      <c r="E1551" s="6" t="s">
        <v>2113</v>
      </c>
      <c r="F1551" s="6" t="s">
        <v>2111</v>
      </c>
      <c r="G1551" s="6" t="s">
        <v>2112</v>
      </c>
      <c r="H1551" s="5"/>
      <c r="I1551" s="6" t="s">
        <v>2103</v>
      </c>
    </row>
    <row r="1552" customFormat="false" ht="15" hidden="false" customHeight="false" outlineLevel="0" collapsed="false">
      <c r="A1552" s="5" t="s">
        <v>2275</v>
      </c>
      <c r="B1552" s="5" t="s">
        <v>1005</v>
      </c>
      <c r="C1552" s="5" t="s">
        <v>1142</v>
      </c>
      <c r="D1552" s="5" t="s">
        <v>1142</v>
      </c>
      <c r="E1552" s="6" t="s">
        <v>2114</v>
      </c>
      <c r="F1552" s="6" t="s">
        <v>2115</v>
      </c>
      <c r="G1552" s="6" t="s">
        <v>2045</v>
      </c>
      <c r="H1552" s="5"/>
      <c r="I1552" s="6" t="s">
        <v>2116</v>
      </c>
    </row>
    <row r="1553" customFormat="false" ht="15" hidden="false" customHeight="false" outlineLevel="0" collapsed="false">
      <c r="A1553" s="5" t="s">
        <v>2275</v>
      </c>
      <c r="B1553" s="5" t="s">
        <v>1005</v>
      </c>
      <c r="C1553" s="5" t="s">
        <v>1142</v>
      </c>
      <c r="D1553" s="5" t="s">
        <v>1142</v>
      </c>
      <c r="E1553" s="6" t="s">
        <v>2117</v>
      </c>
      <c r="F1553" s="6" t="s">
        <v>2115</v>
      </c>
      <c r="G1553" s="6" t="s">
        <v>2045</v>
      </c>
      <c r="H1553" s="5"/>
      <c r="I1553" s="6" t="s">
        <v>2116</v>
      </c>
    </row>
    <row r="1554" customFormat="false" ht="15" hidden="false" customHeight="false" outlineLevel="0" collapsed="false">
      <c r="A1554" s="5" t="s">
        <v>2275</v>
      </c>
      <c r="B1554" s="5" t="s">
        <v>1005</v>
      </c>
      <c r="C1554" s="5" t="s">
        <v>1142</v>
      </c>
      <c r="D1554" s="5" t="s">
        <v>1142</v>
      </c>
      <c r="E1554" s="6" t="s">
        <v>2118</v>
      </c>
      <c r="F1554" s="6" t="s">
        <v>2115</v>
      </c>
      <c r="G1554" s="6" t="s">
        <v>2045</v>
      </c>
      <c r="H1554" s="5"/>
      <c r="I1554" s="6" t="s">
        <v>2116</v>
      </c>
    </row>
    <row r="1555" customFormat="false" ht="35.05" hidden="false" customHeight="false" outlineLevel="0" collapsed="false">
      <c r="A1555" s="5" t="s">
        <v>2283</v>
      </c>
      <c r="B1555" s="5" t="s">
        <v>1005</v>
      </c>
      <c r="C1555" s="5" t="s">
        <v>1147</v>
      </c>
      <c r="D1555" s="5" t="s">
        <v>1147</v>
      </c>
      <c r="E1555" s="6" t="s">
        <v>2043</v>
      </c>
      <c r="F1555" s="6" t="s">
        <v>2044</v>
      </c>
      <c r="G1555" s="6" t="s">
        <v>2045</v>
      </c>
      <c r="H1555" s="5"/>
      <c r="I1555" s="6" t="s">
        <v>2046</v>
      </c>
    </row>
    <row r="1556" customFormat="false" ht="23.85" hidden="false" customHeight="false" outlineLevel="0" collapsed="false">
      <c r="A1556" s="5" t="s">
        <v>2283</v>
      </c>
      <c r="B1556" s="5" t="s">
        <v>1005</v>
      </c>
      <c r="C1556" s="5" t="s">
        <v>1147</v>
      </c>
      <c r="D1556" s="5" t="s">
        <v>1147</v>
      </c>
      <c r="E1556" s="6" t="s">
        <v>2047</v>
      </c>
      <c r="F1556" s="6" t="s">
        <v>2048</v>
      </c>
      <c r="G1556" s="6" t="s">
        <v>2045</v>
      </c>
      <c r="H1556" s="5"/>
      <c r="I1556" s="6" t="s">
        <v>2049</v>
      </c>
    </row>
    <row r="1557" customFormat="false" ht="15" hidden="false" customHeight="false" outlineLevel="0" collapsed="false">
      <c r="A1557" s="5" t="s">
        <v>2283</v>
      </c>
      <c r="B1557" s="5" t="s">
        <v>1005</v>
      </c>
      <c r="C1557" s="5" t="s">
        <v>1147</v>
      </c>
      <c r="D1557" s="5" t="s">
        <v>1147</v>
      </c>
      <c r="E1557" s="6" t="s">
        <v>2050</v>
      </c>
      <c r="F1557" s="6" t="s">
        <v>2051</v>
      </c>
      <c r="G1557" s="6" t="s">
        <v>2120</v>
      </c>
      <c r="H1557" s="5"/>
      <c r="I1557" s="6" t="s">
        <v>2053</v>
      </c>
    </row>
    <row r="1558" customFormat="false" ht="15" hidden="false" customHeight="false" outlineLevel="0" collapsed="false">
      <c r="A1558" s="5" t="s">
        <v>2283</v>
      </c>
      <c r="B1558" s="5" t="s">
        <v>1005</v>
      </c>
      <c r="C1558" s="5" t="s">
        <v>1147</v>
      </c>
      <c r="D1558" s="5" t="s">
        <v>1147</v>
      </c>
      <c r="E1558" s="6" t="s">
        <v>2054</v>
      </c>
      <c r="F1558" s="6" t="s">
        <v>2055</v>
      </c>
      <c r="G1558" s="6" t="s">
        <v>2045</v>
      </c>
      <c r="H1558" s="5"/>
      <c r="I1558" s="6" t="s">
        <v>2056</v>
      </c>
    </row>
    <row r="1559" customFormat="false" ht="15" hidden="false" customHeight="false" outlineLevel="0" collapsed="false">
      <c r="A1559" s="5" t="s">
        <v>2283</v>
      </c>
      <c r="B1559" s="5" t="s">
        <v>1005</v>
      </c>
      <c r="C1559" s="5" t="s">
        <v>1147</v>
      </c>
      <c r="D1559" s="5" t="s">
        <v>1147</v>
      </c>
      <c r="E1559" s="6" t="s">
        <v>2141</v>
      </c>
      <c r="F1559" s="6" t="s">
        <v>2284</v>
      </c>
      <c r="G1559" s="6" t="s">
        <v>2285</v>
      </c>
      <c r="H1559" s="5"/>
      <c r="I1559" s="6" t="s">
        <v>2049</v>
      </c>
    </row>
    <row r="1560" customFormat="false" ht="15" hidden="false" customHeight="false" outlineLevel="0" collapsed="false">
      <c r="A1560" s="5" t="s">
        <v>2283</v>
      </c>
      <c r="B1560" s="5" t="s">
        <v>1005</v>
      </c>
      <c r="C1560" s="5" t="s">
        <v>1147</v>
      </c>
      <c r="D1560" s="5" t="s">
        <v>1147</v>
      </c>
      <c r="E1560" s="6" t="s">
        <v>2060</v>
      </c>
      <c r="F1560" s="6" t="s">
        <v>2061</v>
      </c>
      <c r="G1560" s="6" t="s">
        <v>2234</v>
      </c>
      <c r="H1560" s="5"/>
      <c r="I1560" s="6" t="s">
        <v>2049</v>
      </c>
    </row>
    <row r="1561" customFormat="false" ht="15" hidden="false" customHeight="false" outlineLevel="0" collapsed="false">
      <c r="A1561" s="5" t="s">
        <v>2283</v>
      </c>
      <c r="B1561" s="5" t="s">
        <v>1005</v>
      </c>
      <c r="C1561" s="5" t="s">
        <v>1147</v>
      </c>
      <c r="D1561" s="5" t="s">
        <v>1147</v>
      </c>
      <c r="E1561" s="6" t="s">
        <v>2063</v>
      </c>
      <c r="F1561" s="6" t="s">
        <v>2061</v>
      </c>
      <c r="G1561" s="6" t="s">
        <v>2151</v>
      </c>
      <c r="H1561" s="5"/>
      <c r="I1561" s="6" t="s">
        <v>2049</v>
      </c>
    </row>
    <row r="1562" customFormat="false" ht="15" hidden="false" customHeight="false" outlineLevel="0" collapsed="false">
      <c r="A1562" s="5" t="s">
        <v>2283</v>
      </c>
      <c r="B1562" s="5" t="s">
        <v>1005</v>
      </c>
      <c r="C1562" s="5" t="s">
        <v>1147</v>
      </c>
      <c r="D1562" s="5" t="s">
        <v>1147</v>
      </c>
      <c r="E1562" s="6" t="s">
        <v>2065</v>
      </c>
      <c r="F1562" s="6" t="s">
        <v>2066</v>
      </c>
      <c r="G1562" s="6" t="s">
        <v>1765</v>
      </c>
      <c r="H1562" s="5"/>
      <c r="I1562" s="6" t="s">
        <v>2067</v>
      </c>
    </row>
    <row r="1563" customFormat="false" ht="15" hidden="false" customHeight="false" outlineLevel="0" collapsed="false">
      <c r="A1563" s="5" t="s">
        <v>2283</v>
      </c>
      <c r="B1563" s="5" t="s">
        <v>1005</v>
      </c>
      <c r="C1563" s="5" t="s">
        <v>1147</v>
      </c>
      <c r="D1563" s="5" t="s">
        <v>1147</v>
      </c>
      <c r="E1563" s="6" t="s">
        <v>2068</v>
      </c>
      <c r="F1563" s="6" t="s">
        <v>2069</v>
      </c>
      <c r="G1563" s="6" t="s">
        <v>2070</v>
      </c>
      <c r="H1563" s="5"/>
      <c r="I1563" s="6" t="s">
        <v>2071</v>
      </c>
    </row>
    <row r="1564" customFormat="false" ht="15" hidden="false" customHeight="false" outlineLevel="0" collapsed="false">
      <c r="A1564" s="5" t="s">
        <v>2283</v>
      </c>
      <c r="B1564" s="5" t="s">
        <v>1005</v>
      </c>
      <c r="C1564" s="5" t="s">
        <v>1147</v>
      </c>
      <c r="D1564" s="5" t="s">
        <v>1147</v>
      </c>
      <c r="E1564" s="6" t="s">
        <v>2072</v>
      </c>
      <c r="F1564" s="6" t="s">
        <v>2073</v>
      </c>
      <c r="G1564" s="6" t="s">
        <v>2070</v>
      </c>
      <c r="H1564" s="5"/>
      <c r="I1564" s="6" t="s">
        <v>2071</v>
      </c>
    </row>
    <row r="1565" customFormat="false" ht="15" hidden="false" customHeight="false" outlineLevel="0" collapsed="false">
      <c r="A1565" s="5" t="s">
        <v>2283</v>
      </c>
      <c r="B1565" s="5" t="s">
        <v>1005</v>
      </c>
      <c r="C1565" s="5" t="s">
        <v>1147</v>
      </c>
      <c r="D1565" s="5" t="s">
        <v>1147</v>
      </c>
      <c r="E1565" s="6" t="s">
        <v>2074</v>
      </c>
      <c r="F1565" s="6" t="s">
        <v>2075</v>
      </c>
      <c r="G1565" s="6" t="s">
        <v>2070</v>
      </c>
      <c r="H1565" s="5"/>
      <c r="I1565" s="6" t="s">
        <v>2071</v>
      </c>
    </row>
    <row r="1566" customFormat="false" ht="23.85" hidden="false" customHeight="false" outlineLevel="0" collapsed="false">
      <c r="A1566" s="5" t="s">
        <v>2283</v>
      </c>
      <c r="B1566" s="5" t="s">
        <v>1005</v>
      </c>
      <c r="C1566" s="5" t="s">
        <v>1147</v>
      </c>
      <c r="D1566" s="5" t="s">
        <v>1147</v>
      </c>
      <c r="E1566" s="6" t="s">
        <v>2076</v>
      </c>
      <c r="F1566" s="6" t="s">
        <v>2077</v>
      </c>
      <c r="G1566" s="6" t="s">
        <v>2070</v>
      </c>
      <c r="H1566" s="5"/>
      <c r="I1566" s="6" t="s">
        <v>2071</v>
      </c>
    </row>
    <row r="1567" customFormat="false" ht="15" hidden="false" customHeight="false" outlineLevel="0" collapsed="false">
      <c r="A1567" s="5" t="s">
        <v>2283</v>
      </c>
      <c r="B1567" s="5" t="s">
        <v>1005</v>
      </c>
      <c r="C1567" s="5" t="s">
        <v>1147</v>
      </c>
      <c r="D1567" s="5" t="s">
        <v>1147</v>
      </c>
      <c r="E1567" s="6" t="s">
        <v>2078</v>
      </c>
      <c r="F1567" s="6" t="s">
        <v>2079</v>
      </c>
      <c r="G1567" s="6" t="s">
        <v>2070</v>
      </c>
      <c r="H1567" s="5"/>
      <c r="I1567" s="6" t="s">
        <v>2071</v>
      </c>
    </row>
    <row r="1568" customFormat="false" ht="15" hidden="false" customHeight="false" outlineLevel="0" collapsed="false">
      <c r="A1568" s="5" t="s">
        <v>2283</v>
      </c>
      <c r="B1568" s="5" t="s">
        <v>1005</v>
      </c>
      <c r="C1568" s="5" t="s">
        <v>1147</v>
      </c>
      <c r="D1568" s="5" t="s">
        <v>1147</v>
      </c>
      <c r="E1568" s="6" t="s">
        <v>2080</v>
      </c>
      <c r="F1568" s="6" t="s">
        <v>2081</v>
      </c>
      <c r="G1568" s="6" t="s">
        <v>2070</v>
      </c>
      <c r="H1568" s="5"/>
      <c r="I1568" s="6" t="s">
        <v>2071</v>
      </c>
    </row>
    <row r="1569" customFormat="false" ht="15" hidden="false" customHeight="false" outlineLevel="0" collapsed="false">
      <c r="A1569" s="5" t="s">
        <v>2283</v>
      </c>
      <c r="B1569" s="5" t="s">
        <v>1005</v>
      </c>
      <c r="C1569" s="5" t="s">
        <v>1147</v>
      </c>
      <c r="D1569" s="5" t="s">
        <v>1147</v>
      </c>
      <c r="E1569" s="6" t="s">
        <v>2082</v>
      </c>
      <c r="F1569" s="6" t="s">
        <v>2083</v>
      </c>
      <c r="G1569" s="6" t="s">
        <v>2070</v>
      </c>
      <c r="H1569" s="5"/>
      <c r="I1569" s="6" t="s">
        <v>2071</v>
      </c>
    </row>
    <row r="1570" customFormat="false" ht="15" hidden="false" customHeight="false" outlineLevel="0" collapsed="false">
      <c r="A1570" s="5" t="s">
        <v>2283</v>
      </c>
      <c r="B1570" s="5" t="s">
        <v>1005</v>
      </c>
      <c r="C1570" s="5" t="s">
        <v>1147</v>
      </c>
      <c r="D1570" s="5" t="s">
        <v>1147</v>
      </c>
      <c r="E1570" s="6" t="s">
        <v>2084</v>
      </c>
      <c r="F1570" s="6" t="s">
        <v>2073</v>
      </c>
      <c r="G1570" s="6" t="s">
        <v>2070</v>
      </c>
      <c r="H1570" s="5"/>
      <c r="I1570" s="6" t="s">
        <v>2071</v>
      </c>
    </row>
    <row r="1571" customFormat="false" ht="15" hidden="false" customHeight="false" outlineLevel="0" collapsed="false">
      <c r="A1571" s="5" t="s">
        <v>2283</v>
      </c>
      <c r="B1571" s="5" t="s">
        <v>1005</v>
      </c>
      <c r="C1571" s="5" t="s">
        <v>1147</v>
      </c>
      <c r="D1571" s="5" t="s">
        <v>1147</v>
      </c>
      <c r="E1571" s="6" t="s">
        <v>2085</v>
      </c>
      <c r="F1571" s="6" t="s">
        <v>2086</v>
      </c>
      <c r="G1571" s="6" t="s">
        <v>2070</v>
      </c>
      <c r="H1571" s="5"/>
      <c r="I1571" s="6" t="s">
        <v>2071</v>
      </c>
    </row>
    <row r="1572" customFormat="false" ht="23.85" hidden="false" customHeight="false" outlineLevel="0" collapsed="false">
      <c r="A1572" s="5" t="s">
        <v>2283</v>
      </c>
      <c r="B1572" s="5" t="s">
        <v>1005</v>
      </c>
      <c r="C1572" s="5" t="s">
        <v>1147</v>
      </c>
      <c r="D1572" s="5" t="s">
        <v>1147</v>
      </c>
      <c r="E1572" s="6" t="s">
        <v>2087</v>
      </c>
      <c r="F1572" s="6" t="s">
        <v>2081</v>
      </c>
      <c r="G1572" s="6" t="s">
        <v>2070</v>
      </c>
      <c r="H1572" s="5"/>
      <c r="I1572" s="6" t="s">
        <v>2071</v>
      </c>
    </row>
    <row r="1573" customFormat="false" ht="15" hidden="false" customHeight="false" outlineLevel="0" collapsed="false">
      <c r="A1573" s="5" t="s">
        <v>2283</v>
      </c>
      <c r="B1573" s="5" t="s">
        <v>1005</v>
      </c>
      <c r="C1573" s="5" t="s">
        <v>1147</v>
      </c>
      <c r="D1573" s="5" t="s">
        <v>1147</v>
      </c>
      <c r="E1573" s="6" t="s">
        <v>2088</v>
      </c>
      <c r="F1573" s="6" t="s">
        <v>2081</v>
      </c>
      <c r="G1573" s="6" t="s">
        <v>2070</v>
      </c>
      <c r="H1573" s="5"/>
      <c r="I1573" s="6" t="s">
        <v>2071</v>
      </c>
    </row>
    <row r="1574" customFormat="false" ht="15" hidden="false" customHeight="false" outlineLevel="0" collapsed="false">
      <c r="A1574" s="5" t="s">
        <v>2283</v>
      </c>
      <c r="B1574" s="5" t="s">
        <v>1005</v>
      </c>
      <c r="C1574" s="5" t="s">
        <v>1147</v>
      </c>
      <c r="D1574" s="5" t="s">
        <v>1147</v>
      </c>
      <c r="E1574" s="6" t="s">
        <v>2089</v>
      </c>
      <c r="F1574" s="6" t="s">
        <v>2081</v>
      </c>
      <c r="G1574" s="6" t="s">
        <v>2070</v>
      </c>
      <c r="H1574" s="5"/>
      <c r="I1574" s="6" t="s">
        <v>2071</v>
      </c>
    </row>
    <row r="1575" customFormat="false" ht="15" hidden="false" customHeight="false" outlineLevel="0" collapsed="false">
      <c r="A1575" s="5" t="s">
        <v>2283</v>
      </c>
      <c r="B1575" s="5" t="s">
        <v>1005</v>
      </c>
      <c r="C1575" s="5" t="s">
        <v>1147</v>
      </c>
      <c r="D1575" s="5" t="s">
        <v>1147</v>
      </c>
      <c r="E1575" s="6" t="s">
        <v>2090</v>
      </c>
      <c r="F1575" s="6" t="s">
        <v>2081</v>
      </c>
      <c r="G1575" s="6" t="s">
        <v>2070</v>
      </c>
      <c r="H1575" s="5"/>
      <c r="I1575" s="6" t="s">
        <v>2071</v>
      </c>
    </row>
    <row r="1576" customFormat="false" ht="15" hidden="false" customHeight="false" outlineLevel="0" collapsed="false">
      <c r="A1576" s="5" t="s">
        <v>2283</v>
      </c>
      <c r="B1576" s="5" t="s">
        <v>1005</v>
      </c>
      <c r="C1576" s="5" t="s">
        <v>1147</v>
      </c>
      <c r="D1576" s="5" t="s">
        <v>1147</v>
      </c>
      <c r="E1576" s="6" t="s">
        <v>2091</v>
      </c>
      <c r="F1576" s="6" t="s">
        <v>2083</v>
      </c>
      <c r="G1576" s="6" t="s">
        <v>2244</v>
      </c>
      <c r="H1576" s="5"/>
      <c r="I1576" s="6" t="s">
        <v>2093</v>
      </c>
    </row>
    <row r="1577" customFormat="false" ht="15" hidden="false" customHeight="false" outlineLevel="0" collapsed="false">
      <c r="A1577" s="5" t="s">
        <v>2283</v>
      </c>
      <c r="B1577" s="5" t="s">
        <v>1005</v>
      </c>
      <c r="C1577" s="5" t="s">
        <v>1147</v>
      </c>
      <c r="D1577" s="5" t="s">
        <v>1147</v>
      </c>
      <c r="E1577" s="6" t="s">
        <v>2094</v>
      </c>
      <c r="F1577" s="6" t="s">
        <v>2069</v>
      </c>
      <c r="G1577" s="6" t="s">
        <v>2261</v>
      </c>
      <c r="H1577" s="5"/>
      <c r="I1577" s="6" t="s">
        <v>2093</v>
      </c>
    </row>
    <row r="1578" customFormat="false" ht="15" hidden="false" customHeight="false" outlineLevel="0" collapsed="false">
      <c r="A1578" s="5" t="s">
        <v>2283</v>
      </c>
      <c r="B1578" s="5" t="s">
        <v>1005</v>
      </c>
      <c r="C1578" s="5" t="s">
        <v>1147</v>
      </c>
      <c r="D1578" s="5" t="s">
        <v>1147</v>
      </c>
      <c r="E1578" s="6" t="s">
        <v>2096</v>
      </c>
      <c r="F1578" s="6" t="s">
        <v>2073</v>
      </c>
      <c r="G1578" s="6" t="s">
        <v>2286</v>
      </c>
      <c r="H1578" s="5"/>
      <c r="I1578" s="6" t="s">
        <v>2093</v>
      </c>
    </row>
    <row r="1579" customFormat="false" ht="15" hidden="false" customHeight="false" outlineLevel="0" collapsed="false">
      <c r="A1579" s="5" t="s">
        <v>2283</v>
      </c>
      <c r="B1579" s="5" t="s">
        <v>1005</v>
      </c>
      <c r="C1579" s="5" t="s">
        <v>1147</v>
      </c>
      <c r="D1579" s="5" t="s">
        <v>1147</v>
      </c>
      <c r="E1579" s="6" t="s">
        <v>2098</v>
      </c>
      <c r="F1579" s="6" t="s">
        <v>2075</v>
      </c>
      <c r="G1579" s="6" t="s">
        <v>2179</v>
      </c>
      <c r="H1579" s="5"/>
      <c r="I1579" s="6" t="s">
        <v>2093</v>
      </c>
    </row>
    <row r="1580" customFormat="false" ht="15" hidden="false" customHeight="false" outlineLevel="0" collapsed="false">
      <c r="A1580" s="5" t="s">
        <v>2283</v>
      </c>
      <c r="B1580" s="5" t="s">
        <v>1005</v>
      </c>
      <c r="C1580" s="5" t="s">
        <v>1147</v>
      </c>
      <c r="D1580" s="5" t="s">
        <v>1147</v>
      </c>
      <c r="E1580" s="6" t="s">
        <v>2100</v>
      </c>
      <c r="F1580" s="6" t="s">
        <v>2125</v>
      </c>
      <c r="G1580" s="6" t="s">
        <v>2287</v>
      </c>
      <c r="H1580" s="5"/>
      <c r="I1580" s="6" t="s">
        <v>2103</v>
      </c>
    </row>
    <row r="1581" customFormat="false" ht="23.85" hidden="false" customHeight="false" outlineLevel="0" collapsed="false">
      <c r="A1581" s="5" t="s">
        <v>2283</v>
      </c>
      <c r="B1581" s="5" t="s">
        <v>1005</v>
      </c>
      <c r="C1581" s="5" t="s">
        <v>1147</v>
      </c>
      <c r="D1581" s="5" t="s">
        <v>1147</v>
      </c>
      <c r="E1581" s="6" t="s">
        <v>2104</v>
      </c>
      <c r="F1581" s="6" t="s">
        <v>2127</v>
      </c>
      <c r="G1581" s="6" t="s">
        <v>2288</v>
      </c>
      <c r="H1581" s="5"/>
      <c r="I1581" s="6" t="s">
        <v>2103</v>
      </c>
    </row>
    <row r="1582" customFormat="false" ht="15" hidden="false" customHeight="false" outlineLevel="0" collapsed="false">
      <c r="A1582" s="5" t="s">
        <v>2283</v>
      </c>
      <c r="B1582" s="5" t="s">
        <v>1005</v>
      </c>
      <c r="C1582" s="5" t="s">
        <v>1147</v>
      </c>
      <c r="D1582" s="5" t="s">
        <v>1147</v>
      </c>
      <c r="E1582" s="6" t="s">
        <v>2107</v>
      </c>
      <c r="F1582" s="6" t="s">
        <v>2129</v>
      </c>
      <c r="G1582" s="6" t="s">
        <v>2109</v>
      </c>
      <c r="H1582" s="5"/>
      <c r="I1582" s="6" t="s">
        <v>2103</v>
      </c>
    </row>
    <row r="1583" customFormat="false" ht="15" hidden="false" customHeight="false" outlineLevel="0" collapsed="false">
      <c r="A1583" s="5" t="s">
        <v>2283</v>
      </c>
      <c r="B1583" s="5" t="s">
        <v>1005</v>
      </c>
      <c r="C1583" s="5" t="s">
        <v>1147</v>
      </c>
      <c r="D1583" s="5" t="s">
        <v>1147</v>
      </c>
      <c r="E1583" s="6" t="s">
        <v>2110</v>
      </c>
      <c r="F1583" s="6" t="s">
        <v>2111</v>
      </c>
      <c r="G1583" s="6" t="s">
        <v>2112</v>
      </c>
      <c r="H1583" s="5"/>
      <c r="I1583" s="6" t="s">
        <v>2103</v>
      </c>
    </row>
    <row r="1584" customFormat="false" ht="15" hidden="false" customHeight="false" outlineLevel="0" collapsed="false">
      <c r="A1584" s="5" t="s">
        <v>2283</v>
      </c>
      <c r="B1584" s="5" t="s">
        <v>1005</v>
      </c>
      <c r="C1584" s="5" t="s">
        <v>1147</v>
      </c>
      <c r="D1584" s="5" t="s">
        <v>1147</v>
      </c>
      <c r="E1584" s="6" t="s">
        <v>2113</v>
      </c>
      <c r="F1584" s="6" t="s">
        <v>2111</v>
      </c>
      <c r="G1584" s="6" t="s">
        <v>2112</v>
      </c>
      <c r="H1584" s="5"/>
      <c r="I1584" s="6" t="s">
        <v>2103</v>
      </c>
    </row>
    <row r="1585" customFormat="false" ht="15" hidden="false" customHeight="false" outlineLevel="0" collapsed="false">
      <c r="A1585" s="5" t="s">
        <v>2283</v>
      </c>
      <c r="B1585" s="5" t="s">
        <v>1005</v>
      </c>
      <c r="C1585" s="5" t="s">
        <v>1147</v>
      </c>
      <c r="D1585" s="5" t="s">
        <v>1147</v>
      </c>
      <c r="E1585" s="6" t="s">
        <v>2114</v>
      </c>
      <c r="F1585" s="6" t="s">
        <v>2115</v>
      </c>
      <c r="G1585" s="6" t="s">
        <v>2045</v>
      </c>
      <c r="H1585" s="5"/>
      <c r="I1585" s="6" t="s">
        <v>2116</v>
      </c>
    </row>
    <row r="1586" customFormat="false" ht="15" hidden="false" customHeight="false" outlineLevel="0" collapsed="false">
      <c r="A1586" s="5" t="s">
        <v>2283</v>
      </c>
      <c r="B1586" s="5" t="s">
        <v>1005</v>
      </c>
      <c r="C1586" s="5" t="s">
        <v>1147</v>
      </c>
      <c r="D1586" s="5" t="s">
        <v>1147</v>
      </c>
      <c r="E1586" s="6" t="s">
        <v>2117</v>
      </c>
      <c r="F1586" s="6" t="s">
        <v>2115</v>
      </c>
      <c r="G1586" s="6" t="s">
        <v>2045</v>
      </c>
      <c r="H1586" s="5"/>
      <c r="I1586" s="6" t="s">
        <v>2116</v>
      </c>
    </row>
    <row r="1587" customFormat="false" ht="15" hidden="false" customHeight="false" outlineLevel="0" collapsed="false">
      <c r="A1587" s="5" t="s">
        <v>2283</v>
      </c>
      <c r="B1587" s="5" t="s">
        <v>1005</v>
      </c>
      <c r="C1587" s="5" t="s">
        <v>1147</v>
      </c>
      <c r="D1587" s="5" t="s">
        <v>1147</v>
      </c>
      <c r="E1587" s="6" t="s">
        <v>2118</v>
      </c>
      <c r="F1587" s="6" t="s">
        <v>2115</v>
      </c>
      <c r="G1587" s="6" t="s">
        <v>2045</v>
      </c>
      <c r="H1587" s="5"/>
      <c r="I1587" s="6" t="s">
        <v>2116</v>
      </c>
    </row>
    <row r="1588" customFormat="false" ht="35.05" hidden="false" customHeight="false" outlineLevel="0" collapsed="false">
      <c r="A1588" s="5" t="s">
        <v>2289</v>
      </c>
      <c r="B1588" s="5" t="s">
        <v>1005</v>
      </c>
      <c r="C1588" s="5" t="s">
        <v>1152</v>
      </c>
      <c r="D1588" s="5" t="s">
        <v>1152</v>
      </c>
      <c r="E1588" s="6" t="s">
        <v>2043</v>
      </c>
      <c r="F1588" s="6" t="s">
        <v>2044</v>
      </c>
      <c r="G1588" s="6" t="s">
        <v>2045</v>
      </c>
      <c r="H1588" s="5"/>
      <c r="I1588" s="6" t="s">
        <v>2046</v>
      </c>
    </row>
    <row r="1589" customFormat="false" ht="23.85" hidden="false" customHeight="false" outlineLevel="0" collapsed="false">
      <c r="A1589" s="5" t="s">
        <v>2289</v>
      </c>
      <c r="B1589" s="5" t="s">
        <v>1005</v>
      </c>
      <c r="C1589" s="5" t="s">
        <v>1152</v>
      </c>
      <c r="D1589" s="5" t="s">
        <v>1152</v>
      </c>
      <c r="E1589" s="6" t="s">
        <v>2047</v>
      </c>
      <c r="F1589" s="6" t="s">
        <v>2048</v>
      </c>
      <c r="G1589" s="6" t="s">
        <v>2045</v>
      </c>
      <c r="H1589" s="5"/>
      <c r="I1589" s="6" t="s">
        <v>2049</v>
      </c>
    </row>
    <row r="1590" customFormat="false" ht="15" hidden="false" customHeight="false" outlineLevel="0" collapsed="false">
      <c r="A1590" s="5" t="s">
        <v>2289</v>
      </c>
      <c r="B1590" s="5" t="s">
        <v>1005</v>
      </c>
      <c r="C1590" s="5" t="s">
        <v>1152</v>
      </c>
      <c r="D1590" s="5" t="s">
        <v>1152</v>
      </c>
      <c r="E1590" s="6" t="s">
        <v>2050</v>
      </c>
      <c r="F1590" s="6" t="s">
        <v>2051</v>
      </c>
      <c r="G1590" s="6" t="s">
        <v>2290</v>
      </c>
      <c r="H1590" s="5"/>
      <c r="I1590" s="6" t="s">
        <v>2053</v>
      </c>
    </row>
    <row r="1591" customFormat="false" ht="15" hidden="false" customHeight="false" outlineLevel="0" collapsed="false">
      <c r="A1591" s="5" t="s">
        <v>2289</v>
      </c>
      <c r="B1591" s="5" t="s">
        <v>1005</v>
      </c>
      <c r="C1591" s="5" t="s">
        <v>1152</v>
      </c>
      <c r="D1591" s="5" t="s">
        <v>1152</v>
      </c>
      <c r="E1591" s="6" t="s">
        <v>2054</v>
      </c>
      <c r="F1591" s="6" t="s">
        <v>2055</v>
      </c>
      <c r="G1591" s="6" t="s">
        <v>2045</v>
      </c>
      <c r="H1591" s="5"/>
      <c r="I1591" s="6" t="s">
        <v>2056</v>
      </c>
    </row>
    <row r="1592" customFormat="false" ht="15" hidden="false" customHeight="false" outlineLevel="0" collapsed="false">
      <c r="A1592" s="5" t="s">
        <v>2289</v>
      </c>
      <c r="B1592" s="5" t="s">
        <v>1005</v>
      </c>
      <c r="C1592" s="5" t="s">
        <v>1152</v>
      </c>
      <c r="D1592" s="5" t="s">
        <v>1152</v>
      </c>
      <c r="E1592" s="6" t="s">
        <v>2141</v>
      </c>
      <c r="F1592" s="6" t="s">
        <v>2291</v>
      </c>
      <c r="G1592" s="6" t="s">
        <v>2292</v>
      </c>
      <c r="H1592" s="5"/>
      <c r="I1592" s="6" t="s">
        <v>2049</v>
      </c>
    </row>
    <row r="1593" customFormat="false" ht="15" hidden="false" customHeight="false" outlineLevel="0" collapsed="false">
      <c r="A1593" s="5" t="s">
        <v>2289</v>
      </c>
      <c r="B1593" s="5" t="s">
        <v>1005</v>
      </c>
      <c r="C1593" s="5" t="s">
        <v>1152</v>
      </c>
      <c r="D1593" s="5" t="s">
        <v>1152</v>
      </c>
      <c r="E1593" s="6" t="s">
        <v>2060</v>
      </c>
      <c r="F1593" s="6" t="s">
        <v>2061</v>
      </c>
      <c r="G1593" s="6" t="s">
        <v>2160</v>
      </c>
      <c r="H1593" s="5"/>
      <c r="I1593" s="6" t="s">
        <v>2049</v>
      </c>
    </row>
    <row r="1594" customFormat="false" ht="15" hidden="false" customHeight="false" outlineLevel="0" collapsed="false">
      <c r="A1594" s="5" t="s">
        <v>2289</v>
      </c>
      <c r="B1594" s="5" t="s">
        <v>1005</v>
      </c>
      <c r="C1594" s="5" t="s">
        <v>1152</v>
      </c>
      <c r="D1594" s="5" t="s">
        <v>1152</v>
      </c>
      <c r="E1594" s="6" t="s">
        <v>2063</v>
      </c>
      <c r="F1594" s="6" t="s">
        <v>2061</v>
      </c>
      <c r="G1594" s="6" t="s">
        <v>2151</v>
      </c>
      <c r="H1594" s="5"/>
      <c r="I1594" s="6" t="s">
        <v>2049</v>
      </c>
    </row>
    <row r="1595" customFormat="false" ht="15" hidden="false" customHeight="false" outlineLevel="0" collapsed="false">
      <c r="A1595" s="5" t="s">
        <v>2289</v>
      </c>
      <c r="B1595" s="5" t="s">
        <v>1005</v>
      </c>
      <c r="C1595" s="5" t="s">
        <v>1152</v>
      </c>
      <c r="D1595" s="5" t="s">
        <v>1152</v>
      </c>
      <c r="E1595" s="6" t="s">
        <v>2065</v>
      </c>
      <c r="F1595" s="6" t="s">
        <v>2066</v>
      </c>
      <c r="G1595" s="6" t="s">
        <v>1765</v>
      </c>
      <c r="H1595" s="5"/>
      <c r="I1595" s="6" t="s">
        <v>2067</v>
      </c>
    </row>
    <row r="1596" customFormat="false" ht="15" hidden="false" customHeight="false" outlineLevel="0" collapsed="false">
      <c r="A1596" s="5" t="s">
        <v>2289</v>
      </c>
      <c r="B1596" s="5" t="s">
        <v>1005</v>
      </c>
      <c r="C1596" s="5" t="s">
        <v>1152</v>
      </c>
      <c r="D1596" s="5" t="s">
        <v>1152</v>
      </c>
      <c r="E1596" s="6" t="s">
        <v>2068</v>
      </c>
      <c r="F1596" s="6" t="s">
        <v>2069</v>
      </c>
      <c r="G1596" s="6" t="s">
        <v>2070</v>
      </c>
      <c r="H1596" s="5"/>
      <c r="I1596" s="6" t="s">
        <v>2071</v>
      </c>
    </row>
    <row r="1597" customFormat="false" ht="15" hidden="false" customHeight="false" outlineLevel="0" collapsed="false">
      <c r="A1597" s="5" t="s">
        <v>2289</v>
      </c>
      <c r="B1597" s="5" t="s">
        <v>1005</v>
      </c>
      <c r="C1597" s="5" t="s">
        <v>1152</v>
      </c>
      <c r="D1597" s="5" t="s">
        <v>1152</v>
      </c>
      <c r="E1597" s="6" t="s">
        <v>2072</v>
      </c>
      <c r="F1597" s="6" t="s">
        <v>2073</v>
      </c>
      <c r="G1597" s="6" t="s">
        <v>2070</v>
      </c>
      <c r="H1597" s="5"/>
      <c r="I1597" s="6" t="s">
        <v>2071</v>
      </c>
    </row>
    <row r="1598" customFormat="false" ht="15" hidden="false" customHeight="false" outlineLevel="0" collapsed="false">
      <c r="A1598" s="5" t="s">
        <v>2289</v>
      </c>
      <c r="B1598" s="5" t="s">
        <v>1005</v>
      </c>
      <c r="C1598" s="5" t="s">
        <v>1152</v>
      </c>
      <c r="D1598" s="5" t="s">
        <v>1152</v>
      </c>
      <c r="E1598" s="6" t="s">
        <v>2074</v>
      </c>
      <c r="F1598" s="6" t="s">
        <v>2075</v>
      </c>
      <c r="G1598" s="6" t="s">
        <v>2070</v>
      </c>
      <c r="H1598" s="5"/>
      <c r="I1598" s="6" t="s">
        <v>2071</v>
      </c>
    </row>
    <row r="1599" customFormat="false" ht="23.85" hidden="false" customHeight="false" outlineLevel="0" collapsed="false">
      <c r="A1599" s="5" t="s">
        <v>2289</v>
      </c>
      <c r="B1599" s="5" t="s">
        <v>1005</v>
      </c>
      <c r="C1599" s="5" t="s">
        <v>1152</v>
      </c>
      <c r="D1599" s="5" t="s">
        <v>1152</v>
      </c>
      <c r="E1599" s="6" t="s">
        <v>2076</v>
      </c>
      <c r="F1599" s="6" t="s">
        <v>2077</v>
      </c>
      <c r="G1599" s="6" t="s">
        <v>2070</v>
      </c>
      <c r="H1599" s="5"/>
      <c r="I1599" s="6" t="s">
        <v>2071</v>
      </c>
    </row>
    <row r="1600" customFormat="false" ht="15" hidden="false" customHeight="false" outlineLevel="0" collapsed="false">
      <c r="A1600" s="5" t="s">
        <v>2289</v>
      </c>
      <c r="B1600" s="5" t="s">
        <v>1005</v>
      </c>
      <c r="C1600" s="5" t="s">
        <v>1152</v>
      </c>
      <c r="D1600" s="5" t="s">
        <v>1152</v>
      </c>
      <c r="E1600" s="6" t="s">
        <v>2078</v>
      </c>
      <c r="F1600" s="6" t="s">
        <v>2079</v>
      </c>
      <c r="G1600" s="6" t="s">
        <v>2070</v>
      </c>
      <c r="H1600" s="5"/>
      <c r="I1600" s="6" t="s">
        <v>2071</v>
      </c>
    </row>
    <row r="1601" customFormat="false" ht="15" hidden="false" customHeight="false" outlineLevel="0" collapsed="false">
      <c r="A1601" s="5" t="s">
        <v>2289</v>
      </c>
      <c r="B1601" s="5" t="s">
        <v>1005</v>
      </c>
      <c r="C1601" s="5" t="s">
        <v>1152</v>
      </c>
      <c r="D1601" s="5" t="s">
        <v>1152</v>
      </c>
      <c r="E1601" s="6" t="s">
        <v>2080</v>
      </c>
      <c r="F1601" s="6" t="s">
        <v>2081</v>
      </c>
      <c r="G1601" s="6" t="s">
        <v>2070</v>
      </c>
      <c r="H1601" s="5"/>
      <c r="I1601" s="6" t="s">
        <v>2071</v>
      </c>
    </row>
    <row r="1602" customFormat="false" ht="15" hidden="false" customHeight="false" outlineLevel="0" collapsed="false">
      <c r="A1602" s="5" t="s">
        <v>2289</v>
      </c>
      <c r="B1602" s="5" t="s">
        <v>1005</v>
      </c>
      <c r="C1602" s="5" t="s">
        <v>1152</v>
      </c>
      <c r="D1602" s="5" t="s">
        <v>1152</v>
      </c>
      <c r="E1602" s="6" t="s">
        <v>2082</v>
      </c>
      <c r="F1602" s="6" t="s">
        <v>2083</v>
      </c>
      <c r="G1602" s="6" t="s">
        <v>2070</v>
      </c>
      <c r="H1602" s="5"/>
      <c r="I1602" s="6" t="s">
        <v>2071</v>
      </c>
    </row>
    <row r="1603" customFormat="false" ht="15" hidden="false" customHeight="false" outlineLevel="0" collapsed="false">
      <c r="A1603" s="5" t="s">
        <v>2289</v>
      </c>
      <c r="B1603" s="5" t="s">
        <v>1005</v>
      </c>
      <c r="C1603" s="5" t="s">
        <v>1152</v>
      </c>
      <c r="D1603" s="5" t="s">
        <v>1152</v>
      </c>
      <c r="E1603" s="6" t="s">
        <v>2084</v>
      </c>
      <c r="F1603" s="6" t="s">
        <v>2073</v>
      </c>
      <c r="G1603" s="6" t="s">
        <v>2070</v>
      </c>
      <c r="H1603" s="5"/>
      <c r="I1603" s="6" t="s">
        <v>2071</v>
      </c>
    </row>
    <row r="1604" customFormat="false" ht="15" hidden="false" customHeight="false" outlineLevel="0" collapsed="false">
      <c r="A1604" s="5" t="s">
        <v>2289</v>
      </c>
      <c r="B1604" s="5" t="s">
        <v>1005</v>
      </c>
      <c r="C1604" s="5" t="s">
        <v>1152</v>
      </c>
      <c r="D1604" s="5" t="s">
        <v>1152</v>
      </c>
      <c r="E1604" s="6" t="s">
        <v>2085</v>
      </c>
      <c r="F1604" s="6" t="s">
        <v>2086</v>
      </c>
      <c r="G1604" s="6" t="s">
        <v>2070</v>
      </c>
      <c r="H1604" s="5"/>
      <c r="I1604" s="6" t="s">
        <v>2071</v>
      </c>
    </row>
    <row r="1605" customFormat="false" ht="23.85" hidden="false" customHeight="false" outlineLevel="0" collapsed="false">
      <c r="A1605" s="5" t="s">
        <v>2289</v>
      </c>
      <c r="B1605" s="5" t="s">
        <v>1005</v>
      </c>
      <c r="C1605" s="5" t="s">
        <v>1152</v>
      </c>
      <c r="D1605" s="5" t="s">
        <v>1152</v>
      </c>
      <c r="E1605" s="6" t="s">
        <v>2087</v>
      </c>
      <c r="F1605" s="6" t="s">
        <v>2081</v>
      </c>
      <c r="G1605" s="6" t="s">
        <v>2070</v>
      </c>
      <c r="H1605" s="5"/>
      <c r="I1605" s="6" t="s">
        <v>2071</v>
      </c>
    </row>
    <row r="1606" customFormat="false" ht="15" hidden="false" customHeight="false" outlineLevel="0" collapsed="false">
      <c r="A1606" s="5" t="s">
        <v>2289</v>
      </c>
      <c r="B1606" s="5" t="s">
        <v>1005</v>
      </c>
      <c r="C1606" s="5" t="s">
        <v>1152</v>
      </c>
      <c r="D1606" s="5" t="s">
        <v>1152</v>
      </c>
      <c r="E1606" s="6" t="s">
        <v>2088</v>
      </c>
      <c r="F1606" s="6" t="s">
        <v>2081</v>
      </c>
      <c r="G1606" s="6" t="s">
        <v>2070</v>
      </c>
      <c r="H1606" s="5"/>
      <c r="I1606" s="6" t="s">
        <v>2071</v>
      </c>
    </row>
    <row r="1607" customFormat="false" ht="15" hidden="false" customHeight="false" outlineLevel="0" collapsed="false">
      <c r="A1607" s="5" t="s">
        <v>2289</v>
      </c>
      <c r="B1607" s="5" t="s">
        <v>1005</v>
      </c>
      <c r="C1607" s="5" t="s">
        <v>1152</v>
      </c>
      <c r="D1607" s="5" t="s">
        <v>1152</v>
      </c>
      <c r="E1607" s="6" t="s">
        <v>2089</v>
      </c>
      <c r="F1607" s="6" t="s">
        <v>2081</v>
      </c>
      <c r="G1607" s="6" t="s">
        <v>2070</v>
      </c>
      <c r="H1607" s="5"/>
      <c r="I1607" s="6" t="s">
        <v>2071</v>
      </c>
    </row>
    <row r="1608" customFormat="false" ht="15" hidden="false" customHeight="false" outlineLevel="0" collapsed="false">
      <c r="A1608" s="5" t="s">
        <v>2289</v>
      </c>
      <c r="B1608" s="5" t="s">
        <v>1005</v>
      </c>
      <c r="C1608" s="5" t="s">
        <v>1152</v>
      </c>
      <c r="D1608" s="5" t="s">
        <v>1152</v>
      </c>
      <c r="E1608" s="6" t="s">
        <v>2090</v>
      </c>
      <c r="F1608" s="6" t="s">
        <v>2081</v>
      </c>
      <c r="G1608" s="6" t="s">
        <v>2070</v>
      </c>
      <c r="H1608" s="5"/>
      <c r="I1608" s="6" t="s">
        <v>2071</v>
      </c>
    </row>
    <row r="1609" customFormat="false" ht="15" hidden="false" customHeight="false" outlineLevel="0" collapsed="false">
      <c r="A1609" s="5" t="s">
        <v>2289</v>
      </c>
      <c r="B1609" s="5" t="s">
        <v>1005</v>
      </c>
      <c r="C1609" s="5" t="s">
        <v>1152</v>
      </c>
      <c r="D1609" s="5" t="s">
        <v>1152</v>
      </c>
      <c r="E1609" s="6" t="s">
        <v>2091</v>
      </c>
      <c r="F1609" s="6" t="s">
        <v>2083</v>
      </c>
      <c r="G1609" s="6" t="s">
        <v>2070</v>
      </c>
      <c r="H1609" s="5"/>
      <c r="I1609" s="6" t="s">
        <v>2093</v>
      </c>
    </row>
    <row r="1610" customFormat="false" ht="15" hidden="false" customHeight="false" outlineLevel="0" collapsed="false">
      <c r="A1610" s="5" t="s">
        <v>2289</v>
      </c>
      <c r="B1610" s="5" t="s">
        <v>1005</v>
      </c>
      <c r="C1610" s="5" t="s">
        <v>1152</v>
      </c>
      <c r="D1610" s="5" t="s">
        <v>1152</v>
      </c>
      <c r="E1610" s="6" t="s">
        <v>2094</v>
      </c>
      <c r="F1610" s="6" t="s">
        <v>2069</v>
      </c>
      <c r="G1610" s="6" t="s">
        <v>2070</v>
      </c>
      <c r="H1610" s="5"/>
      <c r="I1610" s="6" t="s">
        <v>2093</v>
      </c>
    </row>
    <row r="1611" customFormat="false" ht="15" hidden="false" customHeight="false" outlineLevel="0" collapsed="false">
      <c r="A1611" s="5" t="s">
        <v>2289</v>
      </c>
      <c r="B1611" s="5" t="s">
        <v>1005</v>
      </c>
      <c r="C1611" s="5" t="s">
        <v>1152</v>
      </c>
      <c r="D1611" s="5" t="s">
        <v>1152</v>
      </c>
      <c r="E1611" s="6" t="s">
        <v>2096</v>
      </c>
      <c r="F1611" s="6" t="s">
        <v>2073</v>
      </c>
      <c r="G1611" s="6" t="s">
        <v>2070</v>
      </c>
      <c r="H1611" s="5"/>
      <c r="I1611" s="6" t="s">
        <v>2093</v>
      </c>
    </row>
    <row r="1612" customFormat="false" ht="15" hidden="false" customHeight="false" outlineLevel="0" collapsed="false">
      <c r="A1612" s="5" t="s">
        <v>2289</v>
      </c>
      <c r="B1612" s="5" t="s">
        <v>1005</v>
      </c>
      <c r="C1612" s="5" t="s">
        <v>1152</v>
      </c>
      <c r="D1612" s="5" t="s">
        <v>1152</v>
      </c>
      <c r="E1612" s="6" t="s">
        <v>2098</v>
      </c>
      <c r="F1612" s="6" t="s">
        <v>2075</v>
      </c>
      <c r="G1612" s="6" t="s">
        <v>2070</v>
      </c>
      <c r="H1612" s="5"/>
      <c r="I1612" s="6" t="s">
        <v>2093</v>
      </c>
    </row>
    <row r="1613" customFormat="false" ht="15" hidden="false" customHeight="false" outlineLevel="0" collapsed="false">
      <c r="A1613" s="5" t="s">
        <v>2289</v>
      </c>
      <c r="B1613" s="5" t="s">
        <v>1005</v>
      </c>
      <c r="C1613" s="5" t="s">
        <v>1152</v>
      </c>
      <c r="D1613" s="5" t="s">
        <v>1152</v>
      </c>
      <c r="E1613" s="6" t="s">
        <v>2100</v>
      </c>
      <c r="F1613" s="6" t="s">
        <v>2125</v>
      </c>
      <c r="G1613" s="6" t="s">
        <v>1961</v>
      </c>
      <c r="H1613" s="5"/>
      <c r="I1613" s="6" t="s">
        <v>2103</v>
      </c>
    </row>
    <row r="1614" customFormat="false" ht="23.85" hidden="false" customHeight="false" outlineLevel="0" collapsed="false">
      <c r="A1614" s="5" t="s">
        <v>2289</v>
      </c>
      <c r="B1614" s="5" t="s">
        <v>1005</v>
      </c>
      <c r="C1614" s="5" t="s">
        <v>1152</v>
      </c>
      <c r="D1614" s="5" t="s">
        <v>1152</v>
      </c>
      <c r="E1614" s="6" t="s">
        <v>2104</v>
      </c>
      <c r="F1614" s="6" t="s">
        <v>2127</v>
      </c>
      <c r="G1614" s="6" t="s">
        <v>1971</v>
      </c>
      <c r="H1614" s="5"/>
      <c r="I1614" s="6" t="s">
        <v>2103</v>
      </c>
    </row>
    <row r="1615" customFormat="false" ht="15" hidden="false" customHeight="false" outlineLevel="0" collapsed="false">
      <c r="A1615" s="5" t="s">
        <v>2289</v>
      </c>
      <c r="B1615" s="5" t="s">
        <v>1005</v>
      </c>
      <c r="C1615" s="5" t="s">
        <v>1152</v>
      </c>
      <c r="D1615" s="5" t="s">
        <v>1152</v>
      </c>
      <c r="E1615" s="6" t="s">
        <v>2107</v>
      </c>
      <c r="F1615" s="6" t="s">
        <v>2129</v>
      </c>
      <c r="G1615" s="6" t="s">
        <v>1893</v>
      </c>
      <c r="H1615" s="5"/>
      <c r="I1615" s="6" t="s">
        <v>2103</v>
      </c>
    </row>
    <row r="1616" customFormat="false" ht="15" hidden="false" customHeight="false" outlineLevel="0" collapsed="false">
      <c r="A1616" s="5" t="s">
        <v>2289</v>
      </c>
      <c r="B1616" s="5" t="s">
        <v>1005</v>
      </c>
      <c r="C1616" s="5" t="s">
        <v>1152</v>
      </c>
      <c r="D1616" s="5" t="s">
        <v>1152</v>
      </c>
      <c r="E1616" s="6" t="s">
        <v>2110</v>
      </c>
      <c r="F1616" s="6" t="s">
        <v>2111</v>
      </c>
      <c r="G1616" s="6" t="s">
        <v>2112</v>
      </c>
      <c r="H1616" s="5"/>
      <c r="I1616" s="6" t="s">
        <v>2103</v>
      </c>
    </row>
    <row r="1617" customFormat="false" ht="15" hidden="false" customHeight="false" outlineLevel="0" collapsed="false">
      <c r="A1617" s="5" t="s">
        <v>2289</v>
      </c>
      <c r="B1617" s="5" t="s">
        <v>1005</v>
      </c>
      <c r="C1617" s="5" t="s">
        <v>1152</v>
      </c>
      <c r="D1617" s="5" t="s">
        <v>1152</v>
      </c>
      <c r="E1617" s="6" t="s">
        <v>2113</v>
      </c>
      <c r="F1617" s="6" t="s">
        <v>2111</v>
      </c>
      <c r="G1617" s="6" t="s">
        <v>2112</v>
      </c>
      <c r="H1617" s="5"/>
      <c r="I1617" s="6" t="s">
        <v>2103</v>
      </c>
    </row>
    <row r="1618" customFormat="false" ht="15" hidden="false" customHeight="false" outlineLevel="0" collapsed="false">
      <c r="A1618" s="5" t="s">
        <v>2289</v>
      </c>
      <c r="B1618" s="5" t="s">
        <v>1005</v>
      </c>
      <c r="C1618" s="5" t="s">
        <v>1152</v>
      </c>
      <c r="D1618" s="5" t="s">
        <v>1152</v>
      </c>
      <c r="E1618" s="6" t="s">
        <v>2114</v>
      </c>
      <c r="F1618" s="6" t="s">
        <v>2115</v>
      </c>
      <c r="G1618" s="6" t="s">
        <v>2045</v>
      </c>
      <c r="H1618" s="5"/>
      <c r="I1618" s="6" t="s">
        <v>2116</v>
      </c>
    </row>
    <row r="1619" customFormat="false" ht="15" hidden="false" customHeight="false" outlineLevel="0" collapsed="false">
      <c r="A1619" s="5" t="s">
        <v>2289</v>
      </c>
      <c r="B1619" s="5" t="s">
        <v>1005</v>
      </c>
      <c r="C1619" s="5" t="s">
        <v>1152</v>
      </c>
      <c r="D1619" s="5" t="s">
        <v>1152</v>
      </c>
      <c r="E1619" s="6" t="s">
        <v>2117</v>
      </c>
      <c r="F1619" s="6" t="s">
        <v>2115</v>
      </c>
      <c r="G1619" s="6" t="s">
        <v>2045</v>
      </c>
      <c r="H1619" s="5"/>
      <c r="I1619" s="6" t="s">
        <v>2116</v>
      </c>
    </row>
    <row r="1620" customFormat="false" ht="15" hidden="false" customHeight="false" outlineLevel="0" collapsed="false">
      <c r="A1620" s="5" t="s">
        <v>2289</v>
      </c>
      <c r="B1620" s="5" t="s">
        <v>1005</v>
      </c>
      <c r="C1620" s="5" t="s">
        <v>1152</v>
      </c>
      <c r="D1620" s="5" t="s">
        <v>1152</v>
      </c>
      <c r="E1620" s="6" t="s">
        <v>2118</v>
      </c>
      <c r="F1620" s="6" t="s">
        <v>2115</v>
      </c>
      <c r="G1620" s="6" t="s">
        <v>2045</v>
      </c>
      <c r="H1620" s="5"/>
      <c r="I1620" s="6" t="s">
        <v>2116</v>
      </c>
    </row>
    <row r="1621" customFormat="false" ht="35.05" hidden="false" customHeight="false" outlineLevel="0" collapsed="false">
      <c r="A1621" s="5" t="s">
        <v>2293</v>
      </c>
      <c r="B1621" s="5" t="s">
        <v>1005</v>
      </c>
      <c r="C1621" s="5" t="s">
        <v>1159</v>
      </c>
      <c r="D1621" s="5" t="s">
        <v>1159</v>
      </c>
      <c r="E1621" s="6" t="s">
        <v>2043</v>
      </c>
      <c r="F1621" s="6" t="s">
        <v>2044</v>
      </c>
      <c r="G1621" s="6" t="s">
        <v>2045</v>
      </c>
      <c r="H1621" s="5"/>
      <c r="I1621" s="6" t="s">
        <v>2046</v>
      </c>
    </row>
    <row r="1622" customFormat="false" ht="23.85" hidden="false" customHeight="false" outlineLevel="0" collapsed="false">
      <c r="A1622" s="5" t="s">
        <v>2293</v>
      </c>
      <c r="B1622" s="5" t="s">
        <v>1005</v>
      </c>
      <c r="C1622" s="5" t="s">
        <v>1159</v>
      </c>
      <c r="D1622" s="5" t="s">
        <v>1159</v>
      </c>
      <c r="E1622" s="6" t="s">
        <v>2047</v>
      </c>
      <c r="F1622" s="6" t="s">
        <v>2048</v>
      </c>
      <c r="G1622" s="6" t="s">
        <v>2045</v>
      </c>
      <c r="H1622" s="5"/>
      <c r="I1622" s="6" t="s">
        <v>2049</v>
      </c>
    </row>
    <row r="1623" customFormat="false" ht="15" hidden="false" customHeight="false" outlineLevel="0" collapsed="false">
      <c r="A1623" s="5" t="s">
        <v>2293</v>
      </c>
      <c r="B1623" s="5" t="s">
        <v>1005</v>
      </c>
      <c r="C1623" s="5" t="s">
        <v>1159</v>
      </c>
      <c r="D1623" s="5" t="s">
        <v>1159</v>
      </c>
      <c r="E1623" s="6" t="s">
        <v>2050</v>
      </c>
      <c r="F1623" s="6" t="s">
        <v>2051</v>
      </c>
      <c r="G1623" s="6" t="s">
        <v>2294</v>
      </c>
      <c r="H1623" s="5"/>
      <c r="I1623" s="6" t="s">
        <v>2053</v>
      </c>
    </row>
    <row r="1624" customFormat="false" ht="15" hidden="false" customHeight="false" outlineLevel="0" collapsed="false">
      <c r="A1624" s="5" t="s">
        <v>2293</v>
      </c>
      <c r="B1624" s="5" t="s">
        <v>1005</v>
      </c>
      <c r="C1624" s="5" t="s">
        <v>1159</v>
      </c>
      <c r="D1624" s="5" t="s">
        <v>1159</v>
      </c>
      <c r="E1624" s="6" t="s">
        <v>2054</v>
      </c>
      <c r="F1624" s="6" t="s">
        <v>2055</v>
      </c>
      <c r="G1624" s="6" t="s">
        <v>2045</v>
      </c>
      <c r="H1624" s="5"/>
      <c r="I1624" s="6" t="s">
        <v>2056</v>
      </c>
    </row>
    <row r="1625" customFormat="false" ht="15" hidden="false" customHeight="false" outlineLevel="0" collapsed="false">
      <c r="A1625" s="5" t="s">
        <v>2293</v>
      </c>
      <c r="B1625" s="5" t="s">
        <v>1005</v>
      </c>
      <c r="C1625" s="5" t="s">
        <v>1159</v>
      </c>
      <c r="D1625" s="5" t="s">
        <v>1159</v>
      </c>
      <c r="E1625" s="6" t="s">
        <v>2141</v>
      </c>
      <c r="F1625" s="6" t="s">
        <v>2295</v>
      </c>
      <c r="G1625" s="6" t="s">
        <v>2296</v>
      </c>
      <c r="H1625" s="5"/>
      <c r="I1625" s="6" t="s">
        <v>2049</v>
      </c>
    </row>
    <row r="1626" customFormat="false" ht="15" hidden="false" customHeight="false" outlineLevel="0" collapsed="false">
      <c r="A1626" s="5" t="s">
        <v>2293</v>
      </c>
      <c r="B1626" s="5" t="s">
        <v>1005</v>
      </c>
      <c r="C1626" s="5" t="s">
        <v>1159</v>
      </c>
      <c r="D1626" s="5" t="s">
        <v>1159</v>
      </c>
      <c r="E1626" s="6" t="s">
        <v>2060</v>
      </c>
      <c r="F1626" s="6" t="s">
        <v>2061</v>
      </c>
      <c r="G1626" s="6" t="s">
        <v>2228</v>
      </c>
      <c r="H1626" s="5"/>
      <c r="I1626" s="6" t="s">
        <v>2049</v>
      </c>
    </row>
    <row r="1627" customFormat="false" ht="15" hidden="false" customHeight="false" outlineLevel="0" collapsed="false">
      <c r="A1627" s="5" t="s">
        <v>2293</v>
      </c>
      <c r="B1627" s="5" t="s">
        <v>1005</v>
      </c>
      <c r="C1627" s="5" t="s">
        <v>1159</v>
      </c>
      <c r="D1627" s="5" t="s">
        <v>1159</v>
      </c>
      <c r="E1627" s="6" t="s">
        <v>2063</v>
      </c>
      <c r="F1627" s="6" t="s">
        <v>2061</v>
      </c>
      <c r="G1627" s="6" t="s">
        <v>2151</v>
      </c>
      <c r="H1627" s="5"/>
      <c r="I1627" s="6" t="s">
        <v>2049</v>
      </c>
    </row>
    <row r="1628" customFormat="false" ht="15" hidden="false" customHeight="false" outlineLevel="0" collapsed="false">
      <c r="A1628" s="5" t="s">
        <v>2293</v>
      </c>
      <c r="B1628" s="5" t="s">
        <v>1005</v>
      </c>
      <c r="C1628" s="5" t="s">
        <v>1159</v>
      </c>
      <c r="D1628" s="5" t="s">
        <v>1159</v>
      </c>
      <c r="E1628" s="6" t="s">
        <v>2065</v>
      </c>
      <c r="F1628" s="6" t="s">
        <v>2066</v>
      </c>
      <c r="G1628" s="6" t="s">
        <v>1765</v>
      </c>
      <c r="H1628" s="5"/>
      <c r="I1628" s="6" t="s">
        <v>2067</v>
      </c>
    </row>
    <row r="1629" customFormat="false" ht="15" hidden="false" customHeight="false" outlineLevel="0" collapsed="false">
      <c r="A1629" s="5" t="s">
        <v>2293</v>
      </c>
      <c r="B1629" s="5" t="s">
        <v>1005</v>
      </c>
      <c r="C1629" s="5" t="s">
        <v>1159</v>
      </c>
      <c r="D1629" s="5" t="s">
        <v>1159</v>
      </c>
      <c r="E1629" s="6" t="s">
        <v>2068</v>
      </c>
      <c r="F1629" s="6" t="s">
        <v>2069</v>
      </c>
      <c r="G1629" s="6" t="s">
        <v>2070</v>
      </c>
      <c r="H1629" s="5"/>
      <c r="I1629" s="6" t="s">
        <v>2071</v>
      </c>
    </row>
    <row r="1630" customFormat="false" ht="15" hidden="false" customHeight="false" outlineLevel="0" collapsed="false">
      <c r="A1630" s="5" t="s">
        <v>2293</v>
      </c>
      <c r="B1630" s="5" t="s">
        <v>1005</v>
      </c>
      <c r="C1630" s="5" t="s">
        <v>1159</v>
      </c>
      <c r="D1630" s="5" t="s">
        <v>1159</v>
      </c>
      <c r="E1630" s="6" t="s">
        <v>2072</v>
      </c>
      <c r="F1630" s="6" t="s">
        <v>2073</v>
      </c>
      <c r="G1630" s="6" t="s">
        <v>2070</v>
      </c>
      <c r="H1630" s="5"/>
      <c r="I1630" s="6" t="s">
        <v>2071</v>
      </c>
    </row>
    <row r="1631" customFormat="false" ht="15" hidden="false" customHeight="false" outlineLevel="0" collapsed="false">
      <c r="A1631" s="5" t="s">
        <v>2293</v>
      </c>
      <c r="B1631" s="5" t="s">
        <v>1005</v>
      </c>
      <c r="C1631" s="5" t="s">
        <v>1159</v>
      </c>
      <c r="D1631" s="5" t="s">
        <v>1159</v>
      </c>
      <c r="E1631" s="6" t="s">
        <v>2074</v>
      </c>
      <c r="F1631" s="6" t="s">
        <v>2075</v>
      </c>
      <c r="G1631" s="6" t="s">
        <v>2070</v>
      </c>
      <c r="H1631" s="5"/>
      <c r="I1631" s="6" t="s">
        <v>2071</v>
      </c>
    </row>
    <row r="1632" customFormat="false" ht="23.85" hidden="false" customHeight="false" outlineLevel="0" collapsed="false">
      <c r="A1632" s="5" t="s">
        <v>2293</v>
      </c>
      <c r="B1632" s="5" t="s">
        <v>1005</v>
      </c>
      <c r="C1632" s="5" t="s">
        <v>1159</v>
      </c>
      <c r="D1632" s="5" t="s">
        <v>1159</v>
      </c>
      <c r="E1632" s="6" t="s">
        <v>2076</v>
      </c>
      <c r="F1632" s="6" t="s">
        <v>2077</v>
      </c>
      <c r="G1632" s="6" t="s">
        <v>2070</v>
      </c>
      <c r="H1632" s="5"/>
      <c r="I1632" s="6" t="s">
        <v>2071</v>
      </c>
    </row>
    <row r="1633" customFormat="false" ht="15" hidden="false" customHeight="false" outlineLevel="0" collapsed="false">
      <c r="A1633" s="5" t="s">
        <v>2293</v>
      </c>
      <c r="B1633" s="5" t="s">
        <v>1005</v>
      </c>
      <c r="C1633" s="5" t="s">
        <v>1159</v>
      </c>
      <c r="D1633" s="5" t="s">
        <v>1159</v>
      </c>
      <c r="E1633" s="6" t="s">
        <v>2078</v>
      </c>
      <c r="F1633" s="6" t="s">
        <v>2079</v>
      </c>
      <c r="G1633" s="6" t="s">
        <v>2070</v>
      </c>
      <c r="H1633" s="5"/>
      <c r="I1633" s="6" t="s">
        <v>2071</v>
      </c>
    </row>
    <row r="1634" customFormat="false" ht="15" hidden="false" customHeight="false" outlineLevel="0" collapsed="false">
      <c r="A1634" s="5" t="s">
        <v>2293</v>
      </c>
      <c r="B1634" s="5" t="s">
        <v>1005</v>
      </c>
      <c r="C1634" s="5" t="s">
        <v>1159</v>
      </c>
      <c r="D1634" s="5" t="s">
        <v>1159</v>
      </c>
      <c r="E1634" s="6" t="s">
        <v>2080</v>
      </c>
      <c r="F1634" s="6" t="s">
        <v>2081</v>
      </c>
      <c r="G1634" s="6" t="s">
        <v>2070</v>
      </c>
      <c r="H1634" s="5"/>
      <c r="I1634" s="6" t="s">
        <v>2071</v>
      </c>
    </row>
    <row r="1635" customFormat="false" ht="15" hidden="false" customHeight="false" outlineLevel="0" collapsed="false">
      <c r="A1635" s="5" t="s">
        <v>2293</v>
      </c>
      <c r="B1635" s="5" t="s">
        <v>1005</v>
      </c>
      <c r="C1635" s="5" t="s">
        <v>1159</v>
      </c>
      <c r="D1635" s="5" t="s">
        <v>1159</v>
      </c>
      <c r="E1635" s="6" t="s">
        <v>2082</v>
      </c>
      <c r="F1635" s="6" t="s">
        <v>2083</v>
      </c>
      <c r="G1635" s="6" t="s">
        <v>2070</v>
      </c>
      <c r="H1635" s="5"/>
      <c r="I1635" s="6" t="s">
        <v>2071</v>
      </c>
    </row>
    <row r="1636" customFormat="false" ht="15" hidden="false" customHeight="false" outlineLevel="0" collapsed="false">
      <c r="A1636" s="5" t="s">
        <v>2293</v>
      </c>
      <c r="B1636" s="5" t="s">
        <v>1005</v>
      </c>
      <c r="C1636" s="5" t="s">
        <v>1159</v>
      </c>
      <c r="D1636" s="5" t="s">
        <v>1159</v>
      </c>
      <c r="E1636" s="6" t="s">
        <v>2084</v>
      </c>
      <c r="F1636" s="6" t="s">
        <v>2073</v>
      </c>
      <c r="G1636" s="6" t="s">
        <v>2070</v>
      </c>
      <c r="H1636" s="5"/>
      <c r="I1636" s="6" t="s">
        <v>2071</v>
      </c>
    </row>
    <row r="1637" customFormat="false" ht="15" hidden="false" customHeight="false" outlineLevel="0" collapsed="false">
      <c r="A1637" s="5" t="s">
        <v>2293</v>
      </c>
      <c r="B1637" s="5" t="s">
        <v>1005</v>
      </c>
      <c r="C1637" s="5" t="s">
        <v>1159</v>
      </c>
      <c r="D1637" s="5" t="s">
        <v>1159</v>
      </c>
      <c r="E1637" s="6" t="s">
        <v>2085</v>
      </c>
      <c r="F1637" s="6" t="s">
        <v>2086</v>
      </c>
      <c r="G1637" s="6" t="s">
        <v>2070</v>
      </c>
      <c r="H1637" s="5"/>
      <c r="I1637" s="6" t="s">
        <v>2071</v>
      </c>
    </row>
    <row r="1638" customFormat="false" ht="23.85" hidden="false" customHeight="false" outlineLevel="0" collapsed="false">
      <c r="A1638" s="5" t="s">
        <v>2293</v>
      </c>
      <c r="B1638" s="5" t="s">
        <v>1005</v>
      </c>
      <c r="C1638" s="5" t="s">
        <v>1159</v>
      </c>
      <c r="D1638" s="5" t="s">
        <v>1159</v>
      </c>
      <c r="E1638" s="6" t="s">
        <v>2087</v>
      </c>
      <c r="F1638" s="6" t="s">
        <v>2081</v>
      </c>
      <c r="G1638" s="6" t="s">
        <v>2070</v>
      </c>
      <c r="H1638" s="5"/>
      <c r="I1638" s="6" t="s">
        <v>2071</v>
      </c>
    </row>
    <row r="1639" customFormat="false" ht="15" hidden="false" customHeight="false" outlineLevel="0" collapsed="false">
      <c r="A1639" s="5" t="s">
        <v>2293</v>
      </c>
      <c r="B1639" s="5" t="s">
        <v>1005</v>
      </c>
      <c r="C1639" s="5" t="s">
        <v>1159</v>
      </c>
      <c r="D1639" s="5" t="s">
        <v>1159</v>
      </c>
      <c r="E1639" s="6" t="s">
        <v>2088</v>
      </c>
      <c r="F1639" s="6" t="s">
        <v>2081</v>
      </c>
      <c r="G1639" s="6" t="s">
        <v>2070</v>
      </c>
      <c r="H1639" s="5"/>
      <c r="I1639" s="6" t="s">
        <v>2071</v>
      </c>
    </row>
    <row r="1640" customFormat="false" ht="15" hidden="false" customHeight="false" outlineLevel="0" collapsed="false">
      <c r="A1640" s="5" t="s">
        <v>2293</v>
      </c>
      <c r="B1640" s="5" t="s">
        <v>1005</v>
      </c>
      <c r="C1640" s="5" t="s">
        <v>1159</v>
      </c>
      <c r="D1640" s="5" t="s">
        <v>1159</v>
      </c>
      <c r="E1640" s="6" t="s">
        <v>2089</v>
      </c>
      <c r="F1640" s="6" t="s">
        <v>2081</v>
      </c>
      <c r="G1640" s="6" t="s">
        <v>2070</v>
      </c>
      <c r="H1640" s="5"/>
      <c r="I1640" s="6" t="s">
        <v>2071</v>
      </c>
    </row>
    <row r="1641" customFormat="false" ht="15" hidden="false" customHeight="false" outlineLevel="0" collapsed="false">
      <c r="A1641" s="5" t="s">
        <v>2293</v>
      </c>
      <c r="B1641" s="5" t="s">
        <v>1005</v>
      </c>
      <c r="C1641" s="5" t="s">
        <v>1159</v>
      </c>
      <c r="D1641" s="5" t="s">
        <v>1159</v>
      </c>
      <c r="E1641" s="6" t="s">
        <v>2090</v>
      </c>
      <c r="F1641" s="6" t="s">
        <v>2081</v>
      </c>
      <c r="G1641" s="6" t="s">
        <v>2070</v>
      </c>
      <c r="H1641" s="5"/>
      <c r="I1641" s="6" t="s">
        <v>2071</v>
      </c>
    </row>
    <row r="1642" customFormat="false" ht="15" hidden="false" customHeight="false" outlineLevel="0" collapsed="false">
      <c r="A1642" s="5" t="s">
        <v>2293</v>
      </c>
      <c r="B1642" s="5" t="s">
        <v>1005</v>
      </c>
      <c r="C1642" s="5" t="s">
        <v>1159</v>
      </c>
      <c r="D1642" s="5" t="s">
        <v>1159</v>
      </c>
      <c r="E1642" s="6" t="s">
        <v>2091</v>
      </c>
      <c r="F1642" s="6" t="s">
        <v>2083</v>
      </c>
      <c r="G1642" s="6" t="s">
        <v>2070</v>
      </c>
      <c r="H1642" s="5"/>
      <c r="I1642" s="6" t="s">
        <v>2093</v>
      </c>
    </row>
    <row r="1643" customFormat="false" ht="15" hidden="false" customHeight="false" outlineLevel="0" collapsed="false">
      <c r="A1643" s="5" t="s">
        <v>2293</v>
      </c>
      <c r="B1643" s="5" t="s">
        <v>1005</v>
      </c>
      <c r="C1643" s="5" t="s">
        <v>1159</v>
      </c>
      <c r="D1643" s="5" t="s">
        <v>1159</v>
      </c>
      <c r="E1643" s="6" t="s">
        <v>2094</v>
      </c>
      <c r="F1643" s="6" t="s">
        <v>2069</v>
      </c>
      <c r="G1643" s="6" t="s">
        <v>2297</v>
      </c>
      <c r="H1643" s="5"/>
      <c r="I1643" s="6" t="s">
        <v>2093</v>
      </c>
    </row>
    <row r="1644" customFormat="false" ht="15" hidden="false" customHeight="false" outlineLevel="0" collapsed="false">
      <c r="A1644" s="5" t="s">
        <v>2293</v>
      </c>
      <c r="B1644" s="5" t="s">
        <v>1005</v>
      </c>
      <c r="C1644" s="5" t="s">
        <v>1159</v>
      </c>
      <c r="D1644" s="5" t="s">
        <v>1159</v>
      </c>
      <c r="E1644" s="6" t="s">
        <v>2096</v>
      </c>
      <c r="F1644" s="6" t="s">
        <v>2073</v>
      </c>
      <c r="G1644" s="6" t="s">
        <v>2070</v>
      </c>
      <c r="H1644" s="5"/>
      <c r="I1644" s="6" t="s">
        <v>2093</v>
      </c>
    </row>
    <row r="1645" customFormat="false" ht="15" hidden="false" customHeight="false" outlineLevel="0" collapsed="false">
      <c r="A1645" s="5" t="s">
        <v>2293</v>
      </c>
      <c r="B1645" s="5" t="s">
        <v>1005</v>
      </c>
      <c r="C1645" s="5" t="s">
        <v>1159</v>
      </c>
      <c r="D1645" s="5" t="s">
        <v>1159</v>
      </c>
      <c r="E1645" s="6" t="s">
        <v>2098</v>
      </c>
      <c r="F1645" s="6" t="s">
        <v>2075</v>
      </c>
      <c r="G1645" s="6" t="s">
        <v>2070</v>
      </c>
      <c r="H1645" s="5"/>
      <c r="I1645" s="6" t="s">
        <v>2093</v>
      </c>
    </row>
    <row r="1646" customFormat="false" ht="15" hidden="false" customHeight="false" outlineLevel="0" collapsed="false">
      <c r="A1646" s="5" t="s">
        <v>2293</v>
      </c>
      <c r="B1646" s="5" t="s">
        <v>1005</v>
      </c>
      <c r="C1646" s="5" t="s">
        <v>1159</v>
      </c>
      <c r="D1646" s="5" t="s">
        <v>1159</v>
      </c>
      <c r="E1646" s="6" t="s">
        <v>2100</v>
      </c>
      <c r="F1646" s="6" t="s">
        <v>2125</v>
      </c>
      <c r="G1646" s="6" t="s">
        <v>2298</v>
      </c>
      <c r="H1646" s="5"/>
      <c r="I1646" s="6" t="s">
        <v>2103</v>
      </c>
    </row>
    <row r="1647" customFormat="false" ht="23.85" hidden="false" customHeight="false" outlineLevel="0" collapsed="false">
      <c r="A1647" s="5" t="s">
        <v>2293</v>
      </c>
      <c r="B1647" s="5" t="s">
        <v>1005</v>
      </c>
      <c r="C1647" s="5" t="s">
        <v>1159</v>
      </c>
      <c r="D1647" s="5" t="s">
        <v>1159</v>
      </c>
      <c r="E1647" s="6" t="s">
        <v>2104</v>
      </c>
      <c r="F1647" s="6" t="s">
        <v>2127</v>
      </c>
      <c r="G1647" s="6" t="s">
        <v>2299</v>
      </c>
      <c r="H1647" s="5"/>
      <c r="I1647" s="6" t="s">
        <v>2103</v>
      </c>
    </row>
    <row r="1648" customFormat="false" ht="15" hidden="false" customHeight="false" outlineLevel="0" collapsed="false">
      <c r="A1648" s="5" t="s">
        <v>2293</v>
      </c>
      <c r="B1648" s="5" t="s">
        <v>1005</v>
      </c>
      <c r="C1648" s="5" t="s">
        <v>1159</v>
      </c>
      <c r="D1648" s="5" t="s">
        <v>1159</v>
      </c>
      <c r="E1648" s="6" t="s">
        <v>2107</v>
      </c>
      <c r="F1648" s="6" t="s">
        <v>2129</v>
      </c>
      <c r="G1648" s="6" t="s">
        <v>1930</v>
      </c>
      <c r="H1648" s="5"/>
      <c r="I1648" s="6" t="s">
        <v>2103</v>
      </c>
    </row>
    <row r="1649" customFormat="false" ht="15" hidden="false" customHeight="false" outlineLevel="0" collapsed="false">
      <c r="A1649" s="5" t="s">
        <v>2293</v>
      </c>
      <c r="B1649" s="5" t="s">
        <v>1005</v>
      </c>
      <c r="C1649" s="5" t="s">
        <v>1159</v>
      </c>
      <c r="D1649" s="5" t="s">
        <v>1159</v>
      </c>
      <c r="E1649" s="6" t="s">
        <v>2130</v>
      </c>
      <c r="F1649" s="6" t="s">
        <v>2111</v>
      </c>
      <c r="G1649" s="6" t="s">
        <v>2112</v>
      </c>
      <c r="H1649" s="5"/>
      <c r="I1649" s="6" t="s">
        <v>2103</v>
      </c>
    </row>
    <row r="1650" customFormat="false" ht="15" hidden="false" customHeight="false" outlineLevel="0" collapsed="false">
      <c r="A1650" s="5" t="s">
        <v>2293</v>
      </c>
      <c r="B1650" s="5" t="s">
        <v>1005</v>
      </c>
      <c r="C1650" s="5" t="s">
        <v>1159</v>
      </c>
      <c r="D1650" s="5" t="s">
        <v>1159</v>
      </c>
      <c r="E1650" s="6" t="s">
        <v>2131</v>
      </c>
      <c r="F1650" s="6" t="s">
        <v>2111</v>
      </c>
      <c r="G1650" s="6" t="s">
        <v>2112</v>
      </c>
      <c r="H1650" s="5"/>
      <c r="I1650" s="6" t="s">
        <v>2103</v>
      </c>
    </row>
    <row r="1651" customFormat="false" ht="15" hidden="false" customHeight="false" outlineLevel="0" collapsed="false">
      <c r="A1651" s="5" t="s">
        <v>2293</v>
      </c>
      <c r="B1651" s="5" t="s">
        <v>1005</v>
      </c>
      <c r="C1651" s="5" t="s">
        <v>1159</v>
      </c>
      <c r="D1651" s="5" t="s">
        <v>1159</v>
      </c>
      <c r="E1651" s="6" t="s">
        <v>2114</v>
      </c>
      <c r="F1651" s="6" t="s">
        <v>2115</v>
      </c>
      <c r="G1651" s="6" t="s">
        <v>2045</v>
      </c>
      <c r="H1651" s="5"/>
      <c r="I1651" s="6" t="s">
        <v>2116</v>
      </c>
    </row>
    <row r="1652" customFormat="false" ht="15" hidden="false" customHeight="false" outlineLevel="0" collapsed="false">
      <c r="A1652" s="5" t="s">
        <v>2293</v>
      </c>
      <c r="B1652" s="5" t="s">
        <v>1005</v>
      </c>
      <c r="C1652" s="5" t="s">
        <v>1159</v>
      </c>
      <c r="D1652" s="5" t="s">
        <v>1159</v>
      </c>
      <c r="E1652" s="6" t="s">
        <v>2117</v>
      </c>
      <c r="F1652" s="6" t="s">
        <v>2115</v>
      </c>
      <c r="G1652" s="6" t="s">
        <v>2045</v>
      </c>
      <c r="H1652" s="5"/>
      <c r="I1652" s="6" t="s">
        <v>2116</v>
      </c>
    </row>
    <row r="1653" customFormat="false" ht="15" hidden="false" customHeight="false" outlineLevel="0" collapsed="false">
      <c r="A1653" s="5" t="s">
        <v>2293</v>
      </c>
      <c r="B1653" s="5" t="s">
        <v>1005</v>
      </c>
      <c r="C1653" s="5" t="s">
        <v>1159</v>
      </c>
      <c r="D1653" s="5" t="s">
        <v>1159</v>
      </c>
      <c r="E1653" s="6" t="s">
        <v>2118</v>
      </c>
      <c r="F1653" s="6" t="s">
        <v>2115</v>
      </c>
      <c r="G1653" s="6" t="s">
        <v>2045</v>
      </c>
      <c r="H1653" s="5"/>
      <c r="I1653" s="6" t="s">
        <v>2116</v>
      </c>
    </row>
    <row r="1654" customFormat="false" ht="35.05" hidden="false" customHeight="false" outlineLevel="0" collapsed="false">
      <c r="A1654" s="5" t="s">
        <v>2300</v>
      </c>
      <c r="B1654" s="5" t="s">
        <v>1005</v>
      </c>
      <c r="C1654" s="5" t="s">
        <v>1164</v>
      </c>
      <c r="D1654" s="5" t="s">
        <v>1164</v>
      </c>
      <c r="E1654" s="6" t="s">
        <v>2043</v>
      </c>
      <c r="F1654" s="6" t="s">
        <v>2044</v>
      </c>
      <c r="G1654" s="6" t="s">
        <v>2045</v>
      </c>
      <c r="H1654" s="5"/>
      <c r="I1654" s="6" t="s">
        <v>2046</v>
      </c>
    </row>
    <row r="1655" customFormat="false" ht="23.85" hidden="false" customHeight="false" outlineLevel="0" collapsed="false">
      <c r="A1655" s="5" t="s">
        <v>2300</v>
      </c>
      <c r="B1655" s="5" t="s">
        <v>1005</v>
      </c>
      <c r="C1655" s="5" t="s">
        <v>1164</v>
      </c>
      <c r="D1655" s="5" t="s">
        <v>1164</v>
      </c>
      <c r="E1655" s="6" t="s">
        <v>2047</v>
      </c>
      <c r="F1655" s="6" t="s">
        <v>2048</v>
      </c>
      <c r="G1655" s="6" t="s">
        <v>2045</v>
      </c>
      <c r="H1655" s="5"/>
      <c r="I1655" s="6" t="s">
        <v>2049</v>
      </c>
    </row>
    <row r="1656" customFormat="false" ht="15" hidden="false" customHeight="false" outlineLevel="0" collapsed="false">
      <c r="A1656" s="5" t="s">
        <v>2300</v>
      </c>
      <c r="B1656" s="5" t="s">
        <v>1005</v>
      </c>
      <c r="C1656" s="5" t="s">
        <v>1164</v>
      </c>
      <c r="D1656" s="5" t="s">
        <v>1164</v>
      </c>
      <c r="E1656" s="6" t="s">
        <v>2050</v>
      </c>
      <c r="F1656" s="6" t="s">
        <v>2051</v>
      </c>
      <c r="G1656" s="6" t="s">
        <v>2301</v>
      </c>
      <c r="H1656" s="5"/>
      <c r="I1656" s="6" t="s">
        <v>2053</v>
      </c>
    </row>
    <row r="1657" customFormat="false" ht="15" hidden="false" customHeight="false" outlineLevel="0" collapsed="false">
      <c r="A1657" s="5" t="s">
        <v>2300</v>
      </c>
      <c r="B1657" s="5" t="s">
        <v>1005</v>
      </c>
      <c r="C1657" s="5" t="s">
        <v>1164</v>
      </c>
      <c r="D1657" s="5" t="s">
        <v>1164</v>
      </c>
      <c r="E1657" s="6" t="s">
        <v>2054</v>
      </c>
      <c r="F1657" s="6" t="s">
        <v>2055</v>
      </c>
      <c r="G1657" s="6" t="s">
        <v>2045</v>
      </c>
      <c r="H1657" s="5"/>
      <c r="I1657" s="6" t="s">
        <v>2056</v>
      </c>
    </row>
    <row r="1658" customFormat="false" ht="15" hidden="false" customHeight="false" outlineLevel="0" collapsed="false">
      <c r="A1658" s="5" t="s">
        <v>2300</v>
      </c>
      <c r="B1658" s="5" t="s">
        <v>1005</v>
      </c>
      <c r="C1658" s="5" t="s">
        <v>1164</v>
      </c>
      <c r="D1658" s="5" t="s">
        <v>1164</v>
      </c>
      <c r="E1658" s="6" t="s">
        <v>2141</v>
      </c>
      <c r="F1658" s="6" t="s">
        <v>2302</v>
      </c>
      <c r="G1658" s="6" t="s">
        <v>2303</v>
      </c>
      <c r="H1658" s="5"/>
      <c r="I1658" s="6" t="s">
        <v>2049</v>
      </c>
    </row>
    <row r="1659" customFormat="false" ht="15" hidden="false" customHeight="false" outlineLevel="0" collapsed="false">
      <c r="A1659" s="5" t="s">
        <v>2300</v>
      </c>
      <c r="B1659" s="5" t="s">
        <v>1005</v>
      </c>
      <c r="C1659" s="5" t="s">
        <v>1164</v>
      </c>
      <c r="D1659" s="5" t="s">
        <v>1164</v>
      </c>
      <c r="E1659" s="6" t="s">
        <v>2060</v>
      </c>
      <c r="F1659" s="6" t="s">
        <v>2061</v>
      </c>
      <c r="G1659" s="6" t="s">
        <v>2160</v>
      </c>
      <c r="H1659" s="5"/>
      <c r="I1659" s="6" t="s">
        <v>2049</v>
      </c>
    </row>
    <row r="1660" customFormat="false" ht="15" hidden="false" customHeight="false" outlineLevel="0" collapsed="false">
      <c r="A1660" s="5" t="s">
        <v>2300</v>
      </c>
      <c r="B1660" s="5" t="s">
        <v>1005</v>
      </c>
      <c r="C1660" s="5" t="s">
        <v>1164</v>
      </c>
      <c r="D1660" s="5" t="s">
        <v>1164</v>
      </c>
      <c r="E1660" s="6" t="s">
        <v>2063</v>
      </c>
      <c r="F1660" s="6" t="s">
        <v>2061</v>
      </c>
      <c r="G1660" s="6" t="s">
        <v>2070</v>
      </c>
      <c r="H1660" s="5"/>
      <c r="I1660" s="6" t="s">
        <v>2049</v>
      </c>
    </row>
    <row r="1661" customFormat="false" ht="15" hidden="false" customHeight="false" outlineLevel="0" collapsed="false">
      <c r="A1661" s="5" t="s">
        <v>2300</v>
      </c>
      <c r="B1661" s="5" t="s">
        <v>1005</v>
      </c>
      <c r="C1661" s="5" t="s">
        <v>1164</v>
      </c>
      <c r="D1661" s="5" t="s">
        <v>1164</v>
      </c>
      <c r="E1661" s="6" t="s">
        <v>2065</v>
      </c>
      <c r="F1661" s="6" t="s">
        <v>2066</v>
      </c>
      <c r="G1661" s="6" t="s">
        <v>2252</v>
      </c>
      <c r="H1661" s="5"/>
      <c r="I1661" s="6" t="s">
        <v>2067</v>
      </c>
    </row>
    <row r="1662" customFormat="false" ht="15" hidden="false" customHeight="false" outlineLevel="0" collapsed="false">
      <c r="A1662" s="5" t="s">
        <v>2300</v>
      </c>
      <c r="B1662" s="5" t="s">
        <v>1005</v>
      </c>
      <c r="C1662" s="5" t="s">
        <v>1164</v>
      </c>
      <c r="D1662" s="5" t="s">
        <v>1164</v>
      </c>
      <c r="E1662" s="6" t="s">
        <v>2068</v>
      </c>
      <c r="F1662" s="6" t="s">
        <v>2069</v>
      </c>
      <c r="G1662" s="6" t="s">
        <v>2070</v>
      </c>
      <c r="H1662" s="5"/>
      <c r="I1662" s="6" t="s">
        <v>2071</v>
      </c>
    </row>
    <row r="1663" customFormat="false" ht="15" hidden="false" customHeight="false" outlineLevel="0" collapsed="false">
      <c r="A1663" s="5" t="s">
        <v>2300</v>
      </c>
      <c r="B1663" s="5" t="s">
        <v>1005</v>
      </c>
      <c r="C1663" s="5" t="s">
        <v>1164</v>
      </c>
      <c r="D1663" s="5" t="s">
        <v>1164</v>
      </c>
      <c r="E1663" s="6" t="s">
        <v>2072</v>
      </c>
      <c r="F1663" s="6" t="s">
        <v>2073</v>
      </c>
      <c r="G1663" s="6" t="s">
        <v>2070</v>
      </c>
      <c r="H1663" s="5"/>
      <c r="I1663" s="6" t="s">
        <v>2071</v>
      </c>
    </row>
    <row r="1664" customFormat="false" ht="15" hidden="false" customHeight="false" outlineLevel="0" collapsed="false">
      <c r="A1664" s="5" t="s">
        <v>2300</v>
      </c>
      <c r="B1664" s="5" t="s">
        <v>1005</v>
      </c>
      <c r="C1664" s="5" t="s">
        <v>1164</v>
      </c>
      <c r="D1664" s="5" t="s">
        <v>1164</v>
      </c>
      <c r="E1664" s="6" t="s">
        <v>2074</v>
      </c>
      <c r="F1664" s="6" t="s">
        <v>2075</v>
      </c>
      <c r="G1664" s="6" t="s">
        <v>2070</v>
      </c>
      <c r="H1664" s="5"/>
      <c r="I1664" s="6" t="s">
        <v>2071</v>
      </c>
    </row>
    <row r="1665" customFormat="false" ht="23.85" hidden="false" customHeight="false" outlineLevel="0" collapsed="false">
      <c r="A1665" s="5" t="s">
        <v>2300</v>
      </c>
      <c r="B1665" s="5" t="s">
        <v>1005</v>
      </c>
      <c r="C1665" s="5" t="s">
        <v>1164</v>
      </c>
      <c r="D1665" s="5" t="s">
        <v>1164</v>
      </c>
      <c r="E1665" s="6" t="s">
        <v>2076</v>
      </c>
      <c r="F1665" s="6" t="s">
        <v>2077</v>
      </c>
      <c r="G1665" s="6" t="s">
        <v>2070</v>
      </c>
      <c r="H1665" s="5"/>
      <c r="I1665" s="6" t="s">
        <v>2071</v>
      </c>
    </row>
    <row r="1666" customFormat="false" ht="15" hidden="false" customHeight="false" outlineLevel="0" collapsed="false">
      <c r="A1666" s="5" t="s">
        <v>2300</v>
      </c>
      <c r="B1666" s="5" t="s">
        <v>1005</v>
      </c>
      <c r="C1666" s="5" t="s">
        <v>1164</v>
      </c>
      <c r="D1666" s="5" t="s">
        <v>1164</v>
      </c>
      <c r="E1666" s="6" t="s">
        <v>2078</v>
      </c>
      <c r="F1666" s="6" t="s">
        <v>2079</v>
      </c>
      <c r="G1666" s="6" t="s">
        <v>2070</v>
      </c>
      <c r="H1666" s="5"/>
      <c r="I1666" s="6" t="s">
        <v>2071</v>
      </c>
    </row>
    <row r="1667" customFormat="false" ht="15" hidden="false" customHeight="false" outlineLevel="0" collapsed="false">
      <c r="A1667" s="5" t="s">
        <v>2300</v>
      </c>
      <c r="B1667" s="5" t="s">
        <v>1005</v>
      </c>
      <c r="C1667" s="5" t="s">
        <v>1164</v>
      </c>
      <c r="D1667" s="5" t="s">
        <v>1164</v>
      </c>
      <c r="E1667" s="6" t="s">
        <v>2080</v>
      </c>
      <c r="F1667" s="6" t="s">
        <v>2081</v>
      </c>
      <c r="G1667" s="6" t="s">
        <v>2070</v>
      </c>
      <c r="H1667" s="5"/>
      <c r="I1667" s="6" t="s">
        <v>2071</v>
      </c>
    </row>
    <row r="1668" customFormat="false" ht="15" hidden="false" customHeight="false" outlineLevel="0" collapsed="false">
      <c r="A1668" s="5" t="s">
        <v>2300</v>
      </c>
      <c r="B1668" s="5" t="s">
        <v>1005</v>
      </c>
      <c r="C1668" s="5" t="s">
        <v>1164</v>
      </c>
      <c r="D1668" s="5" t="s">
        <v>1164</v>
      </c>
      <c r="E1668" s="6" t="s">
        <v>2082</v>
      </c>
      <c r="F1668" s="6" t="s">
        <v>2083</v>
      </c>
      <c r="G1668" s="6" t="s">
        <v>2070</v>
      </c>
      <c r="H1668" s="5"/>
      <c r="I1668" s="6" t="s">
        <v>2071</v>
      </c>
    </row>
    <row r="1669" customFormat="false" ht="15" hidden="false" customHeight="false" outlineLevel="0" collapsed="false">
      <c r="A1669" s="5" t="s">
        <v>2300</v>
      </c>
      <c r="B1669" s="5" t="s">
        <v>1005</v>
      </c>
      <c r="C1669" s="5" t="s">
        <v>1164</v>
      </c>
      <c r="D1669" s="5" t="s">
        <v>1164</v>
      </c>
      <c r="E1669" s="6" t="s">
        <v>2084</v>
      </c>
      <c r="F1669" s="6" t="s">
        <v>2073</v>
      </c>
      <c r="G1669" s="6" t="s">
        <v>2070</v>
      </c>
      <c r="H1669" s="5"/>
      <c r="I1669" s="6" t="s">
        <v>2071</v>
      </c>
    </row>
    <row r="1670" customFormat="false" ht="15" hidden="false" customHeight="false" outlineLevel="0" collapsed="false">
      <c r="A1670" s="5" t="s">
        <v>2300</v>
      </c>
      <c r="B1670" s="5" t="s">
        <v>1005</v>
      </c>
      <c r="C1670" s="5" t="s">
        <v>1164</v>
      </c>
      <c r="D1670" s="5" t="s">
        <v>1164</v>
      </c>
      <c r="E1670" s="6" t="s">
        <v>2085</v>
      </c>
      <c r="F1670" s="6" t="s">
        <v>2086</v>
      </c>
      <c r="G1670" s="6" t="s">
        <v>2070</v>
      </c>
      <c r="H1670" s="5"/>
      <c r="I1670" s="6" t="s">
        <v>2071</v>
      </c>
    </row>
    <row r="1671" customFormat="false" ht="23.85" hidden="false" customHeight="false" outlineLevel="0" collapsed="false">
      <c r="A1671" s="5" t="s">
        <v>2300</v>
      </c>
      <c r="B1671" s="5" t="s">
        <v>1005</v>
      </c>
      <c r="C1671" s="5" t="s">
        <v>1164</v>
      </c>
      <c r="D1671" s="5" t="s">
        <v>1164</v>
      </c>
      <c r="E1671" s="6" t="s">
        <v>2087</v>
      </c>
      <c r="F1671" s="6" t="s">
        <v>2081</v>
      </c>
      <c r="G1671" s="6" t="s">
        <v>2070</v>
      </c>
      <c r="H1671" s="5"/>
      <c r="I1671" s="6" t="s">
        <v>2071</v>
      </c>
    </row>
    <row r="1672" customFormat="false" ht="15" hidden="false" customHeight="false" outlineLevel="0" collapsed="false">
      <c r="A1672" s="5" t="s">
        <v>2300</v>
      </c>
      <c r="B1672" s="5" t="s">
        <v>1005</v>
      </c>
      <c r="C1672" s="5" t="s">
        <v>1164</v>
      </c>
      <c r="D1672" s="5" t="s">
        <v>1164</v>
      </c>
      <c r="E1672" s="6" t="s">
        <v>2088</v>
      </c>
      <c r="F1672" s="6" t="s">
        <v>2081</v>
      </c>
      <c r="G1672" s="6" t="s">
        <v>2070</v>
      </c>
      <c r="H1672" s="5"/>
      <c r="I1672" s="6" t="s">
        <v>2071</v>
      </c>
    </row>
    <row r="1673" customFormat="false" ht="15" hidden="false" customHeight="false" outlineLevel="0" collapsed="false">
      <c r="A1673" s="5" t="s">
        <v>2300</v>
      </c>
      <c r="B1673" s="5" t="s">
        <v>1005</v>
      </c>
      <c r="C1673" s="5" t="s">
        <v>1164</v>
      </c>
      <c r="D1673" s="5" t="s">
        <v>1164</v>
      </c>
      <c r="E1673" s="6" t="s">
        <v>2089</v>
      </c>
      <c r="F1673" s="6" t="s">
        <v>2081</v>
      </c>
      <c r="G1673" s="6" t="s">
        <v>2070</v>
      </c>
      <c r="H1673" s="5"/>
      <c r="I1673" s="6" t="s">
        <v>2071</v>
      </c>
    </row>
    <row r="1674" customFormat="false" ht="15" hidden="false" customHeight="false" outlineLevel="0" collapsed="false">
      <c r="A1674" s="5" t="s">
        <v>2300</v>
      </c>
      <c r="B1674" s="5" t="s">
        <v>1005</v>
      </c>
      <c r="C1674" s="5" t="s">
        <v>1164</v>
      </c>
      <c r="D1674" s="5" t="s">
        <v>1164</v>
      </c>
      <c r="E1674" s="6" t="s">
        <v>2090</v>
      </c>
      <c r="F1674" s="6" t="s">
        <v>2081</v>
      </c>
      <c r="G1674" s="6" t="s">
        <v>2070</v>
      </c>
      <c r="H1674" s="5"/>
      <c r="I1674" s="6" t="s">
        <v>2071</v>
      </c>
    </row>
    <row r="1675" customFormat="false" ht="15" hidden="false" customHeight="false" outlineLevel="0" collapsed="false">
      <c r="A1675" s="5" t="s">
        <v>2300</v>
      </c>
      <c r="B1675" s="5" t="s">
        <v>1005</v>
      </c>
      <c r="C1675" s="5" t="s">
        <v>1164</v>
      </c>
      <c r="D1675" s="5" t="s">
        <v>1164</v>
      </c>
      <c r="E1675" s="6" t="s">
        <v>2091</v>
      </c>
      <c r="F1675" s="6" t="s">
        <v>2083</v>
      </c>
      <c r="G1675" s="6" t="s">
        <v>2304</v>
      </c>
      <c r="H1675" s="5"/>
      <c r="I1675" s="6" t="s">
        <v>2093</v>
      </c>
    </row>
    <row r="1676" customFormat="false" ht="15" hidden="false" customHeight="false" outlineLevel="0" collapsed="false">
      <c r="A1676" s="5" t="s">
        <v>2300</v>
      </c>
      <c r="B1676" s="5" t="s">
        <v>1005</v>
      </c>
      <c r="C1676" s="5" t="s">
        <v>1164</v>
      </c>
      <c r="D1676" s="5" t="s">
        <v>1164</v>
      </c>
      <c r="E1676" s="6" t="s">
        <v>2094</v>
      </c>
      <c r="F1676" s="6" t="s">
        <v>2069</v>
      </c>
      <c r="G1676" s="6" t="s">
        <v>2305</v>
      </c>
      <c r="H1676" s="5"/>
      <c r="I1676" s="6" t="s">
        <v>2093</v>
      </c>
    </row>
    <row r="1677" customFormat="false" ht="15" hidden="false" customHeight="false" outlineLevel="0" collapsed="false">
      <c r="A1677" s="5" t="s">
        <v>2300</v>
      </c>
      <c r="B1677" s="5" t="s">
        <v>1005</v>
      </c>
      <c r="C1677" s="5" t="s">
        <v>1164</v>
      </c>
      <c r="D1677" s="5" t="s">
        <v>1164</v>
      </c>
      <c r="E1677" s="6" t="s">
        <v>2096</v>
      </c>
      <c r="F1677" s="6" t="s">
        <v>2073</v>
      </c>
      <c r="G1677" s="6" t="s">
        <v>2304</v>
      </c>
      <c r="H1677" s="5"/>
      <c r="I1677" s="6" t="s">
        <v>2093</v>
      </c>
    </row>
    <row r="1678" customFormat="false" ht="15" hidden="false" customHeight="false" outlineLevel="0" collapsed="false">
      <c r="A1678" s="5" t="s">
        <v>2300</v>
      </c>
      <c r="B1678" s="5" t="s">
        <v>1005</v>
      </c>
      <c r="C1678" s="5" t="s">
        <v>1164</v>
      </c>
      <c r="D1678" s="5" t="s">
        <v>1164</v>
      </c>
      <c r="E1678" s="6" t="s">
        <v>2098</v>
      </c>
      <c r="F1678" s="6" t="s">
        <v>2075</v>
      </c>
      <c r="G1678" s="6" t="s">
        <v>2304</v>
      </c>
      <c r="H1678" s="5"/>
      <c r="I1678" s="6" t="s">
        <v>2093</v>
      </c>
    </row>
    <row r="1679" customFormat="false" ht="15" hidden="false" customHeight="false" outlineLevel="0" collapsed="false">
      <c r="A1679" s="5" t="s">
        <v>2300</v>
      </c>
      <c r="B1679" s="5" t="s">
        <v>1005</v>
      </c>
      <c r="C1679" s="5" t="s">
        <v>1164</v>
      </c>
      <c r="D1679" s="5" t="s">
        <v>1164</v>
      </c>
      <c r="E1679" s="6" t="s">
        <v>2100</v>
      </c>
      <c r="F1679" s="6" t="s">
        <v>2125</v>
      </c>
      <c r="G1679" s="6" t="s">
        <v>2306</v>
      </c>
      <c r="H1679" s="5"/>
      <c r="I1679" s="6" t="s">
        <v>2103</v>
      </c>
    </row>
    <row r="1680" customFormat="false" ht="23.85" hidden="false" customHeight="false" outlineLevel="0" collapsed="false">
      <c r="A1680" s="5" t="s">
        <v>2300</v>
      </c>
      <c r="B1680" s="5" t="s">
        <v>1005</v>
      </c>
      <c r="C1680" s="5" t="s">
        <v>1164</v>
      </c>
      <c r="D1680" s="5" t="s">
        <v>1164</v>
      </c>
      <c r="E1680" s="6" t="s">
        <v>2104</v>
      </c>
      <c r="F1680" s="6" t="s">
        <v>2127</v>
      </c>
      <c r="G1680" s="6" t="s">
        <v>2307</v>
      </c>
      <c r="H1680" s="5"/>
      <c r="I1680" s="6" t="s">
        <v>2103</v>
      </c>
    </row>
    <row r="1681" customFormat="false" ht="15" hidden="false" customHeight="false" outlineLevel="0" collapsed="false">
      <c r="A1681" s="5" t="s">
        <v>2300</v>
      </c>
      <c r="B1681" s="5" t="s">
        <v>1005</v>
      </c>
      <c r="C1681" s="5" t="s">
        <v>1164</v>
      </c>
      <c r="D1681" s="5" t="s">
        <v>1164</v>
      </c>
      <c r="E1681" s="6" t="s">
        <v>2107</v>
      </c>
      <c r="F1681" s="6" t="s">
        <v>2129</v>
      </c>
      <c r="G1681" s="6" t="s">
        <v>1930</v>
      </c>
      <c r="H1681" s="5"/>
      <c r="I1681" s="6" t="s">
        <v>2103</v>
      </c>
    </row>
    <row r="1682" customFormat="false" ht="15" hidden="false" customHeight="false" outlineLevel="0" collapsed="false">
      <c r="A1682" s="5" t="s">
        <v>2300</v>
      </c>
      <c r="B1682" s="5" t="s">
        <v>1005</v>
      </c>
      <c r="C1682" s="5" t="s">
        <v>1164</v>
      </c>
      <c r="D1682" s="5" t="s">
        <v>1164</v>
      </c>
      <c r="E1682" s="6" t="s">
        <v>2130</v>
      </c>
      <c r="F1682" s="6" t="s">
        <v>2111</v>
      </c>
      <c r="G1682" s="6" t="s">
        <v>2112</v>
      </c>
      <c r="H1682" s="5"/>
      <c r="I1682" s="6" t="s">
        <v>2103</v>
      </c>
    </row>
    <row r="1683" customFormat="false" ht="15" hidden="false" customHeight="false" outlineLevel="0" collapsed="false">
      <c r="A1683" s="5" t="s">
        <v>2300</v>
      </c>
      <c r="B1683" s="5" t="s">
        <v>1005</v>
      </c>
      <c r="C1683" s="5" t="s">
        <v>1164</v>
      </c>
      <c r="D1683" s="5" t="s">
        <v>1164</v>
      </c>
      <c r="E1683" s="6" t="s">
        <v>2131</v>
      </c>
      <c r="F1683" s="6" t="s">
        <v>2111</v>
      </c>
      <c r="G1683" s="6" t="s">
        <v>2112</v>
      </c>
      <c r="H1683" s="5"/>
      <c r="I1683" s="6" t="s">
        <v>2103</v>
      </c>
    </row>
    <row r="1684" customFormat="false" ht="15" hidden="false" customHeight="false" outlineLevel="0" collapsed="false">
      <c r="A1684" s="5" t="s">
        <v>2300</v>
      </c>
      <c r="B1684" s="5" t="s">
        <v>1005</v>
      </c>
      <c r="C1684" s="5" t="s">
        <v>1164</v>
      </c>
      <c r="D1684" s="5" t="s">
        <v>1164</v>
      </c>
      <c r="E1684" s="6" t="s">
        <v>2114</v>
      </c>
      <c r="F1684" s="6" t="s">
        <v>2115</v>
      </c>
      <c r="G1684" s="6" t="s">
        <v>2045</v>
      </c>
      <c r="H1684" s="5"/>
      <c r="I1684" s="6" t="s">
        <v>2116</v>
      </c>
    </row>
    <row r="1685" customFormat="false" ht="15" hidden="false" customHeight="false" outlineLevel="0" collapsed="false">
      <c r="A1685" s="5" t="s">
        <v>2300</v>
      </c>
      <c r="B1685" s="5" t="s">
        <v>1005</v>
      </c>
      <c r="C1685" s="5" t="s">
        <v>1164</v>
      </c>
      <c r="D1685" s="5" t="s">
        <v>1164</v>
      </c>
      <c r="E1685" s="6" t="s">
        <v>2117</v>
      </c>
      <c r="F1685" s="6" t="s">
        <v>2115</v>
      </c>
      <c r="G1685" s="6" t="s">
        <v>2045</v>
      </c>
      <c r="H1685" s="5"/>
      <c r="I1685" s="6" t="s">
        <v>2116</v>
      </c>
    </row>
    <row r="1686" customFormat="false" ht="15" hidden="false" customHeight="false" outlineLevel="0" collapsed="false">
      <c r="A1686" s="5" t="s">
        <v>2300</v>
      </c>
      <c r="B1686" s="5" t="s">
        <v>1005</v>
      </c>
      <c r="C1686" s="5" t="s">
        <v>1164</v>
      </c>
      <c r="D1686" s="5" t="s">
        <v>1164</v>
      </c>
      <c r="E1686" s="6" t="s">
        <v>2118</v>
      </c>
      <c r="F1686" s="6" t="s">
        <v>2115</v>
      </c>
      <c r="G1686" s="6" t="s">
        <v>2045</v>
      </c>
      <c r="H1686" s="5"/>
      <c r="I1686" s="6" t="s">
        <v>2116</v>
      </c>
    </row>
    <row r="1687" customFormat="false" ht="35.05" hidden="false" customHeight="false" outlineLevel="0" collapsed="false">
      <c r="A1687" s="5" t="s">
        <v>2308</v>
      </c>
      <c r="B1687" s="5" t="s">
        <v>1005</v>
      </c>
      <c r="C1687" s="5" t="s">
        <v>1169</v>
      </c>
      <c r="D1687" s="5" t="s">
        <v>1169</v>
      </c>
      <c r="E1687" s="6" t="s">
        <v>2043</v>
      </c>
      <c r="F1687" s="6" t="s">
        <v>2044</v>
      </c>
      <c r="G1687" s="6" t="s">
        <v>2045</v>
      </c>
      <c r="H1687" s="5"/>
      <c r="I1687" s="6" t="s">
        <v>2046</v>
      </c>
    </row>
    <row r="1688" customFormat="false" ht="23.85" hidden="false" customHeight="false" outlineLevel="0" collapsed="false">
      <c r="A1688" s="5" t="s">
        <v>2308</v>
      </c>
      <c r="B1688" s="5" t="s">
        <v>1005</v>
      </c>
      <c r="C1688" s="5" t="s">
        <v>1169</v>
      </c>
      <c r="D1688" s="5" t="s">
        <v>1169</v>
      </c>
      <c r="E1688" s="6" t="s">
        <v>2047</v>
      </c>
      <c r="F1688" s="6" t="s">
        <v>2048</v>
      </c>
      <c r="G1688" s="6" t="s">
        <v>2045</v>
      </c>
      <c r="H1688" s="5"/>
      <c r="I1688" s="6" t="s">
        <v>2049</v>
      </c>
    </row>
    <row r="1689" customFormat="false" ht="15" hidden="false" customHeight="false" outlineLevel="0" collapsed="false">
      <c r="A1689" s="5" t="s">
        <v>2308</v>
      </c>
      <c r="B1689" s="5" t="s">
        <v>1005</v>
      </c>
      <c r="C1689" s="5" t="s">
        <v>1169</v>
      </c>
      <c r="D1689" s="5" t="s">
        <v>1169</v>
      </c>
      <c r="E1689" s="6" t="s">
        <v>2050</v>
      </c>
      <c r="F1689" s="6" t="s">
        <v>2051</v>
      </c>
      <c r="G1689" s="6" t="s">
        <v>2309</v>
      </c>
      <c r="H1689" s="5"/>
      <c r="I1689" s="6" t="s">
        <v>2053</v>
      </c>
    </row>
    <row r="1690" customFormat="false" ht="15" hidden="false" customHeight="false" outlineLevel="0" collapsed="false">
      <c r="A1690" s="5" t="s">
        <v>2308</v>
      </c>
      <c r="B1690" s="5" t="s">
        <v>1005</v>
      </c>
      <c r="C1690" s="5" t="s">
        <v>1169</v>
      </c>
      <c r="D1690" s="5" t="s">
        <v>1169</v>
      </c>
      <c r="E1690" s="6" t="s">
        <v>2054</v>
      </c>
      <c r="F1690" s="6" t="s">
        <v>2055</v>
      </c>
      <c r="G1690" s="6" t="s">
        <v>2045</v>
      </c>
      <c r="H1690" s="5"/>
      <c r="I1690" s="6" t="s">
        <v>2056</v>
      </c>
    </row>
    <row r="1691" customFormat="false" ht="15" hidden="false" customHeight="false" outlineLevel="0" collapsed="false">
      <c r="A1691" s="5" t="s">
        <v>2308</v>
      </c>
      <c r="B1691" s="5" t="s">
        <v>1005</v>
      </c>
      <c r="C1691" s="5" t="s">
        <v>1169</v>
      </c>
      <c r="D1691" s="5" t="s">
        <v>1169</v>
      </c>
      <c r="E1691" s="6" t="s">
        <v>2057</v>
      </c>
      <c r="F1691" s="6" t="s">
        <v>2310</v>
      </c>
      <c r="G1691" s="6" t="s">
        <v>2311</v>
      </c>
      <c r="H1691" s="5"/>
      <c r="I1691" s="6" t="s">
        <v>2049</v>
      </c>
    </row>
    <row r="1692" customFormat="false" ht="15" hidden="false" customHeight="false" outlineLevel="0" collapsed="false">
      <c r="A1692" s="5" t="s">
        <v>2308</v>
      </c>
      <c r="B1692" s="5" t="s">
        <v>1005</v>
      </c>
      <c r="C1692" s="5" t="s">
        <v>1169</v>
      </c>
      <c r="D1692" s="5" t="s">
        <v>1169</v>
      </c>
      <c r="E1692" s="6" t="s">
        <v>2060</v>
      </c>
      <c r="F1692" s="6" t="s">
        <v>2061</v>
      </c>
      <c r="G1692" s="6" t="s">
        <v>2169</v>
      </c>
      <c r="H1692" s="5"/>
      <c r="I1692" s="6" t="s">
        <v>2049</v>
      </c>
    </row>
    <row r="1693" customFormat="false" ht="15" hidden="false" customHeight="false" outlineLevel="0" collapsed="false">
      <c r="A1693" s="5" t="s">
        <v>2308</v>
      </c>
      <c r="B1693" s="5" t="s">
        <v>1005</v>
      </c>
      <c r="C1693" s="5" t="s">
        <v>1169</v>
      </c>
      <c r="D1693" s="5" t="s">
        <v>1169</v>
      </c>
      <c r="E1693" s="6" t="s">
        <v>2063</v>
      </c>
      <c r="F1693" s="6" t="s">
        <v>2061</v>
      </c>
      <c r="G1693" s="6" t="s">
        <v>2070</v>
      </c>
      <c r="H1693" s="5"/>
      <c r="I1693" s="6" t="s">
        <v>2049</v>
      </c>
    </row>
    <row r="1694" customFormat="false" ht="15" hidden="false" customHeight="false" outlineLevel="0" collapsed="false">
      <c r="A1694" s="5" t="s">
        <v>2308</v>
      </c>
      <c r="B1694" s="5" t="s">
        <v>1005</v>
      </c>
      <c r="C1694" s="5" t="s">
        <v>1169</v>
      </c>
      <c r="D1694" s="5" t="s">
        <v>1169</v>
      </c>
      <c r="E1694" s="6" t="s">
        <v>2065</v>
      </c>
      <c r="F1694" s="6" t="s">
        <v>2066</v>
      </c>
      <c r="G1694" s="6" t="s">
        <v>2259</v>
      </c>
      <c r="H1694" s="5"/>
      <c r="I1694" s="6" t="s">
        <v>2067</v>
      </c>
    </row>
    <row r="1695" customFormat="false" ht="15" hidden="false" customHeight="false" outlineLevel="0" collapsed="false">
      <c r="A1695" s="5" t="s">
        <v>2308</v>
      </c>
      <c r="B1695" s="5" t="s">
        <v>1005</v>
      </c>
      <c r="C1695" s="5" t="s">
        <v>1169</v>
      </c>
      <c r="D1695" s="5" t="s">
        <v>1169</v>
      </c>
      <c r="E1695" s="6" t="s">
        <v>2068</v>
      </c>
      <c r="F1695" s="6" t="s">
        <v>2069</v>
      </c>
      <c r="G1695" s="6" t="s">
        <v>2070</v>
      </c>
      <c r="H1695" s="5"/>
      <c r="I1695" s="6" t="s">
        <v>2071</v>
      </c>
    </row>
    <row r="1696" customFormat="false" ht="15" hidden="false" customHeight="false" outlineLevel="0" collapsed="false">
      <c r="A1696" s="5" t="s">
        <v>2308</v>
      </c>
      <c r="B1696" s="5" t="s">
        <v>1005</v>
      </c>
      <c r="C1696" s="5" t="s">
        <v>1169</v>
      </c>
      <c r="D1696" s="5" t="s">
        <v>1169</v>
      </c>
      <c r="E1696" s="6" t="s">
        <v>2072</v>
      </c>
      <c r="F1696" s="6" t="s">
        <v>2073</v>
      </c>
      <c r="G1696" s="6" t="s">
        <v>2070</v>
      </c>
      <c r="H1696" s="5"/>
      <c r="I1696" s="6" t="s">
        <v>2071</v>
      </c>
    </row>
    <row r="1697" customFormat="false" ht="15" hidden="false" customHeight="false" outlineLevel="0" collapsed="false">
      <c r="A1697" s="5" t="s">
        <v>2308</v>
      </c>
      <c r="B1697" s="5" t="s">
        <v>1005</v>
      </c>
      <c r="C1697" s="5" t="s">
        <v>1169</v>
      </c>
      <c r="D1697" s="5" t="s">
        <v>1169</v>
      </c>
      <c r="E1697" s="6" t="s">
        <v>2074</v>
      </c>
      <c r="F1697" s="6" t="s">
        <v>2075</v>
      </c>
      <c r="G1697" s="6" t="s">
        <v>2070</v>
      </c>
      <c r="H1697" s="5"/>
      <c r="I1697" s="6" t="s">
        <v>2071</v>
      </c>
    </row>
    <row r="1698" customFormat="false" ht="23.85" hidden="false" customHeight="false" outlineLevel="0" collapsed="false">
      <c r="A1698" s="5" t="s">
        <v>2308</v>
      </c>
      <c r="B1698" s="5" t="s">
        <v>1005</v>
      </c>
      <c r="C1698" s="5" t="s">
        <v>1169</v>
      </c>
      <c r="D1698" s="5" t="s">
        <v>1169</v>
      </c>
      <c r="E1698" s="6" t="s">
        <v>2076</v>
      </c>
      <c r="F1698" s="6" t="s">
        <v>2077</v>
      </c>
      <c r="G1698" s="6" t="s">
        <v>2070</v>
      </c>
      <c r="H1698" s="5"/>
      <c r="I1698" s="6" t="s">
        <v>2071</v>
      </c>
    </row>
    <row r="1699" customFormat="false" ht="15" hidden="false" customHeight="false" outlineLevel="0" collapsed="false">
      <c r="A1699" s="5" t="s">
        <v>2308</v>
      </c>
      <c r="B1699" s="5" t="s">
        <v>1005</v>
      </c>
      <c r="C1699" s="5" t="s">
        <v>1169</v>
      </c>
      <c r="D1699" s="5" t="s">
        <v>1169</v>
      </c>
      <c r="E1699" s="6" t="s">
        <v>2078</v>
      </c>
      <c r="F1699" s="6" t="s">
        <v>2079</v>
      </c>
      <c r="G1699" s="6" t="s">
        <v>2070</v>
      </c>
      <c r="H1699" s="5"/>
      <c r="I1699" s="6" t="s">
        <v>2071</v>
      </c>
    </row>
    <row r="1700" customFormat="false" ht="15" hidden="false" customHeight="false" outlineLevel="0" collapsed="false">
      <c r="A1700" s="5" t="s">
        <v>2308</v>
      </c>
      <c r="B1700" s="5" t="s">
        <v>1005</v>
      </c>
      <c r="C1700" s="5" t="s">
        <v>1169</v>
      </c>
      <c r="D1700" s="5" t="s">
        <v>1169</v>
      </c>
      <c r="E1700" s="6" t="s">
        <v>2080</v>
      </c>
      <c r="F1700" s="6" t="s">
        <v>2081</v>
      </c>
      <c r="G1700" s="6" t="s">
        <v>2070</v>
      </c>
      <c r="H1700" s="5"/>
      <c r="I1700" s="6" t="s">
        <v>2071</v>
      </c>
    </row>
    <row r="1701" customFormat="false" ht="15" hidden="false" customHeight="false" outlineLevel="0" collapsed="false">
      <c r="A1701" s="5" t="s">
        <v>2308</v>
      </c>
      <c r="B1701" s="5" t="s">
        <v>1005</v>
      </c>
      <c r="C1701" s="5" t="s">
        <v>1169</v>
      </c>
      <c r="D1701" s="5" t="s">
        <v>1169</v>
      </c>
      <c r="E1701" s="6" t="s">
        <v>2082</v>
      </c>
      <c r="F1701" s="6" t="s">
        <v>2083</v>
      </c>
      <c r="G1701" s="6" t="s">
        <v>2070</v>
      </c>
      <c r="H1701" s="5"/>
      <c r="I1701" s="6" t="s">
        <v>2071</v>
      </c>
    </row>
    <row r="1702" customFormat="false" ht="15" hidden="false" customHeight="false" outlineLevel="0" collapsed="false">
      <c r="A1702" s="5" t="s">
        <v>2308</v>
      </c>
      <c r="B1702" s="5" t="s">
        <v>1005</v>
      </c>
      <c r="C1702" s="5" t="s">
        <v>1169</v>
      </c>
      <c r="D1702" s="5" t="s">
        <v>1169</v>
      </c>
      <c r="E1702" s="6" t="s">
        <v>2084</v>
      </c>
      <c r="F1702" s="6" t="s">
        <v>2073</v>
      </c>
      <c r="G1702" s="6" t="s">
        <v>2070</v>
      </c>
      <c r="H1702" s="5"/>
      <c r="I1702" s="6" t="s">
        <v>2071</v>
      </c>
    </row>
    <row r="1703" customFormat="false" ht="15" hidden="false" customHeight="false" outlineLevel="0" collapsed="false">
      <c r="A1703" s="5" t="s">
        <v>2308</v>
      </c>
      <c r="B1703" s="5" t="s">
        <v>1005</v>
      </c>
      <c r="C1703" s="5" t="s">
        <v>1169</v>
      </c>
      <c r="D1703" s="5" t="s">
        <v>1169</v>
      </c>
      <c r="E1703" s="6" t="s">
        <v>2085</v>
      </c>
      <c r="F1703" s="6" t="s">
        <v>2086</v>
      </c>
      <c r="G1703" s="6" t="s">
        <v>2070</v>
      </c>
      <c r="H1703" s="5"/>
      <c r="I1703" s="6" t="s">
        <v>2071</v>
      </c>
    </row>
    <row r="1704" customFormat="false" ht="23.85" hidden="false" customHeight="false" outlineLevel="0" collapsed="false">
      <c r="A1704" s="5" t="s">
        <v>2308</v>
      </c>
      <c r="B1704" s="5" t="s">
        <v>1005</v>
      </c>
      <c r="C1704" s="5" t="s">
        <v>1169</v>
      </c>
      <c r="D1704" s="5" t="s">
        <v>1169</v>
      </c>
      <c r="E1704" s="6" t="s">
        <v>2087</v>
      </c>
      <c r="F1704" s="6" t="s">
        <v>2081</v>
      </c>
      <c r="G1704" s="6" t="s">
        <v>2070</v>
      </c>
      <c r="H1704" s="5"/>
      <c r="I1704" s="6" t="s">
        <v>2071</v>
      </c>
    </row>
    <row r="1705" customFormat="false" ht="15" hidden="false" customHeight="false" outlineLevel="0" collapsed="false">
      <c r="A1705" s="5" t="s">
        <v>2308</v>
      </c>
      <c r="B1705" s="5" t="s">
        <v>1005</v>
      </c>
      <c r="C1705" s="5" t="s">
        <v>1169</v>
      </c>
      <c r="D1705" s="5" t="s">
        <v>1169</v>
      </c>
      <c r="E1705" s="6" t="s">
        <v>2088</v>
      </c>
      <c r="F1705" s="6" t="s">
        <v>2081</v>
      </c>
      <c r="G1705" s="6" t="s">
        <v>2070</v>
      </c>
      <c r="H1705" s="5"/>
      <c r="I1705" s="6" t="s">
        <v>2071</v>
      </c>
    </row>
    <row r="1706" customFormat="false" ht="15" hidden="false" customHeight="false" outlineLevel="0" collapsed="false">
      <c r="A1706" s="5" t="s">
        <v>2308</v>
      </c>
      <c r="B1706" s="5" t="s">
        <v>1005</v>
      </c>
      <c r="C1706" s="5" t="s">
        <v>1169</v>
      </c>
      <c r="D1706" s="5" t="s">
        <v>1169</v>
      </c>
      <c r="E1706" s="6" t="s">
        <v>2089</v>
      </c>
      <c r="F1706" s="6" t="s">
        <v>2081</v>
      </c>
      <c r="G1706" s="6" t="s">
        <v>2070</v>
      </c>
      <c r="H1706" s="5"/>
      <c r="I1706" s="6" t="s">
        <v>2071</v>
      </c>
    </row>
    <row r="1707" customFormat="false" ht="15" hidden="false" customHeight="false" outlineLevel="0" collapsed="false">
      <c r="A1707" s="5" t="s">
        <v>2308</v>
      </c>
      <c r="B1707" s="5" t="s">
        <v>1005</v>
      </c>
      <c r="C1707" s="5" t="s">
        <v>1169</v>
      </c>
      <c r="D1707" s="5" t="s">
        <v>1169</v>
      </c>
      <c r="E1707" s="6" t="s">
        <v>2090</v>
      </c>
      <c r="F1707" s="6" t="s">
        <v>2081</v>
      </c>
      <c r="G1707" s="6" t="s">
        <v>2070</v>
      </c>
      <c r="H1707" s="5"/>
      <c r="I1707" s="6" t="s">
        <v>2071</v>
      </c>
    </row>
    <row r="1708" customFormat="false" ht="15" hidden="false" customHeight="false" outlineLevel="0" collapsed="false">
      <c r="A1708" s="5" t="s">
        <v>2308</v>
      </c>
      <c r="B1708" s="5" t="s">
        <v>1005</v>
      </c>
      <c r="C1708" s="5" t="s">
        <v>1169</v>
      </c>
      <c r="D1708" s="5" t="s">
        <v>1169</v>
      </c>
      <c r="E1708" s="6" t="s">
        <v>2091</v>
      </c>
      <c r="F1708" s="6" t="s">
        <v>2083</v>
      </c>
      <c r="G1708" s="6" t="s">
        <v>2070</v>
      </c>
      <c r="H1708" s="5"/>
      <c r="I1708" s="6" t="s">
        <v>2093</v>
      </c>
    </row>
    <row r="1709" customFormat="false" ht="15" hidden="false" customHeight="false" outlineLevel="0" collapsed="false">
      <c r="A1709" s="5" t="s">
        <v>2308</v>
      </c>
      <c r="B1709" s="5" t="s">
        <v>1005</v>
      </c>
      <c r="C1709" s="5" t="s">
        <v>1169</v>
      </c>
      <c r="D1709" s="5" t="s">
        <v>1169</v>
      </c>
      <c r="E1709" s="6" t="s">
        <v>2094</v>
      </c>
      <c r="F1709" s="6" t="s">
        <v>2069</v>
      </c>
      <c r="G1709" s="6" t="s">
        <v>2312</v>
      </c>
      <c r="H1709" s="5"/>
      <c r="I1709" s="6" t="s">
        <v>2093</v>
      </c>
    </row>
    <row r="1710" customFormat="false" ht="15" hidden="false" customHeight="false" outlineLevel="0" collapsed="false">
      <c r="A1710" s="5" t="s">
        <v>2308</v>
      </c>
      <c r="B1710" s="5" t="s">
        <v>1005</v>
      </c>
      <c r="C1710" s="5" t="s">
        <v>1169</v>
      </c>
      <c r="D1710" s="5" t="s">
        <v>1169</v>
      </c>
      <c r="E1710" s="6" t="s">
        <v>2096</v>
      </c>
      <c r="F1710" s="6" t="s">
        <v>2073</v>
      </c>
      <c r="G1710" s="6" t="s">
        <v>2070</v>
      </c>
      <c r="H1710" s="5"/>
      <c r="I1710" s="6" t="s">
        <v>2093</v>
      </c>
    </row>
    <row r="1711" customFormat="false" ht="15" hidden="false" customHeight="false" outlineLevel="0" collapsed="false">
      <c r="A1711" s="5" t="s">
        <v>2308</v>
      </c>
      <c r="B1711" s="5" t="s">
        <v>1005</v>
      </c>
      <c r="C1711" s="5" t="s">
        <v>1169</v>
      </c>
      <c r="D1711" s="5" t="s">
        <v>1169</v>
      </c>
      <c r="E1711" s="6" t="s">
        <v>2098</v>
      </c>
      <c r="F1711" s="6" t="s">
        <v>2075</v>
      </c>
      <c r="G1711" s="6" t="s">
        <v>2070</v>
      </c>
      <c r="H1711" s="5"/>
      <c r="I1711" s="6" t="s">
        <v>2093</v>
      </c>
    </row>
    <row r="1712" customFormat="false" ht="15" hidden="false" customHeight="false" outlineLevel="0" collapsed="false">
      <c r="A1712" s="5" t="s">
        <v>2308</v>
      </c>
      <c r="B1712" s="5" t="s">
        <v>1005</v>
      </c>
      <c r="C1712" s="5" t="s">
        <v>1169</v>
      </c>
      <c r="D1712" s="5" t="s">
        <v>1169</v>
      </c>
      <c r="E1712" s="6" t="s">
        <v>2100</v>
      </c>
      <c r="F1712" s="6" t="s">
        <v>2101</v>
      </c>
      <c r="G1712" s="6" t="s">
        <v>1961</v>
      </c>
      <c r="H1712" s="5"/>
      <c r="I1712" s="6" t="s">
        <v>2103</v>
      </c>
    </row>
    <row r="1713" customFormat="false" ht="23.85" hidden="false" customHeight="false" outlineLevel="0" collapsed="false">
      <c r="A1713" s="5" t="s">
        <v>2308</v>
      </c>
      <c r="B1713" s="5" t="s">
        <v>1005</v>
      </c>
      <c r="C1713" s="5" t="s">
        <v>1169</v>
      </c>
      <c r="D1713" s="5" t="s">
        <v>1169</v>
      </c>
      <c r="E1713" s="6" t="s">
        <v>2104</v>
      </c>
      <c r="F1713" s="6" t="s">
        <v>2105</v>
      </c>
      <c r="G1713" s="6" t="s">
        <v>1961</v>
      </c>
      <c r="H1713" s="5"/>
      <c r="I1713" s="6" t="s">
        <v>2103</v>
      </c>
    </row>
    <row r="1714" customFormat="false" ht="15" hidden="false" customHeight="false" outlineLevel="0" collapsed="false">
      <c r="A1714" s="5" t="s">
        <v>2308</v>
      </c>
      <c r="B1714" s="5" t="s">
        <v>1005</v>
      </c>
      <c r="C1714" s="5" t="s">
        <v>1169</v>
      </c>
      <c r="D1714" s="5" t="s">
        <v>1169</v>
      </c>
      <c r="E1714" s="6" t="s">
        <v>2107</v>
      </c>
      <c r="F1714" s="6" t="s">
        <v>2108</v>
      </c>
      <c r="G1714" s="6" t="s">
        <v>2239</v>
      </c>
      <c r="H1714" s="5"/>
      <c r="I1714" s="6" t="s">
        <v>2103</v>
      </c>
    </row>
    <row r="1715" customFormat="false" ht="15" hidden="false" customHeight="false" outlineLevel="0" collapsed="false">
      <c r="A1715" s="5" t="s">
        <v>2308</v>
      </c>
      <c r="B1715" s="5" t="s">
        <v>1005</v>
      </c>
      <c r="C1715" s="5" t="s">
        <v>1169</v>
      </c>
      <c r="D1715" s="5" t="s">
        <v>1169</v>
      </c>
      <c r="E1715" s="6" t="s">
        <v>2110</v>
      </c>
      <c r="F1715" s="6" t="s">
        <v>2111</v>
      </c>
      <c r="G1715" s="6" t="s">
        <v>2112</v>
      </c>
      <c r="H1715" s="5"/>
      <c r="I1715" s="6" t="s">
        <v>2103</v>
      </c>
    </row>
    <row r="1716" customFormat="false" ht="15" hidden="false" customHeight="false" outlineLevel="0" collapsed="false">
      <c r="A1716" s="5" t="s">
        <v>2308</v>
      </c>
      <c r="B1716" s="5" t="s">
        <v>1005</v>
      </c>
      <c r="C1716" s="5" t="s">
        <v>1169</v>
      </c>
      <c r="D1716" s="5" t="s">
        <v>1169</v>
      </c>
      <c r="E1716" s="6" t="s">
        <v>2113</v>
      </c>
      <c r="F1716" s="6" t="s">
        <v>2111</v>
      </c>
      <c r="G1716" s="6" t="s">
        <v>2112</v>
      </c>
      <c r="H1716" s="5"/>
      <c r="I1716" s="6" t="s">
        <v>2103</v>
      </c>
    </row>
    <row r="1717" customFormat="false" ht="15" hidden="false" customHeight="false" outlineLevel="0" collapsed="false">
      <c r="A1717" s="5" t="s">
        <v>2308</v>
      </c>
      <c r="B1717" s="5" t="s">
        <v>1005</v>
      </c>
      <c r="C1717" s="5" t="s">
        <v>1169</v>
      </c>
      <c r="D1717" s="5" t="s">
        <v>1169</v>
      </c>
      <c r="E1717" s="6" t="s">
        <v>2114</v>
      </c>
      <c r="F1717" s="6" t="s">
        <v>2115</v>
      </c>
      <c r="G1717" s="6" t="s">
        <v>2045</v>
      </c>
      <c r="H1717" s="5"/>
      <c r="I1717" s="6" t="s">
        <v>2116</v>
      </c>
    </row>
    <row r="1718" customFormat="false" ht="15" hidden="false" customHeight="false" outlineLevel="0" collapsed="false">
      <c r="A1718" s="5" t="s">
        <v>2308</v>
      </c>
      <c r="B1718" s="5" t="s">
        <v>1005</v>
      </c>
      <c r="C1718" s="5" t="s">
        <v>1169</v>
      </c>
      <c r="D1718" s="5" t="s">
        <v>1169</v>
      </c>
      <c r="E1718" s="6" t="s">
        <v>2117</v>
      </c>
      <c r="F1718" s="6" t="s">
        <v>2115</v>
      </c>
      <c r="G1718" s="6" t="s">
        <v>2045</v>
      </c>
      <c r="H1718" s="5"/>
      <c r="I1718" s="6" t="s">
        <v>2116</v>
      </c>
    </row>
    <row r="1719" customFormat="false" ht="15" hidden="false" customHeight="false" outlineLevel="0" collapsed="false">
      <c r="A1719" s="5" t="s">
        <v>2308</v>
      </c>
      <c r="B1719" s="5" t="s">
        <v>1005</v>
      </c>
      <c r="C1719" s="5" t="s">
        <v>1169</v>
      </c>
      <c r="D1719" s="5" t="s">
        <v>1169</v>
      </c>
      <c r="E1719" s="6" t="s">
        <v>2118</v>
      </c>
      <c r="F1719" s="6" t="s">
        <v>2115</v>
      </c>
      <c r="G1719" s="6" t="s">
        <v>2045</v>
      </c>
      <c r="H1719" s="5"/>
      <c r="I1719" s="6" t="s">
        <v>2116</v>
      </c>
    </row>
    <row r="1720" customFormat="false" ht="35.05" hidden="false" customHeight="false" outlineLevel="0" collapsed="false">
      <c r="A1720" s="5" t="s">
        <v>2313</v>
      </c>
      <c r="B1720" s="5" t="s">
        <v>1005</v>
      </c>
      <c r="C1720" s="5" t="s">
        <v>1175</v>
      </c>
      <c r="D1720" s="5" t="s">
        <v>1175</v>
      </c>
      <c r="E1720" s="6" t="s">
        <v>2043</v>
      </c>
      <c r="F1720" s="6" t="s">
        <v>2044</v>
      </c>
      <c r="G1720" s="6" t="s">
        <v>2045</v>
      </c>
      <c r="H1720" s="5"/>
      <c r="I1720" s="6" t="s">
        <v>2046</v>
      </c>
    </row>
    <row r="1721" customFormat="false" ht="23.85" hidden="false" customHeight="false" outlineLevel="0" collapsed="false">
      <c r="A1721" s="5" t="s">
        <v>2313</v>
      </c>
      <c r="B1721" s="5" t="s">
        <v>1005</v>
      </c>
      <c r="C1721" s="5" t="s">
        <v>1175</v>
      </c>
      <c r="D1721" s="5" t="s">
        <v>1175</v>
      </c>
      <c r="E1721" s="6" t="s">
        <v>2047</v>
      </c>
      <c r="F1721" s="6" t="s">
        <v>2048</v>
      </c>
      <c r="G1721" s="6" t="s">
        <v>2045</v>
      </c>
      <c r="H1721" s="5"/>
      <c r="I1721" s="6" t="s">
        <v>2049</v>
      </c>
    </row>
    <row r="1722" customFormat="false" ht="15" hidden="false" customHeight="false" outlineLevel="0" collapsed="false">
      <c r="A1722" s="5" t="s">
        <v>2313</v>
      </c>
      <c r="B1722" s="5" t="s">
        <v>1005</v>
      </c>
      <c r="C1722" s="5" t="s">
        <v>1175</v>
      </c>
      <c r="D1722" s="5" t="s">
        <v>1175</v>
      </c>
      <c r="E1722" s="6" t="s">
        <v>2050</v>
      </c>
      <c r="F1722" s="6" t="s">
        <v>2051</v>
      </c>
      <c r="G1722" s="6" t="s">
        <v>2314</v>
      </c>
      <c r="H1722" s="5"/>
      <c r="I1722" s="6" t="s">
        <v>2053</v>
      </c>
    </row>
    <row r="1723" customFormat="false" ht="15" hidden="false" customHeight="false" outlineLevel="0" collapsed="false">
      <c r="A1723" s="5" t="s">
        <v>2313</v>
      </c>
      <c r="B1723" s="5" t="s">
        <v>1005</v>
      </c>
      <c r="C1723" s="5" t="s">
        <v>1175</v>
      </c>
      <c r="D1723" s="5" t="s">
        <v>1175</v>
      </c>
      <c r="E1723" s="6" t="s">
        <v>2054</v>
      </c>
      <c r="F1723" s="6" t="s">
        <v>2055</v>
      </c>
      <c r="G1723" s="6" t="s">
        <v>2045</v>
      </c>
      <c r="H1723" s="5"/>
      <c r="I1723" s="6" t="s">
        <v>2056</v>
      </c>
    </row>
    <row r="1724" customFormat="false" ht="15" hidden="false" customHeight="false" outlineLevel="0" collapsed="false">
      <c r="A1724" s="5" t="s">
        <v>2313</v>
      </c>
      <c r="B1724" s="5" t="s">
        <v>1005</v>
      </c>
      <c r="C1724" s="5" t="s">
        <v>1175</v>
      </c>
      <c r="D1724" s="5" t="s">
        <v>1175</v>
      </c>
      <c r="E1724" s="6" t="s">
        <v>2057</v>
      </c>
      <c r="F1724" s="6" t="s">
        <v>2315</v>
      </c>
      <c r="G1724" s="6" t="s">
        <v>2316</v>
      </c>
      <c r="H1724" s="5"/>
      <c r="I1724" s="6" t="s">
        <v>2049</v>
      </c>
    </row>
    <row r="1725" customFormat="false" ht="15" hidden="false" customHeight="false" outlineLevel="0" collapsed="false">
      <c r="A1725" s="5" t="s">
        <v>2313</v>
      </c>
      <c r="B1725" s="5" t="s">
        <v>1005</v>
      </c>
      <c r="C1725" s="5" t="s">
        <v>1175</v>
      </c>
      <c r="D1725" s="5" t="s">
        <v>1175</v>
      </c>
      <c r="E1725" s="6" t="s">
        <v>2060</v>
      </c>
      <c r="F1725" s="6" t="s">
        <v>2061</v>
      </c>
      <c r="G1725" s="6" t="s">
        <v>2136</v>
      </c>
      <c r="H1725" s="5"/>
      <c r="I1725" s="6" t="s">
        <v>2049</v>
      </c>
    </row>
    <row r="1726" customFormat="false" ht="15" hidden="false" customHeight="false" outlineLevel="0" collapsed="false">
      <c r="A1726" s="5" t="s">
        <v>2313</v>
      </c>
      <c r="B1726" s="5" t="s">
        <v>1005</v>
      </c>
      <c r="C1726" s="5" t="s">
        <v>1175</v>
      </c>
      <c r="D1726" s="5" t="s">
        <v>1175</v>
      </c>
      <c r="E1726" s="6" t="s">
        <v>2063</v>
      </c>
      <c r="F1726" s="6" t="s">
        <v>2061</v>
      </c>
      <c r="G1726" s="6" t="s">
        <v>2070</v>
      </c>
      <c r="H1726" s="5"/>
      <c r="I1726" s="6" t="s">
        <v>2049</v>
      </c>
    </row>
    <row r="1727" customFormat="false" ht="15" hidden="false" customHeight="false" outlineLevel="0" collapsed="false">
      <c r="A1727" s="5" t="s">
        <v>2313</v>
      </c>
      <c r="B1727" s="5" t="s">
        <v>1005</v>
      </c>
      <c r="C1727" s="5" t="s">
        <v>1175</v>
      </c>
      <c r="D1727" s="5" t="s">
        <v>1175</v>
      </c>
      <c r="E1727" s="6" t="s">
        <v>2065</v>
      </c>
      <c r="F1727" s="6" t="s">
        <v>2066</v>
      </c>
      <c r="G1727" s="6" t="s">
        <v>2252</v>
      </c>
      <c r="H1727" s="5"/>
      <c r="I1727" s="6" t="s">
        <v>2067</v>
      </c>
    </row>
    <row r="1728" customFormat="false" ht="15" hidden="false" customHeight="false" outlineLevel="0" collapsed="false">
      <c r="A1728" s="5" t="s">
        <v>2313</v>
      </c>
      <c r="B1728" s="5" t="s">
        <v>1005</v>
      </c>
      <c r="C1728" s="5" t="s">
        <v>1175</v>
      </c>
      <c r="D1728" s="5" t="s">
        <v>1175</v>
      </c>
      <c r="E1728" s="6" t="s">
        <v>2068</v>
      </c>
      <c r="F1728" s="6" t="s">
        <v>2069</v>
      </c>
      <c r="G1728" s="6" t="s">
        <v>2070</v>
      </c>
      <c r="H1728" s="5"/>
      <c r="I1728" s="6" t="s">
        <v>2071</v>
      </c>
    </row>
    <row r="1729" customFormat="false" ht="15" hidden="false" customHeight="false" outlineLevel="0" collapsed="false">
      <c r="A1729" s="5" t="s">
        <v>2313</v>
      </c>
      <c r="B1729" s="5" t="s">
        <v>1005</v>
      </c>
      <c r="C1729" s="5" t="s">
        <v>1175</v>
      </c>
      <c r="D1729" s="5" t="s">
        <v>1175</v>
      </c>
      <c r="E1729" s="6" t="s">
        <v>2072</v>
      </c>
      <c r="F1729" s="6" t="s">
        <v>2073</v>
      </c>
      <c r="G1729" s="6" t="s">
        <v>2070</v>
      </c>
      <c r="H1729" s="5"/>
      <c r="I1729" s="6" t="s">
        <v>2071</v>
      </c>
    </row>
    <row r="1730" customFormat="false" ht="15" hidden="false" customHeight="false" outlineLevel="0" collapsed="false">
      <c r="A1730" s="5" t="s">
        <v>2313</v>
      </c>
      <c r="B1730" s="5" t="s">
        <v>1005</v>
      </c>
      <c r="C1730" s="5" t="s">
        <v>1175</v>
      </c>
      <c r="D1730" s="5" t="s">
        <v>1175</v>
      </c>
      <c r="E1730" s="6" t="s">
        <v>2074</v>
      </c>
      <c r="F1730" s="6" t="s">
        <v>2075</v>
      </c>
      <c r="G1730" s="6" t="s">
        <v>2070</v>
      </c>
      <c r="H1730" s="5"/>
      <c r="I1730" s="6" t="s">
        <v>2071</v>
      </c>
    </row>
    <row r="1731" customFormat="false" ht="23.85" hidden="false" customHeight="false" outlineLevel="0" collapsed="false">
      <c r="A1731" s="5" t="s">
        <v>2313</v>
      </c>
      <c r="B1731" s="5" t="s">
        <v>1005</v>
      </c>
      <c r="C1731" s="5" t="s">
        <v>1175</v>
      </c>
      <c r="D1731" s="5" t="s">
        <v>1175</v>
      </c>
      <c r="E1731" s="6" t="s">
        <v>2076</v>
      </c>
      <c r="F1731" s="6" t="s">
        <v>2077</v>
      </c>
      <c r="G1731" s="6" t="s">
        <v>2070</v>
      </c>
      <c r="H1731" s="5"/>
      <c r="I1731" s="6" t="s">
        <v>2071</v>
      </c>
    </row>
    <row r="1732" customFormat="false" ht="15" hidden="false" customHeight="false" outlineLevel="0" collapsed="false">
      <c r="A1732" s="5" t="s">
        <v>2313</v>
      </c>
      <c r="B1732" s="5" t="s">
        <v>1005</v>
      </c>
      <c r="C1732" s="5" t="s">
        <v>1175</v>
      </c>
      <c r="D1732" s="5" t="s">
        <v>1175</v>
      </c>
      <c r="E1732" s="6" t="s">
        <v>2078</v>
      </c>
      <c r="F1732" s="6" t="s">
        <v>2079</v>
      </c>
      <c r="G1732" s="6" t="s">
        <v>2070</v>
      </c>
      <c r="H1732" s="5"/>
      <c r="I1732" s="6" t="s">
        <v>2071</v>
      </c>
    </row>
    <row r="1733" customFormat="false" ht="15" hidden="false" customHeight="false" outlineLevel="0" collapsed="false">
      <c r="A1733" s="5" t="s">
        <v>2313</v>
      </c>
      <c r="B1733" s="5" t="s">
        <v>1005</v>
      </c>
      <c r="C1733" s="5" t="s">
        <v>1175</v>
      </c>
      <c r="D1733" s="5" t="s">
        <v>1175</v>
      </c>
      <c r="E1733" s="6" t="s">
        <v>2080</v>
      </c>
      <c r="F1733" s="6" t="s">
        <v>2081</v>
      </c>
      <c r="G1733" s="6" t="s">
        <v>2070</v>
      </c>
      <c r="H1733" s="5"/>
      <c r="I1733" s="6" t="s">
        <v>2071</v>
      </c>
    </row>
    <row r="1734" customFormat="false" ht="15" hidden="false" customHeight="false" outlineLevel="0" collapsed="false">
      <c r="A1734" s="5" t="s">
        <v>2313</v>
      </c>
      <c r="B1734" s="5" t="s">
        <v>1005</v>
      </c>
      <c r="C1734" s="5" t="s">
        <v>1175</v>
      </c>
      <c r="D1734" s="5" t="s">
        <v>1175</v>
      </c>
      <c r="E1734" s="6" t="s">
        <v>2082</v>
      </c>
      <c r="F1734" s="6" t="s">
        <v>2083</v>
      </c>
      <c r="G1734" s="6" t="s">
        <v>2070</v>
      </c>
      <c r="H1734" s="5"/>
      <c r="I1734" s="6" t="s">
        <v>2071</v>
      </c>
    </row>
    <row r="1735" customFormat="false" ht="15" hidden="false" customHeight="false" outlineLevel="0" collapsed="false">
      <c r="A1735" s="5" t="s">
        <v>2313</v>
      </c>
      <c r="B1735" s="5" t="s">
        <v>1005</v>
      </c>
      <c r="C1735" s="5" t="s">
        <v>1175</v>
      </c>
      <c r="D1735" s="5" t="s">
        <v>1175</v>
      </c>
      <c r="E1735" s="6" t="s">
        <v>2084</v>
      </c>
      <c r="F1735" s="6" t="s">
        <v>2073</v>
      </c>
      <c r="G1735" s="6" t="s">
        <v>2070</v>
      </c>
      <c r="H1735" s="5"/>
      <c r="I1735" s="6" t="s">
        <v>2071</v>
      </c>
    </row>
    <row r="1736" customFormat="false" ht="15" hidden="false" customHeight="false" outlineLevel="0" collapsed="false">
      <c r="A1736" s="5" t="s">
        <v>2313</v>
      </c>
      <c r="B1736" s="5" t="s">
        <v>1005</v>
      </c>
      <c r="C1736" s="5" t="s">
        <v>1175</v>
      </c>
      <c r="D1736" s="5" t="s">
        <v>1175</v>
      </c>
      <c r="E1736" s="6" t="s">
        <v>2085</v>
      </c>
      <c r="F1736" s="6" t="s">
        <v>2086</v>
      </c>
      <c r="G1736" s="6" t="s">
        <v>2070</v>
      </c>
      <c r="H1736" s="5"/>
      <c r="I1736" s="6" t="s">
        <v>2071</v>
      </c>
    </row>
    <row r="1737" customFormat="false" ht="23.85" hidden="false" customHeight="false" outlineLevel="0" collapsed="false">
      <c r="A1737" s="5" t="s">
        <v>2313</v>
      </c>
      <c r="B1737" s="5" t="s">
        <v>1005</v>
      </c>
      <c r="C1737" s="5" t="s">
        <v>1175</v>
      </c>
      <c r="D1737" s="5" t="s">
        <v>1175</v>
      </c>
      <c r="E1737" s="6" t="s">
        <v>2087</v>
      </c>
      <c r="F1737" s="6" t="s">
        <v>2081</v>
      </c>
      <c r="G1737" s="6" t="s">
        <v>2070</v>
      </c>
      <c r="H1737" s="5"/>
      <c r="I1737" s="6" t="s">
        <v>2071</v>
      </c>
    </row>
    <row r="1738" customFormat="false" ht="15" hidden="false" customHeight="false" outlineLevel="0" collapsed="false">
      <c r="A1738" s="5" t="s">
        <v>2313</v>
      </c>
      <c r="B1738" s="5" t="s">
        <v>1005</v>
      </c>
      <c r="C1738" s="5" t="s">
        <v>1175</v>
      </c>
      <c r="D1738" s="5" t="s">
        <v>1175</v>
      </c>
      <c r="E1738" s="6" t="s">
        <v>2088</v>
      </c>
      <c r="F1738" s="6" t="s">
        <v>2081</v>
      </c>
      <c r="G1738" s="6" t="s">
        <v>2070</v>
      </c>
      <c r="H1738" s="5"/>
      <c r="I1738" s="6" t="s">
        <v>2071</v>
      </c>
    </row>
    <row r="1739" customFormat="false" ht="15" hidden="false" customHeight="false" outlineLevel="0" collapsed="false">
      <c r="A1739" s="5" t="s">
        <v>2313</v>
      </c>
      <c r="B1739" s="5" t="s">
        <v>1005</v>
      </c>
      <c r="C1739" s="5" t="s">
        <v>1175</v>
      </c>
      <c r="D1739" s="5" t="s">
        <v>1175</v>
      </c>
      <c r="E1739" s="6" t="s">
        <v>2089</v>
      </c>
      <c r="F1739" s="6" t="s">
        <v>2081</v>
      </c>
      <c r="G1739" s="6" t="s">
        <v>2070</v>
      </c>
      <c r="H1739" s="5"/>
      <c r="I1739" s="6" t="s">
        <v>2071</v>
      </c>
    </row>
    <row r="1740" customFormat="false" ht="15" hidden="false" customHeight="false" outlineLevel="0" collapsed="false">
      <c r="A1740" s="5" t="s">
        <v>2313</v>
      </c>
      <c r="B1740" s="5" t="s">
        <v>1005</v>
      </c>
      <c r="C1740" s="5" t="s">
        <v>1175</v>
      </c>
      <c r="D1740" s="5" t="s">
        <v>1175</v>
      </c>
      <c r="E1740" s="6" t="s">
        <v>2090</v>
      </c>
      <c r="F1740" s="6" t="s">
        <v>2081</v>
      </c>
      <c r="G1740" s="6" t="s">
        <v>2070</v>
      </c>
      <c r="H1740" s="5"/>
      <c r="I1740" s="6" t="s">
        <v>2071</v>
      </c>
    </row>
    <row r="1741" customFormat="false" ht="15" hidden="false" customHeight="false" outlineLevel="0" collapsed="false">
      <c r="A1741" s="5" t="s">
        <v>2313</v>
      </c>
      <c r="B1741" s="5" t="s">
        <v>1005</v>
      </c>
      <c r="C1741" s="5" t="s">
        <v>1175</v>
      </c>
      <c r="D1741" s="5" t="s">
        <v>1175</v>
      </c>
      <c r="E1741" s="6" t="s">
        <v>2091</v>
      </c>
      <c r="F1741" s="6" t="s">
        <v>2083</v>
      </c>
      <c r="G1741" s="6" t="s">
        <v>2070</v>
      </c>
      <c r="H1741" s="5"/>
      <c r="I1741" s="6" t="s">
        <v>2093</v>
      </c>
    </row>
    <row r="1742" customFormat="false" ht="15" hidden="false" customHeight="false" outlineLevel="0" collapsed="false">
      <c r="A1742" s="5" t="s">
        <v>2313</v>
      </c>
      <c r="B1742" s="5" t="s">
        <v>1005</v>
      </c>
      <c r="C1742" s="5" t="s">
        <v>1175</v>
      </c>
      <c r="D1742" s="5" t="s">
        <v>1175</v>
      </c>
      <c r="E1742" s="6" t="s">
        <v>2094</v>
      </c>
      <c r="F1742" s="6" t="s">
        <v>2069</v>
      </c>
      <c r="G1742" s="6" t="s">
        <v>2317</v>
      </c>
      <c r="H1742" s="5"/>
      <c r="I1742" s="6" t="s">
        <v>2093</v>
      </c>
    </row>
    <row r="1743" customFormat="false" ht="15" hidden="false" customHeight="false" outlineLevel="0" collapsed="false">
      <c r="A1743" s="5" t="s">
        <v>2313</v>
      </c>
      <c r="B1743" s="5" t="s">
        <v>1005</v>
      </c>
      <c r="C1743" s="5" t="s">
        <v>1175</v>
      </c>
      <c r="D1743" s="5" t="s">
        <v>1175</v>
      </c>
      <c r="E1743" s="6" t="s">
        <v>2096</v>
      </c>
      <c r="F1743" s="6" t="s">
        <v>2073</v>
      </c>
      <c r="G1743" s="6" t="s">
        <v>2244</v>
      </c>
      <c r="H1743" s="5"/>
      <c r="I1743" s="6" t="s">
        <v>2093</v>
      </c>
    </row>
    <row r="1744" customFormat="false" ht="15" hidden="false" customHeight="false" outlineLevel="0" collapsed="false">
      <c r="A1744" s="5" t="s">
        <v>2313</v>
      </c>
      <c r="B1744" s="5" t="s">
        <v>1005</v>
      </c>
      <c r="C1744" s="5" t="s">
        <v>1175</v>
      </c>
      <c r="D1744" s="5" t="s">
        <v>1175</v>
      </c>
      <c r="E1744" s="6" t="s">
        <v>2098</v>
      </c>
      <c r="F1744" s="6" t="s">
        <v>2075</v>
      </c>
      <c r="G1744" s="6" t="s">
        <v>2070</v>
      </c>
      <c r="H1744" s="5"/>
      <c r="I1744" s="6" t="s">
        <v>2093</v>
      </c>
    </row>
    <row r="1745" customFormat="false" ht="15" hidden="false" customHeight="false" outlineLevel="0" collapsed="false">
      <c r="A1745" s="5" t="s">
        <v>2313</v>
      </c>
      <c r="B1745" s="5" t="s">
        <v>1005</v>
      </c>
      <c r="C1745" s="5" t="s">
        <v>1175</v>
      </c>
      <c r="D1745" s="5" t="s">
        <v>1175</v>
      </c>
      <c r="E1745" s="6" t="s">
        <v>2100</v>
      </c>
      <c r="F1745" s="6" t="s">
        <v>2125</v>
      </c>
      <c r="G1745" s="6" t="s">
        <v>1930</v>
      </c>
      <c r="H1745" s="5"/>
      <c r="I1745" s="6" t="s">
        <v>2103</v>
      </c>
    </row>
    <row r="1746" customFormat="false" ht="23.85" hidden="false" customHeight="false" outlineLevel="0" collapsed="false">
      <c r="A1746" s="5" t="s">
        <v>2313</v>
      </c>
      <c r="B1746" s="5" t="s">
        <v>1005</v>
      </c>
      <c r="C1746" s="5" t="s">
        <v>1175</v>
      </c>
      <c r="D1746" s="5" t="s">
        <v>1175</v>
      </c>
      <c r="E1746" s="6" t="s">
        <v>2104</v>
      </c>
      <c r="F1746" s="6" t="s">
        <v>2127</v>
      </c>
      <c r="G1746" s="6" t="s">
        <v>1930</v>
      </c>
      <c r="H1746" s="5"/>
      <c r="I1746" s="6" t="s">
        <v>2103</v>
      </c>
    </row>
    <row r="1747" customFormat="false" ht="15" hidden="false" customHeight="false" outlineLevel="0" collapsed="false">
      <c r="A1747" s="5" t="s">
        <v>2313</v>
      </c>
      <c r="B1747" s="5" t="s">
        <v>1005</v>
      </c>
      <c r="C1747" s="5" t="s">
        <v>1175</v>
      </c>
      <c r="D1747" s="5" t="s">
        <v>1175</v>
      </c>
      <c r="E1747" s="6" t="s">
        <v>2107</v>
      </c>
      <c r="F1747" s="6" t="s">
        <v>2129</v>
      </c>
      <c r="G1747" s="6" t="s">
        <v>1930</v>
      </c>
      <c r="H1747" s="5"/>
      <c r="I1747" s="6" t="s">
        <v>2103</v>
      </c>
    </row>
    <row r="1748" customFormat="false" ht="15" hidden="false" customHeight="false" outlineLevel="0" collapsed="false">
      <c r="A1748" s="5" t="s">
        <v>2313</v>
      </c>
      <c r="B1748" s="5" t="s">
        <v>1005</v>
      </c>
      <c r="C1748" s="5" t="s">
        <v>1175</v>
      </c>
      <c r="D1748" s="5" t="s">
        <v>1175</v>
      </c>
      <c r="E1748" s="6" t="s">
        <v>2130</v>
      </c>
      <c r="F1748" s="6" t="s">
        <v>2111</v>
      </c>
      <c r="G1748" s="6" t="s">
        <v>2112</v>
      </c>
      <c r="H1748" s="5"/>
      <c r="I1748" s="6" t="s">
        <v>2103</v>
      </c>
    </row>
    <row r="1749" customFormat="false" ht="15" hidden="false" customHeight="false" outlineLevel="0" collapsed="false">
      <c r="A1749" s="5" t="s">
        <v>2313</v>
      </c>
      <c r="B1749" s="5" t="s">
        <v>1005</v>
      </c>
      <c r="C1749" s="5" t="s">
        <v>1175</v>
      </c>
      <c r="D1749" s="5" t="s">
        <v>1175</v>
      </c>
      <c r="E1749" s="6" t="s">
        <v>2131</v>
      </c>
      <c r="F1749" s="6" t="s">
        <v>2111</v>
      </c>
      <c r="G1749" s="6" t="s">
        <v>2112</v>
      </c>
      <c r="H1749" s="5"/>
      <c r="I1749" s="6" t="s">
        <v>2103</v>
      </c>
    </row>
    <row r="1750" customFormat="false" ht="15" hidden="false" customHeight="false" outlineLevel="0" collapsed="false">
      <c r="A1750" s="5" t="s">
        <v>2313</v>
      </c>
      <c r="B1750" s="5" t="s">
        <v>1005</v>
      </c>
      <c r="C1750" s="5" t="s">
        <v>1175</v>
      </c>
      <c r="D1750" s="5" t="s">
        <v>1175</v>
      </c>
      <c r="E1750" s="6" t="s">
        <v>2114</v>
      </c>
      <c r="F1750" s="6" t="s">
        <v>2115</v>
      </c>
      <c r="G1750" s="6" t="s">
        <v>2045</v>
      </c>
      <c r="H1750" s="5"/>
      <c r="I1750" s="6" t="s">
        <v>2116</v>
      </c>
    </row>
    <row r="1751" customFormat="false" ht="15" hidden="false" customHeight="false" outlineLevel="0" collapsed="false">
      <c r="A1751" s="5" t="s">
        <v>2313</v>
      </c>
      <c r="B1751" s="5" t="s">
        <v>1005</v>
      </c>
      <c r="C1751" s="5" t="s">
        <v>1175</v>
      </c>
      <c r="D1751" s="5" t="s">
        <v>1175</v>
      </c>
      <c r="E1751" s="6" t="s">
        <v>2117</v>
      </c>
      <c r="F1751" s="6" t="s">
        <v>2115</v>
      </c>
      <c r="G1751" s="6" t="s">
        <v>2045</v>
      </c>
      <c r="H1751" s="5"/>
      <c r="I1751" s="6" t="s">
        <v>2116</v>
      </c>
    </row>
    <row r="1752" customFormat="false" ht="15" hidden="false" customHeight="false" outlineLevel="0" collapsed="false">
      <c r="A1752" s="5" t="s">
        <v>2313</v>
      </c>
      <c r="B1752" s="5" t="s">
        <v>1005</v>
      </c>
      <c r="C1752" s="5" t="s">
        <v>1175</v>
      </c>
      <c r="D1752" s="5" t="s">
        <v>1175</v>
      </c>
      <c r="E1752" s="6" t="s">
        <v>2118</v>
      </c>
      <c r="F1752" s="6" t="s">
        <v>2115</v>
      </c>
      <c r="G1752" s="6" t="s">
        <v>2045</v>
      </c>
      <c r="H1752" s="5"/>
      <c r="I1752" s="6" t="s">
        <v>2116</v>
      </c>
    </row>
    <row r="1753" customFormat="false" ht="35.05" hidden="false" customHeight="false" outlineLevel="0" collapsed="false">
      <c r="A1753" s="5" t="s">
        <v>2318</v>
      </c>
      <c r="B1753" s="5" t="s">
        <v>1005</v>
      </c>
      <c r="C1753" s="5" t="s">
        <v>1181</v>
      </c>
      <c r="D1753" s="5" t="s">
        <v>1181</v>
      </c>
      <c r="E1753" s="6" t="s">
        <v>2043</v>
      </c>
      <c r="F1753" s="6" t="s">
        <v>2044</v>
      </c>
      <c r="G1753" s="6" t="s">
        <v>2045</v>
      </c>
      <c r="H1753" s="5"/>
      <c r="I1753" s="6" t="s">
        <v>2046</v>
      </c>
    </row>
    <row r="1754" customFormat="false" ht="23.85" hidden="false" customHeight="false" outlineLevel="0" collapsed="false">
      <c r="A1754" s="5" t="s">
        <v>2318</v>
      </c>
      <c r="B1754" s="5" t="s">
        <v>1005</v>
      </c>
      <c r="C1754" s="5" t="s">
        <v>1181</v>
      </c>
      <c r="D1754" s="5" t="s">
        <v>1181</v>
      </c>
      <c r="E1754" s="6" t="s">
        <v>2047</v>
      </c>
      <c r="F1754" s="6" t="s">
        <v>2048</v>
      </c>
      <c r="G1754" s="6" t="s">
        <v>2045</v>
      </c>
      <c r="H1754" s="5"/>
      <c r="I1754" s="6" t="s">
        <v>2049</v>
      </c>
    </row>
    <row r="1755" customFormat="false" ht="15" hidden="false" customHeight="false" outlineLevel="0" collapsed="false">
      <c r="A1755" s="5" t="s">
        <v>2318</v>
      </c>
      <c r="B1755" s="5" t="s">
        <v>1005</v>
      </c>
      <c r="C1755" s="5" t="s">
        <v>1181</v>
      </c>
      <c r="D1755" s="5" t="s">
        <v>1181</v>
      </c>
      <c r="E1755" s="6" t="s">
        <v>2050</v>
      </c>
      <c r="F1755" s="6" t="s">
        <v>2051</v>
      </c>
      <c r="G1755" s="6" t="s">
        <v>2319</v>
      </c>
      <c r="H1755" s="5"/>
      <c r="I1755" s="6" t="s">
        <v>2053</v>
      </c>
    </row>
    <row r="1756" customFormat="false" ht="15" hidden="false" customHeight="false" outlineLevel="0" collapsed="false">
      <c r="A1756" s="5" t="s">
        <v>2318</v>
      </c>
      <c r="B1756" s="5" t="s">
        <v>1005</v>
      </c>
      <c r="C1756" s="5" t="s">
        <v>1181</v>
      </c>
      <c r="D1756" s="5" t="s">
        <v>1181</v>
      </c>
      <c r="E1756" s="6" t="s">
        <v>2054</v>
      </c>
      <c r="F1756" s="6" t="s">
        <v>2055</v>
      </c>
      <c r="G1756" s="6" t="s">
        <v>2045</v>
      </c>
      <c r="H1756" s="5"/>
      <c r="I1756" s="6" t="s">
        <v>2056</v>
      </c>
    </row>
    <row r="1757" customFormat="false" ht="15" hidden="false" customHeight="false" outlineLevel="0" collapsed="false">
      <c r="A1757" s="5" t="s">
        <v>2318</v>
      </c>
      <c r="B1757" s="5" t="s">
        <v>1005</v>
      </c>
      <c r="C1757" s="5" t="s">
        <v>1181</v>
      </c>
      <c r="D1757" s="5" t="s">
        <v>1181</v>
      </c>
      <c r="E1757" s="6" t="s">
        <v>2057</v>
      </c>
      <c r="F1757" s="6" t="s">
        <v>2320</v>
      </c>
      <c r="G1757" s="6" t="s">
        <v>2321</v>
      </c>
      <c r="H1757" s="5"/>
      <c r="I1757" s="6" t="s">
        <v>2049</v>
      </c>
    </row>
    <row r="1758" customFormat="false" ht="15" hidden="false" customHeight="false" outlineLevel="0" collapsed="false">
      <c r="A1758" s="5" t="s">
        <v>2318</v>
      </c>
      <c r="B1758" s="5" t="s">
        <v>1005</v>
      </c>
      <c r="C1758" s="5" t="s">
        <v>1181</v>
      </c>
      <c r="D1758" s="5" t="s">
        <v>1181</v>
      </c>
      <c r="E1758" s="6" t="s">
        <v>2060</v>
      </c>
      <c r="F1758" s="6" t="s">
        <v>2061</v>
      </c>
      <c r="G1758" s="6" t="s">
        <v>2123</v>
      </c>
      <c r="H1758" s="5"/>
      <c r="I1758" s="6" t="s">
        <v>2049</v>
      </c>
    </row>
    <row r="1759" customFormat="false" ht="15" hidden="false" customHeight="false" outlineLevel="0" collapsed="false">
      <c r="A1759" s="5" t="s">
        <v>2318</v>
      </c>
      <c r="B1759" s="5" t="s">
        <v>1005</v>
      </c>
      <c r="C1759" s="5" t="s">
        <v>1181</v>
      </c>
      <c r="D1759" s="5" t="s">
        <v>1181</v>
      </c>
      <c r="E1759" s="6" t="s">
        <v>2063</v>
      </c>
      <c r="F1759" s="6" t="s">
        <v>2061</v>
      </c>
      <c r="G1759" s="6" t="s">
        <v>2064</v>
      </c>
      <c r="H1759" s="5"/>
      <c r="I1759" s="6" t="s">
        <v>2049</v>
      </c>
    </row>
    <row r="1760" customFormat="false" ht="15" hidden="false" customHeight="false" outlineLevel="0" collapsed="false">
      <c r="A1760" s="5" t="s">
        <v>2318</v>
      </c>
      <c r="B1760" s="5" t="s">
        <v>1005</v>
      </c>
      <c r="C1760" s="5" t="s">
        <v>1181</v>
      </c>
      <c r="D1760" s="5" t="s">
        <v>1181</v>
      </c>
      <c r="E1760" s="6" t="s">
        <v>2065</v>
      </c>
      <c r="F1760" s="6" t="s">
        <v>2066</v>
      </c>
      <c r="G1760" s="6" t="s">
        <v>1765</v>
      </c>
      <c r="H1760" s="5"/>
      <c r="I1760" s="6" t="s">
        <v>2067</v>
      </c>
    </row>
    <row r="1761" customFormat="false" ht="15" hidden="false" customHeight="false" outlineLevel="0" collapsed="false">
      <c r="A1761" s="5" t="s">
        <v>2318</v>
      </c>
      <c r="B1761" s="5" t="s">
        <v>1005</v>
      </c>
      <c r="C1761" s="5" t="s">
        <v>1181</v>
      </c>
      <c r="D1761" s="5" t="s">
        <v>1181</v>
      </c>
      <c r="E1761" s="6" t="s">
        <v>2068</v>
      </c>
      <c r="F1761" s="6" t="s">
        <v>2069</v>
      </c>
      <c r="G1761" s="6" t="s">
        <v>2070</v>
      </c>
      <c r="H1761" s="5"/>
      <c r="I1761" s="6" t="s">
        <v>2071</v>
      </c>
    </row>
    <row r="1762" customFormat="false" ht="15" hidden="false" customHeight="false" outlineLevel="0" collapsed="false">
      <c r="A1762" s="5" t="s">
        <v>2318</v>
      </c>
      <c r="B1762" s="5" t="s">
        <v>1005</v>
      </c>
      <c r="C1762" s="5" t="s">
        <v>1181</v>
      </c>
      <c r="D1762" s="5" t="s">
        <v>1181</v>
      </c>
      <c r="E1762" s="6" t="s">
        <v>2072</v>
      </c>
      <c r="F1762" s="6" t="s">
        <v>2073</v>
      </c>
      <c r="G1762" s="6" t="s">
        <v>2070</v>
      </c>
      <c r="H1762" s="5"/>
      <c r="I1762" s="6" t="s">
        <v>2071</v>
      </c>
    </row>
    <row r="1763" customFormat="false" ht="15" hidden="false" customHeight="false" outlineLevel="0" collapsed="false">
      <c r="A1763" s="5" t="s">
        <v>2318</v>
      </c>
      <c r="B1763" s="5" t="s">
        <v>1005</v>
      </c>
      <c r="C1763" s="5" t="s">
        <v>1181</v>
      </c>
      <c r="D1763" s="5" t="s">
        <v>1181</v>
      </c>
      <c r="E1763" s="6" t="s">
        <v>2074</v>
      </c>
      <c r="F1763" s="6" t="s">
        <v>2075</v>
      </c>
      <c r="G1763" s="6" t="s">
        <v>2070</v>
      </c>
      <c r="H1763" s="5"/>
      <c r="I1763" s="6" t="s">
        <v>2071</v>
      </c>
    </row>
    <row r="1764" customFormat="false" ht="23.85" hidden="false" customHeight="false" outlineLevel="0" collapsed="false">
      <c r="A1764" s="5" t="s">
        <v>2318</v>
      </c>
      <c r="B1764" s="5" t="s">
        <v>1005</v>
      </c>
      <c r="C1764" s="5" t="s">
        <v>1181</v>
      </c>
      <c r="D1764" s="5" t="s">
        <v>1181</v>
      </c>
      <c r="E1764" s="6" t="s">
        <v>2076</v>
      </c>
      <c r="F1764" s="6" t="s">
        <v>2077</v>
      </c>
      <c r="G1764" s="6" t="s">
        <v>2070</v>
      </c>
      <c r="H1764" s="5"/>
      <c r="I1764" s="6" t="s">
        <v>2071</v>
      </c>
    </row>
    <row r="1765" customFormat="false" ht="15" hidden="false" customHeight="false" outlineLevel="0" collapsed="false">
      <c r="A1765" s="5" t="s">
        <v>2318</v>
      </c>
      <c r="B1765" s="5" t="s">
        <v>1005</v>
      </c>
      <c r="C1765" s="5" t="s">
        <v>1181</v>
      </c>
      <c r="D1765" s="5" t="s">
        <v>1181</v>
      </c>
      <c r="E1765" s="6" t="s">
        <v>2078</v>
      </c>
      <c r="F1765" s="6" t="s">
        <v>2079</v>
      </c>
      <c r="G1765" s="6" t="s">
        <v>2070</v>
      </c>
      <c r="H1765" s="5"/>
      <c r="I1765" s="6" t="s">
        <v>2071</v>
      </c>
    </row>
    <row r="1766" customFormat="false" ht="15" hidden="false" customHeight="false" outlineLevel="0" collapsed="false">
      <c r="A1766" s="5" t="s">
        <v>2318</v>
      </c>
      <c r="B1766" s="5" t="s">
        <v>1005</v>
      </c>
      <c r="C1766" s="5" t="s">
        <v>1181</v>
      </c>
      <c r="D1766" s="5" t="s">
        <v>1181</v>
      </c>
      <c r="E1766" s="6" t="s">
        <v>2080</v>
      </c>
      <c r="F1766" s="6" t="s">
        <v>2081</v>
      </c>
      <c r="G1766" s="6" t="s">
        <v>2070</v>
      </c>
      <c r="H1766" s="5"/>
      <c r="I1766" s="6" t="s">
        <v>2071</v>
      </c>
    </row>
    <row r="1767" customFormat="false" ht="15" hidden="false" customHeight="false" outlineLevel="0" collapsed="false">
      <c r="A1767" s="5" t="s">
        <v>2318</v>
      </c>
      <c r="B1767" s="5" t="s">
        <v>1005</v>
      </c>
      <c r="C1767" s="5" t="s">
        <v>1181</v>
      </c>
      <c r="D1767" s="5" t="s">
        <v>1181</v>
      </c>
      <c r="E1767" s="6" t="s">
        <v>2082</v>
      </c>
      <c r="F1767" s="6" t="s">
        <v>2083</v>
      </c>
      <c r="G1767" s="6" t="s">
        <v>2070</v>
      </c>
      <c r="H1767" s="5"/>
      <c r="I1767" s="6" t="s">
        <v>2071</v>
      </c>
    </row>
    <row r="1768" customFormat="false" ht="15" hidden="false" customHeight="false" outlineLevel="0" collapsed="false">
      <c r="A1768" s="5" t="s">
        <v>2318</v>
      </c>
      <c r="B1768" s="5" t="s">
        <v>1005</v>
      </c>
      <c r="C1768" s="5" t="s">
        <v>1181</v>
      </c>
      <c r="D1768" s="5" t="s">
        <v>1181</v>
      </c>
      <c r="E1768" s="6" t="s">
        <v>2084</v>
      </c>
      <c r="F1768" s="6" t="s">
        <v>2073</v>
      </c>
      <c r="G1768" s="6" t="s">
        <v>2070</v>
      </c>
      <c r="H1768" s="5"/>
      <c r="I1768" s="6" t="s">
        <v>2071</v>
      </c>
    </row>
    <row r="1769" customFormat="false" ht="15" hidden="false" customHeight="false" outlineLevel="0" collapsed="false">
      <c r="A1769" s="5" t="s">
        <v>2318</v>
      </c>
      <c r="B1769" s="5" t="s">
        <v>1005</v>
      </c>
      <c r="C1769" s="5" t="s">
        <v>1181</v>
      </c>
      <c r="D1769" s="5" t="s">
        <v>1181</v>
      </c>
      <c r="E1769" s="6" t="s">
        <v>2085</v>
      </c>
      <c r="F1769" s="6" t="s">
        <v>2086</v>
      </c>
      <c r="G1769" s="6" t="s">
        <v>2070</v>
      </c>
      <c r="H1769" s="5"/>
      <c r="I1769" s="6" t="s">
        <v>2071</v>
      </c>
    </row>
    <row r="1770" customFormat="false" ht="23.85" hidden="false" customHeight="false" outlineLevel="0" collapsed="false">
      <c r="A1770" s="5" t="s">
        <v>2318</v>
      </c>
      <c r="B1770" s="5" t="s">
        <v>1005</v>
      </c>
      <c r="C1770" s="5" t="s">
        <v>1181</v>
      </c>
      <c r="D1770" s="5" t="s">
        <v>1181</v>
      </c>
      <c r="E1770" s="6" t="s">
        <v>2087</v>
      </c>
      <c r="F1770" s="6" t="s">
        <v>2081</v>
      </c>
      <c r="G1770" s="6" t="s">
        <v>2070</v>
      </c>
      <c r="H1770" s="5"/>
      <c r="I1770" s="6" t="s">
        <v>2071</v>
      </c>
    </row>
    <row r="1771" customFormat="false" ht="15" hidden="false" customHeight="false" outlineLevel="0" collapsed="false">
      <c r="A1771" s="5" t="s">
        <v>2318</v>
      </c>
      <c r="B1771" s="5" t="s">
        <v>1005</v>
      </c>
      <c r="C1771" s="5" t="s">
        <v>1181</v>
      </c>
      <c r="D1771" s="5" t="s">
        <v>1181</v>
      </c>
      <c r="E1771" s="6" t="s">
        <v>2088</v>
      </c>
      <c r="F1771" s="6" t="s">
        <v>2081</v>
      </c>
      <c r="G1771" s="6" t="s">
        <v>2070</v>
      </c>
      <c r="H1771" s="5"/>
      <c r="I1771" s="6" t="s">
        <v>2071</v>
      </c>
    </row>
    <row r="1772" customFormat="false" ht="15" hidden="false" customHeight="false" outlineLevel="0" collapsed="false">
      <c r="A1772" s="5" t="s">
        <v>2318</v>
      </c>
      <c r="B1772" s="5" t="s">
        <v>1005</v>
      </c>
      <c r="C1772" s="5" t="s">
        <v>1181</v>
      </c>
      <c r="D1772" s="5" t="s">
        <v>1181</v>
      </c>
      <c r="E1772" s="6" t="s">
        <v>2089</v>
      </c>
      <c r="F1772" s="6" t="s">
        <v>2081</v>
      </c>
      <c r="G1772" s="6" t="s">
        <v>2070</v>
      </c>
      <c r="H1772" s="5"/>
      <c r="I1772" s="6" t="s">
        <v>2071</v>
      </c>
    </row>
    <row r="1773" customFormat="false" ht="15" hidden="false" customHeight="false" outlineLevel="0" collapsed="false">
      <c r="A1773" s="5" t="s">
        <v>2318</v>
      </c>
      <c r="B1773" s="5" t="s">
        <v>1005</v>
      </c>
      <c r="C1773" s="5" t="s">
        <v>1181</v>
      </c>
      <c r="D1773" s="5" t="s">
        <v>1181</v>
      </c>
      <c r="E1773" s="6" t="s">
        <v>2090</v>
      </c>
      <c r="F1773" s="6" t="s">
        <v>2081</v>
      </c>
      <c r="G1773" s="6" t="s">
        <v>2070</v>
      </c>
      <c r="H1773" s="5"/>
      <c r="I1773" s="6" t="s">
        <v>2071</v>
      </c>
    </row>
    <row r="1774" customFormat="false" ht="15" hidden="false" customHeight="false" outlineLevel="0" collapsed="false">
      <c r="A1774" s="5" t="s">
        <v>2318</v>
      </c>
      <c r="B1774" s="5" t="s">
        <v>1005</v>
      </c>
      <c r="C1774" s="5" t="s">
        <v>1181</v>
      </c>
      <c r="D1774" s="5" t="s">
        <v>1181</v>
      </c>
      <c r="E1774" s="6" t="s">
        <v>2091</v>
      </c>
      <c r="F1774" s="6" t="s">
        <v>2083</v>
      </c>
      <c r="G1774" s="6" t="s">
        <v>2070</v>
      </c>
      <c r="H1774" s="5"/>
      <c r="I1774" s="6" t="s">
        <v>2093</v>
      </c>
    </row>
    <row r="1775" customFormat="false" ht="15" hidden="false" customHeight="false" outlineLevel="0" collapsed="false">
      <c r="A1775" s="5" t="s">
        <v>2318</v>
      </c>
      <c r="B1775" s="5" t="s">
        <v>1005</v>
      </c>
      <c r="C1775" s="5" t="s">
        <v>1181</v>
      </c>
      <c r="D1775" s="5" t="s">
        <v>1181</v>
      </c>
      <c r="E1775" s="6" t="s">
        <v>2094</v>
      </c>
      <c r="F1775" s="6" t="s">
        <v>2069</v>
      </c>
      <c r="G1775" s="6" t="s">
        <v>2171</v>
      </c>
      <c r="H1775" s="5"/>
      <c r="I1775" s="6" t="s">
        <v>2093</v>
      </c>
    </row>
    <row r="1776" customFormat="false" ht="15" hidden="false" customHeight="false" outlineLevel="0" collapsed="false">
      <c r="A1776" s="5" t="s">
        <v>2318</v>
      </c>
      <c r="B1776" s="5" t="s">
        <v>1005</v>
      </c>
      <c r="C1776" s="5" t="s">
        <v>1181</v>
      </c>
      <c r="D1776" s="5" t="s">
        <v>1181</v>
      </c>
      <c r="E1776" s="6" t="s">
        <v>2096</v>
      </c>
      <c r="F1776" s="6" t="s">
        <v>2073</v>
      </c>
      <c r="G1776" s="6" t="s">
        <v>2070</v>
      </c>
      <c r="H1776" s="5"/>
      <c r="I1776" s="6" t="s">
        <v>2093</v>
      </c>
    </row>
    <row r="1777" customFormat="false" ht="15" hidden="false" customHeight="false" outlineLevel="0" collapsed="false">
      <c r="A1777" s="5" t="s">
        <v>2318</v>
      </c>
      <c r="B1777" s="5" t="s">
        <v>1005</v>
      </c>
      <c r="C1777" s="5" t="s">
        <v>1181</v>
      </c>
      <c r="D1777" s="5" t="s">
        <v>1181</v>
      </c>
      <c r="E1777" s="6" t="s">
        <v>2098</v>
      </c>
      <c r="F1777" s="6" t="s">
        <v>2075</v>
      </c>
      <c r="G1777" s="6" t="s">
        <v>2070</v>
      </c>
      <c r="H1777" s="5"/>
      <c r="I1777" s="6" t="s">
        <v>2093</v>
      </c>
    </row>
    <row r="1778" customFormat="false" ht="15" hidden="false" customHeight="false" outlineLevel="0" collapsed="false">
      <c r="A1778" s="5" t="s">
        <v>2318</v>
      </c>
      <c r="B1778" s="5" t="s">
        <v>1005</v>
      </c>
      <c r="C1778" s="5" t="s">
        <v>1181</v>
      </c>
      <c r="D1778" s="5" t="s">
        <v>1181</v>
      </c>
      <c r="E1778" s="6" t="s">
        <v>2100</v>
      </c>
      <c r="F1778" s="6" t="s">
        <v>2101</v>
      </c>
      <c r="G1778" s="6" t="s">
        <v>2322</v>
      </c>
      <c r="H1778" s="5"/>
      <c r="I1778" s="6" t="s">
        <v>2103</v>
      </c>
    </row>
    <row r="1779" customFormat="false" ht="23.85" hidden="false" customHeight="false" outlineLevel="0" collapsed="false">
      <c r="A1779" s="5" t="s">
        <v>2318</v>
      </c>
      <c r="B1779" s="5" t="s">
        <v>1005</v>
      </c>
      <c r="C1779" s="5" t="s">
        <v>1181</v>
      </c>
      <c r="D1779" s="5" t="s">
        <v>1181</v>
      </c>
      <c r="E1779" s="6" t="s">
        <v>2104</v>
      </c>
      <c r="F1779" s="6" t="s">
        <v>2105</v>
      </c>
      <c r="G1779" s="6" t="s">
        <v>2323</v>
      </c>
      <c r="H1779" s="5"/>
      <c r="I1779" s="6" t="s">
        <v>2103</v>
      </c>
    </row>
    <row r="1780" customFormat="false" ht="15" hidden="false" customHeight="false" outlineLevel="0" collapsed="false">
      <c r="A1780" s="5" t="s">
        <v>2318</v>
      </c>
      <c r="B1780" s="5" t="s">
        <v>1005</v>
      </c>
      <c r="C1780" s="5" t="s">
        <v>1181</v>
      </c>
      <c r="D1780" s="5" t="s">
        <v>1181</v>
      </c>
      <c r="E1780" s="6" t="s">
        <v>2107</v>
      </c>
      <c r="F1780" s="6" t="s">
        <v>2108</v>
      </c>
      <c r="G1780" s="6" t="s">
        <v>1893</v>
      </c>
      <c r="H1780" s="5"/>
      <c r="I1780" s="6" t="s">
        <v>2103</v>
      </c>
    </row>
    <row r="1781" customFormat="false" ht="15" hidden="false" customHeight="false" outlineLevel="0" collapsed="false">
      <c r="A1781" s="5" t="s">
        <v>2318</v>
      </c>
      <c r="B1781" s="5" t="s">
        <v>1005</v>
      </c>
      <c r="C1781" s="5" t="s">
        <v>1181</v>
      </c>
      <c r="D1781" s="5" t="s">
        <v>1181</v>
      </c>
      <c r="E1781" s="6" t="s">
        <v>2110</v>
      </c>
      <c r="F1781" s="6" t="s">
        <v>2111</v>
      </c>
      <c r="G1781" s="6" t="s">
        <v>2112</v>
      </c>
      <c r="H1781" s="5"/>
      <c r="I1781" s="6" t="s">
        <v>2103</v>
      </c>
    </row>
    <row r="1782" customFormat="false" ht="15" hidden="false" customHeight="false" outlineLevel="0" collapsed="false">
      <c r="A1782" s="5" t="s">
        <v>2318</v>
      </c>
      <c r="B1782" s="5" t="s">
        <v>1005</v>
      </c>
      <c r="C1782" s="5" t="s">
        <v>1181</v>
      </c>
      <c r="D1782" s="5" t="s">
        <v>1181</v>
      </c>
      <c r="E1782" s="6" t="s">
        <v>2113</v>
      </c>
      <c r="F1782" s="6" t="s">
        <v>2111</v>
      </c>
      <c r="G1782" s="6" t="s">
        <v>2112</v>
      </c>
      <c r="H1782" s="5"/>
      <c r="I1782" s="6" t="s">
        <v>2103</v>
      </c>
    </row>
    <row r="1783" customFormat="false" ht="15" hidden="false" customHeight="false" outlineLevel="0" collapsed="false">
      <c r="A1783" s="5" t="s">
        <v>2318</v>
      </c>
      <c r="B1783" s="5" t="s">
        <v>1005</v>
      </c>
      <c r="C1783" s="5" t="s">
        <v>1181</v>
      </c>
      <c r="D1783" s="5" t="s">
        <v>1181</v>
      </c>
      <c r="E1783" s="6" t="s">
        <v>2114</v>
      </c>
      <c r="F1783" s="6" t="s">
        <v>2115</v>
      </c>
      <c r="G1783" s="6" t="s">
        <v>2045</v>
      </c>
      <c r="H1783" s="5"/>
      <c r="I1783" s="6" t="s">
        <v>2116</v>
      </c>
    </row>
    <row r="1784" customFormat="false" ht="15" hidden="false" customHeight="false" outlineLevel="0" collapsed="false">
      <c r="A1784" s="5" t="s">
        <v>2318</v>
      </c>
      <c r="B1784" s="5" t="s">
        <v>1005</v>
      </c>
      <c r="C1784" s="5" t="s">
        <v>1181</v>
      </c>
      <c r="D1784" s="5" t="s">
        <v>1181</v>
      </c>
      <c r="E1784" s="6" t="s">
        <v>2117</v>
      </c>
      <c r="F1784" s="6" t="s">
        <v>2115</v>
      </c>
      <c r="G1784" s="6" t="s">
        <v>2045</v>
      </c>
      <c r="H1784" s="5"/>
      <c r="I1784" s="6" t="s">
        <v>2116</v>
      </c>
    </row>
    <row r="1785" customFormat="false" ht="15" hidden="false" customHeight="false" outlineLevel="0" collapsed="false">
      <c r="A1785" s="5" t="s">
        <v>2318</v>
      </c>
      <c r="B1785" s="5" t="s">
        <v>1005</v>
      </c>
      <c r="C1785" s="5" t="s">
        <v>1181</v>
      </c>
      <c r="D1785" s="5" t="s">
        <v>1181</v>
      </c>
      <c r="E1785" s="6" t="s">
        <v>2118</v>
      </c>
      <c r="F1785" s="6" t="s">
        <v>2115</v>
      </c>
      <c r="G1785" s="6" t="s">
        <v>2045</v>
      </c>
      <c r="H1785" s="5"/>
      <c r="I1785" s="6" t="s">
        <v>2116</v>
      </c>
    </row>
    <row r="1786" customFormat="false" ht="35.05" hidden="false" customHeight="false" outlineLevel="0" collapsed="false">
      <c r="A1786" s="5" t="s">
        <v>2324</v>
      </c>
      <c r="B1786" s="5" t="s">
        <v>1005</v>
      </c>
      <c r="C1786" s="5" t="s">
        <v>1186</v>
      </c>
      <c r="D1786" s="5" t="s">
        <v>1186</v>
      </c>
      <c r="E1786" s="6" t="s">
        <v>2043</v>
      </c>
      <c r="F1786" s="6" t="s">
        <v>2044</v>
      </c>
      <c r="G1786" s="6" t="s">
        <v>2045</v>
      </c>
      <c r="H1786" s="5"/>
      <c r="I1786" s="6" t="s">
        <v>2046</v>
      </c>
    </row>
    <row r="1787" customFormat="false" ht="23.85" hidden="false" customHeight="false" outlineLevel="0" collapsed="false">
      <c r="A1787" s="5" t="s">
        <v>2324</v>
      </c>
      <c r="B1787" s="5" t="s">
        <v>1005</v>
      </c>
      <c r="C1787" s="5" t="s">
        <v>1186</v>
      </c>
      <c r="D1787" s="5" t="s">
        <v>1186</v>
      </c>
      <c r="E1787" s="6" t="s">
        <v>2047</v>
      </c>
      <c r="F1787" s="6" t="s">
        <v>2048</v>
      </c>
      <c r="G1787" s="6" t="s">
        <v>2045</v>
      </c>
      <c r="H1787" s="5"/>
      <c r="I1787" s="6" t="s">
        <v>2049</v>
      </c>
    </row>
    <row r="1788" customFormat="false" ht="15" hidden="false" customHeight="false" outlineLevel="0" collapsed="false">
      <c r="A1788" s="5" t="s">
        <v>2324</v>
      </c>
      <c r="B1788" s="5" t="s">
        <v>1005</v>
      </c>
      <c r="C1788" s="5" t="s">
        <v>1186</v>
      </c>
      <c r="D1788" s="5" t="s">
        <v>1186</v>
      </c>
      <c r="E1788" s="6" t="s">
        <v>2050</v>
      </c>
      <c r="F1788" s="6" t="s">
        <v>2051</v>
      </c>
      <c r="G1788" s="6" t="s">
        <v>2325</v>
      </c>
      <c r="H1788" s="5"/>
      <c r="I1788" s="6" t="s">
        <v>2053</v>
      </c>
    </row>
    <row r="1789" customFormat="false" ht="15" hidden="false" customHeight="false" outlineLevel="0" collapsed="false">
      <c r="A1789" s="5" t="s">
        <v>2324</v>
      </c>
      <c r="B1789" s="5" t="s">
        <v>1005</v>
      </c>
      <c r="C1789" s="5" t="s">
        <v>1186</v>
      </c>
      <c r="D1789" s="5" t="s">
        <v>1186</v>
      </c>
      <c r="E1789" s="6" t="s">
        <v>2054</v>
      </c>
      <c r="F1789" s="6" t="s">
        <v>2055</v>
      </c>
      <c r="G1789" s="6" t="s">
        <v>2045</v>
      </c>
      <c r="H1789" s="5"/>
      <c r="I1789" s="6" t="s">
        <v>2056</v>
      </c>
    </row>
    <row r="1790" customFormat="false" ht="15" hidden="false" customHeight="false" outlineLevel="0" collapsed="false">
      <c r="A1790" s="5" t="s">
        <v>2324</v>
      </c>
      <c r="B1790" s="5" t="s">
        <v>1005</v>
      </c>
      <c r="C1790" s="5" t="s">
        <v>1186</v>
      </c>
      <c r="D1790" s="5" t="s">
        <v>1186</v>
      </c>
      <c r="E1790" s="6" t="s">
        <v>2057</v>
      </c>
      <c r="F1790" s="6" t="s">
        <v>2326</v>
      </c>
      <c r="G1790" s="6" t="s">
        <v>2327</v>
      </c>
      <c r="H1790" s="5"/>
      <c r="I1790" s="6" t="s">
        <v>2049</v>
      </c>
    </row>
    <row r="1791" customFormat="false" ht="15" hidden="false" customHeight="false" outlineLevel="0" collapsed="false">
      <c r="A1791" s="5" t="s">
        <v>2324</v>
      </c>
      <c r="B1791" s="5" t="s">
        <v>1005</v>
      </c>
      <c r="C1791" s="5" t="s">
        <v>1186</v>
      </c>
      <c r="D1791" s="5" t="s">
        <v>1186</v>
      </c>
      <c r="E1791" s="6" t="s">
        <v>2060</v>
      </c>
      <c r="F1791" s="6" t="s">
        <v>2061</v>
      </c>
      <c r="G1791" s="6" t="s">
        <v>2221</v>
      </c>
      <c r="H1791" s="5"/>
      <c r="I1791" s="6" t="s">
        <v>2049</v>
      </c>
    </row>
    <row r="1792" customFormat="false" ht="15" hidden="false" customHeight="false" outlineLevel="0" collapsed="false">
      <c r="A1792" s="5" t="s">
        <v>2324</v>
      </c>
      <c r="B1792" s="5" t="s">
        <v>1005</v>
      </c>
      <c r="C1792" s="5" t="s">
        <v>1186</v>
      </c>
      <c r="D1792" s="5" t="s">
        <v>1186</v>
      </c>
      <c r="E1792" s="6" t="s">
        <v>2063</v>
      </c>
      <c r="F1792" s="6" t="s">
        <v>2061</v>
      </c>
      <c r="G1792" s="6" t="s">
        <v>2070</v>
      </c>
      <c r="H1792" s="5"/>
      <c r="I1792" s="6" t="s">
        <v>2049</v>
      </c>
    </row>
    <row r="1793" customFormat="false" ht="15" hidden="false" customHeight="false" outlineLevel="0" collapsed="false">
      <c r="A1793" s="5" t="s">
        <v>2324</v>
      </c>
      <c r="B1793" s="5" t="s">
        <v>1005</v>
      </c>
      <c r="C1793" s="5" t="s">
        <v>1186</v>
      </c>
      <c r="D1793" s="5" t="s">
        <v>1186</v>
      </c>
      <c r="E1793" s="6" t="s">
        <v>2065</v>
      </c>
      <c r="F1793" s="6" t="s">
        <v>2066</v>
      </c>
      <c r="G1793" s="6" t="s">
        <v>1765</v>
      </c>
      <c r="H1793" s="5"/>
      <c r="I1793" s="6" t="s">
        <v>2067</v>
      </c>
    </row>
    <row r="1794" customFormat="false" ht="15" hidden="false" customHeight="false" outlineLevel="0" collapsed="false">
      <c r="A1794" s="5" t="s">
        <v>2324</v>
      </c>
      <c r="B1794" s="5" t="s">
        <v>1005</v>
      </c>
      <c r="C1794" s="5" t="s">
        <v>1186</v>
      </c>
      <c r="D1794" s="5" t="s">
        <v>1186</v>
      </c>
      <c r="E1794" s="6" t="s">
        <v>2068</v>
      </c>
      <c r="F1794" s="6" t="s">
        <v>2069</v>
      </c>
      <c r="G1794" s="6" t="s">
        <v>2070</v>
      </c>
      <c r="H1794" s="5"/>
      <c r="I1794" s="6" t="s">
        <v>2071</v>
      </c>
    </row>
    <row r="1795" customFormat="false" ht="15" hidden="false" customHeight="false" outlineLevel="0" collapsed="false">
      <c r="A1795" s="5" t="s">
        <v>2324</v>
      </c>
      <c r="B1795" s="5" t="s">
        <v>1005</v>
      </c>
      <c r="C1795" s="5" t="s">
        <v>1186</v>
      </c>
      <c r="D1795" s="5" t="s">
        <v>1186</v>
      </c>
      <c r="E1795" s="6" t="s">
        <v>2072</v>
      </c>
      <c r="F1795" s="6" t="s">
        <v>2073</v>
      </c>
      <c r="G1795" s="6" t="s">
        <v>2070</v>
      </c>
      <c r="H1795" s="5"/>
      <c r="I1795" s="6" t="s">
        <v>2071</v>
      </c>
    </row>
    <row r="1796" customFormat="false" ht="15" hidden="false" customHeight="false" outlineLevel="0" collapsed="false">
      <c r="A1796" s="5" t="s">
        <v>2324</v>
      </c>
      <c r="B1796" s="5" t="s">
        <v>1005</v>
      </c>
      <c r="C1796" s="5" t="s">
        <v>1186</v>
      </c>
      <c r="D1796" s="5" t="s">
        <v>1186</v>
      </c>
      <c r="E1796" s="6" t="s">
        <v>2074</v>
      </c>
      <c r="F1796" s="6" t="s">
        <v>2075</v>
      </c>
      <c r="G1796" s="6" t="s">
        <v>2070</v>
      </c>
      <c r="H1796" s="5"/>
      <c r="I1796" s="6" t="s">
        <v>2071</v>
      </c>
    </row>
    <row r="1797" customFormat="false" ht="23.85" hidden="false" customHeight="false" outlineLevel="0" collapsed="false">
      <c r="A1797" s="5" t="s">
        <v>2324</v>
      </c>
      <c r="B1797" s="5" t="s">
        <v>1005</v>
      </c>
      <c r="C1797" s="5" t="s">
        <v>1186</v>
      </c>
      <c r="D1797" s="5" t="s">
        <v>1186</v>
      </c>
      <c r="E1797" s="6" t="s">
        <v>2076</v>
      </c>
      <c r="F1797" s="6" t="s">
        <v>2077</v>
      </c>
      <c r="G1797" s="6" t="s">
        <v>2070</v>
      </c>
      <c r="H1797" s="5"/>
      <c r="I1797" s="6" t="s">
        <v>2071</v>
      </c>
    </row>
    <row r="1798" customFormat="false" ht="15" hidden="false" customHeight="false" outlineLevel="0" collapsed="false">
      <c r="A1798" s="5" t="s">
        <v>2324</v>
      </c>
      <c r="B1798" s="5" t="s">
        <v>1005</v>
      </c>
      <c r="C1798" s="5" t="s">
        <v>1186</v>
      </c>
      <c r="D1798" s="5" t="s">
        <v>1186</v>
      </c>
      <c r="E1798" s="6" t="s">
        <v>2078</v>
      </c>
      <c r="F1798" s="6" t="s">
        <v>2079</v>
      </c>
      <c r="G1798" s="6" t="s">
        <v>2070</v>
      </c>
      <c r="H1798" s="5"/>
      <c r="I1798" s="6" t="s">
        <v>2071</v>
      </c>
    </row>
    <row r="1799" customFormat="false" ht="15" hidden="false" customHeight="false" outlineLevel="0" collapsed="false">
      <c r="A1799" s="5" t="s">
        <v>2324</v>
      </c>
      <c r="B1799" s="5" t="s">
        <v>1005</v>
      </c>
      <c r="C1799" s="5" t="s">
        <v>1186</v>
      </c>
      <c r="D1799" s="5" t="s">
        <v>1186</v>
      </c>
      <c r="E1799" s="6" t="s">
        <v>2080</v>
      </c>
      <c r="F1799" s="6" t="s">
        <v>2081</v>
      </c>
      <c r="G1799" s="6" t="s">
        <v>2070</v>
      </c>
      <c r="H1799" s="5"/>
      <c r="I1799" s="6" t="s">
        <v>2071</v>
      </c>
    </row>
    <row r="1800" customFormat="false" ht="15" hidden="false" customHeight="false" outlineLevel="0" collapsed="false">
      <c r="A1800" s="5" t="s">
        <v>2324</v>
      </c>
      <c r="B1800" s="5" t="s">
        <v>1005</v>
      </c>
      <c r="C1800" s="5" t="s">
        <v>1186</v>
      </c>
      <c r="D1800" s="5" t="s">
        <v>1186</v>
      </c>
      <c r="E1800" s="6" t="s">
        <v>2082</v>
      </c>
      <c r="F1800" s="6" t="s">
        <v>2083</v>
      </c>
      <c r="G1800" s="6" t="s">
        <v>2070</v>
      </c>
      <c r="H1800" s="5"/>
      <c r="I1800" s="6" t="s">
        <v>2071</v>
      </c>
    </row>
    <row r="1801" customFormat="false" ht="15" hidden="false" customHeight="false" outlineLevel="0" collapsed="false">
      <c r="A1801" s="5" t="s">
        <v>2324</v>
      </c>
      <c r="B1801" s="5" t="s">
        <v>1005</v>
      </c>
      <c r="C1801" s="5" t="s">
        <v>1186</v>
      </c>
      <c r="D1801" s="5" t="s">
        <v>1186</v>
      </c>
      <c r="E1801" s="6" t="s">
        <v>2084</v>
      </c>
      <c r="F1801" s="6" t="s">
        <v>2073</v>
      </c>
      <c r="G1801" s="6" t="s">
        <v>2070</v>
      </c>
      <c r="H1801" s="5"/>
      <c r="I1801" s="6" t="s">
        <v>2071</v>
      </c>
    </row>
    <row r="1802" customFormat="false" ht="15" hidden="false" customHeight="false" outlineLevel="0" collapsed="false">
      <c r="A1802" s="5" t="s">
        <v>2324</v>
      </c>
      <c r="B1802" s="5" t="s">
        <v>1005</v>
      </c>
      <c r="C1802" s="5" t="s">
        <v>1186</v>
      </c>
      <c r="D1802" s="5" t="s">
        <v>1186</v>
      </c>
      <c r="E1802" s="6" t="s">
        <v>2085</v>
      </c>
      <c r="F1802" s="6" t="s">
        <v>2086</v>
      </c>
      <c r="G1802" s="6" t="s">
        <v>2070</v>
      </c>
      <c r="H1802" s="5"/>
      <c r="I1802" s="6" t="s">
        <v>2071</v>
      </c>
    </row>
    <row r="1803" customFormat="false" ht="23.85" hidden="false" customHeight="false" outlineLevel="0" collapsed="false">
      <c r="A1803" s="5" t="s">
        <v>2324</v>
      </c>
      <c r="B1803" s="5" t="s">
        <v>1005</v>
      </c>
      <c r="C1803" s="5" t="s">
        <v>1186</v>
      </c>
      <c r="D1803" s="5" t="s">
        <v>1186</v>
      </c>
      <c r="E1803" s="6" t="s">
        <v>2087</v>
      </c>
      <c r="F1803" s="6" t="s">
        <v>2081</v>
      </c>
      <c r="G1803" s="6" t="s">
        <v>2070</v>
      </c>
      <c r="H1803" s="5"/>
      <c r="I1803" s="6" t="s">
        <v>2071</v>
      </c>
    </row>
    <row r="1804" customFormat="false" ht="15" hidden="false" customHeight="false" outlineLevel="0" collapsed="false">
      <c r="A1804" s="5" t="s">
        <v>2324</v>
      </c>
      <c r="B1804" s="5" t="s">
        <v>1005</v>
      </c>
      <c r="C1804" s="5" t="s">
        <v>1186</v>
      </c>
      <c r="D1804" s="5" t="s">
        <v>1186</v>
      </c>
      <c r="E1804" s="6" t="s">
        <v>2088</v>
      </c>
      <c r="F1804" s="6" t="s">
        <v>2081</v>
      </c>
      <c r="G1804" s="6" t="s">
        <v>2070</v>
      </c>
      <c r="H1804" s="5"/>
      <c r="I1804" s="6" t="s">
        <v>2071</v>
      </c>
    </row>
    <row r="1805" customFormat="false" ht="15" hidden="false" customHeight="false" outlineLevel="0" collapsed="false">
      <c r="A1805" s="5" t="s">
        <v>2324</v>
      </c>
      <c r="B1805" s="5" t="s">
        <v>1005</v>
      </c>
      <c r="C1805" s="5" t="s">
        <v>1186</v>
      </c>
      <c r="D1805" s="5" t="s">
        <v>1186</v>
      </c>
      <c r="E1805" s="6" t="s">
        <v>2089</v>
      </c>
      <c r="F1805" s="6" t="s">
        <v>2081</v>
      </c>
      <c r="G1805" s="6" t="s">
        <v>2070</v>
      </c>
      <c r="H1805" s="5"/>
      <c r="I1805" s="6" t="s">
        <v>2071</v>
      </c>
    </row>
    <row r="1806" customFormat="false" ht="15" hidden="false" customHeight="false" outlineLevel="0" collapsed="false">
      <c r="A1806" s="5" t="s">
        <v>2324</v>
      </c>
      <c r="B1806" s="5" t="s">
        <v>1005</v>
      </c>
      <c r="C1806" s="5" t="s">
        <v>1186</v>
      </c>
      <c r="D1806" s="5" t="s">
        <v>1186</v>
      </c>
      <c r="E1806" s="6" t="s">
        <v>2090</v>
      </c>
      <c r="F1806" s="6" t="s">
        <v>2081</v>
      </c>
      <c r="G1806" s="6" t="s">
        <v>2070</v>
      </c>
      <c r="H1806" s="5"/>
      <c r="I1806" s="6" t="s">
        <v>2071</v>
      </c>
    </row>
    <row r="1807" customFormat="false" ht="15" hidden="false" customHeight="false" outlineLevel="0" collapsed="false">
      <c r="A1807" s="5" t="s">
        <v>2324</v>
      </c>
      <c r="B1807" s="5" t="s">
        <v>1005</v>
      </c>
      <c r="C1807" s="5" t="s">
        <v>1186</v>
      </c>
      <c r="D1807" s="5" t="s">
        <v>1186</v>
      </c>
      <c r="E1807" s="6" t="s">
        <v>2091</v>
      </c>
      <c r="F1807" s="6" t="s">
        <v>2083</v>
      </c>
      <c r="G1807" s="6" t="s">
        <v>2070</v>
      </c>
      <c r="H1807" s="5"/>
      <c r="I1807" s="6" t="s">
        <v>2093</v>
      </c>
    </row>
    <row r="1808" customFormat="false" ht="15" hidden="false" customHeight="false" outlineLevel="0" collapsed="false">
      <c r="A1808" s="5" t="s">
        <v>2324</v>
      </c>
      <c r="B1808" s="5" t="s">
        <v>1005</v>
      </c>
      <c r="C1808" s="5" t="s">
        <v>1186</v>
      </c>
      <c r="D1808" s="5" t="s">
        <v>1186</v>
      </c>
      <c r="E1808" s="6" t="s">
        <v>2094</v>
      </c>
      <c r="F1808" s="6" t="s">
        <v>2069</v>
      </c>
      <c r="G1808" s="6" t="s">
        <v>2245</v>
      </c>
      <c r="H1808" s="5"/>
      <c r="I1808" s="6" t="s">
        <v>2093</v>
      </c>
    </row>
    <row r="1809" customFormat="false" ht="15" hidden="false" customHeight="false" outlineLevel="0" collapsed="false">
      <c r="A1809" s="5" t="s">
        <v>2324</v>
      </c>
      <c r="B1809" s="5" t="s">
        <v>1005</v>
      </c>
      <c r="C1809" s="5" t="s">
        <v>1186</v>
      </c>
      <c r="D1809" s="5" t="s">
        <v>1186</v>
      </c>
      <c r="E1809" s="6" t="s">
        <v>2096</v>
      </c>
      <c r="F1809" s="6" t="s">
        <v>2073</v>
      </c>
      <c r="G1809" s="6" t="s">
        <v>2235</v>
      </c>
      <c r="H1809" s="5"/>
      <c r="I1809" s="6" t="s">
        <v>2093</v>
      </c>
    </row>
    <row r="1810" customFormat="false" ht="15" hidden="false" customHeight="false" outlineLevel="0" collapsed="false">
      <c r="A1810" s="5" t="s">
        <v>2324</v>
      </c>
      <c r="B1810" s="5" t="s">
        <v>1005</v>
      </c>
      <c r="C1810" s="5" t="s">
        <v>1186</v>
      </c>
      <c r="D1810" s="5" t="s">
        <v>1186</v>
      </c>
      <c r="E1810" s="6" t="s">
        <v>2098</v>
      </c>
      <c r="F1810" s="6" t="s">
        <v>2075</v>
      </c>
      <c r="G1810" s="6" t="s">
        <v>2070</v>
      </c>
      <c r="H1810" s="5"/>
      <c r="I1810" s="6" t="s">
        <v>2093</v>
      </c>
    </row>
    <row r="1811" customFormat="false" ht="15" hidden="false" customHeight="false" outlineLevel="0" collapsed="false">
      <c r="A1811" s="5" t="s">
        <v>2324</v>
      </c>
      <c r="B1811" s="5" t="s">
        <v>1005</v>
      </c>
      <c r="C1811" s="5" t="s">
        <v>1186</v>
      </c>
      <c r="D1811" s="5" t="s">
        <v>1186</v>
      </c>
      <c r="E1811" s="6" t="s">
        <v>2100</v>
      </c>
      <c r="F1811" s="6" t="s">
        <v>2101</v>
      </c>
      <c r="G1811" s="6" t="s">
        <v>1893</v>
      </c>
      <c r="H1811" s="5"/>
      <c r="I1811" s="6" t="s">
        <v>2103</v>
      </c>
    </row>
    <row r="1812" customFormat="false" ht="23.85" hidden="false" customHeight="false" outlineLevel="0" collapsed="false">
      <c r="A1812" s="5" t="s">
        <v>2324</v>
      </c>
      <c r="B1812" s="5" t="s">
        <v>1005</v>
      </c>
      <c r="C1812" s="5" t="s">
        <v>1186</v>
      </c>
      <c r="D1812" s="5" t="s">
        <v>1186</v>
      </c>
      <c r="E1812" s="6" t="s">
        <v>2104</v>
      </c>
      <c r="F1812" s="6" t="s">
        <v>2105</v>
      </c>
      <c r="G1812" s="6" t="s">
        <v>1893</v>
      </c>
      <c r="H1812" s="5"/>
      <c r="I1812" s="6" t="s">
        <v>2103</v>
      </c>
    </row>
    <row r="1813" customFormat="false" ht="15" hidden="false" customHeight="false" outlineLevel="0" collapsed="false">
      <c r="A1813" s="5" t="s">
        <v>2324</v>
      </c>
      <c r="B1813" s="5" t="s">
        <v>1005</v>
      </c>
      <c r="C1813" s="5" t="s">
        <v>1186</v>
      </c>
      <c r="D1813" s="5" t="s">
        <v>1186</v>
      </c>
      <c r="E1813" s="6" t="s">
        <v>2107</v>
      </c>
      <c r="F1813" s="6" t="s">
        <v>2108</v>
      </c>
      <c r="G1813" s="6" t="s">
        <v>1893</v>
      </c>
      <c r="H1813" s="5"/>
      <c r="I1813" s="6" t="s">
        <v>2103</v>
      </c>
    </row>
    <row r="1814" customFormat="false" ht="15" hidden="false" customHeight="false" outlineLevel="0" collapsed="false">
      <c r="A1814" s="5" t="s">
        <v>2324</v>
      </c>
      <c r="B1814" s="5" t="s">
        <v>1005</v>
      </c>
      <c r="C1814" s="5" t="s">
        <v>1186</v>
      </c>
      <c r="D1814" s="5" t="s">
        <v>1186</v>
      </c>
      <c r="E1814" s="6" t="s">
        <v>2110</v>
      </c>
      <c r="F1814" s="6" t="s">
        <v>2111</v>
      </c>
      <c r="G1814" s="6" t="s">
        <v>2112</v>
      </c>
      <c r="H1814" s="5"/>
      <c r="I1814" s="6" t="s">
        <v>2103</v>
      </c>
    </row>
    <row r="1815" customFormat="false" ht="15" hidden="false" customHeight="false" outlineLevel="0" collapsed="false">
      <c r="A1815" s="5" t="s">
        <v>2324</v>
      </c>
      <c r="B1815" s="5" t="s">
        <v>1005</v>
      </c>
      <c r="C1815" s="5" t="s">
        <v>1186</v>
      </c>
      <c r="D1815" s="5" t="s">
        <v>1186</v>
      </c>
      <c r="E1815" s="6" t="s">
        <v>2113</v>
      </c>
      <c r="F1815" s="6" t="s">
        <v>2111</v>
      </c>
      <c r="G1815" s="6" t="s">
        <v>2112</v>
      </c>
      <c r="H1815" s="5"/>
      <c r="I1815" s="6" t="s">
        <v>2103</v>
      </c>
    </row>
    <row r="1816" customFormat="false" ht="15" hidden="false" customHeight="false" outlineLevel="0" collapsed="false">
      <c r="A1816" s="5" t="s">
        <v>2324</v>
      </c>
      <c r="B1816" s="5" t="s">
        <v>1005</v>
      </c>
      <c r="C1816" s="5" t="s">
        <v>1186</v>
      </c>
      <c r="D1816" s="5" t="s">
        <v>1186</v>
      </c>
      <c r="E1816" s="6" t="s">
        <v>2114</v>
      </c>
      <c r="F1816" s="6" t="s">
        <v>2115</v>
      </c>
      <c r="G1816" s="6" t="s">
        <v>2045</v>
      </c>
      <c r="H1816" s="5"/>
      <c r="I1816" s="6" t="s">
        <v>2116</v>
      </c>
    </row>
    <row r="1817" customFormat="false" ht="15" hidden="false" customHeight="false" outlineLevel="0" collapsed="false">
      <c r="A1817" s="5" t="s">
        <v>2324</v>
      </c>
      <c r="B1817" s="5" t="s">
        <v>1005</v>
      </c>
      <c r="C1817" s="5" t="s">
        <v>1186</v>
      </c>
      <c r="D1817" s="5" t="s">
        <v>1186</v>
      </c>
      <c r="E1817" s="6" t="s">
        <v>2117</v>
      </c>
      <c r="F1817" s="6" t="s">
        <v>2115</v>
      </c>
      <c r="G1817" s="6" t="s">
        <v>2045</v>
      </c>
      <c r="H1817" s="5"/>
      <c r="I1817" s="6" t="s">
        <v>2116</v>
      </c>
    </row>
    <row r="1818" customFormat="false" ht="15" hidden="false" customHeight="false" outlineLevel="0" collapsed="false">
      <c r="A1818" s="5" t="s">
        <v>2324</v>
      </c>
      <c r="B1818" s="5" t="s">
        <v>1005</v>
      </c>
      <c r="C1818" s="5" t="s">
        <v>1186</v>
      </c>
      <c r="D1818" s="5" t="s">
        <v>1186</v>
      </c>
      <c r="E1818" s="6" t="s">
        <v>2118</v>
      </c>
      <c r="F1818" s="6" t="s">
        <v>2115</v>
      </c>
      <c r="G1818" s="6" t="s">
        <v>2045</v>
      </c>
      <c r="H1818" s="5"/>
      <c r="I1818" s="6" t="s">
        <v>2116</v>
      </c>
    </row>
    <row r="1819" customFormat="false" ht="35.05" hidden="false" customHeight="false" outlineLevel="0" collapsed="false">
      <c r="A1819" s="5" t="s">
        <v>2328</v>
      </c>
      <c r="B1819" s="5" t="s">
        <v>1005</v>
      </c>
      <c r="C1819" s="5" t="s">
        <v>1191</v>
      </c>
      <c r="D1819" s="5" t="s">
        <v>1191</v>
      </c>
      <c r="E1819" s="6" t="s">
        <v>2043</v>
      </c>
      <c r="F1819" s="6" t="s">
        <v>2044</v>
      </c>
      <c r="G1819" s="6" t="s">
        <v>2045</v>
      </c>
      <c r="H1819" s="5"/>
      <c r="I1819" s="6" t="s">
        <v>2046</v>
      </c>
    </row>
    <row r="1820" customFormat="false" ht="23.85" hidden="false" customHeight="false" outlineLevel="0" collapsed="false">
      <c r="A1820" s="5" t="s">
        <v>2328</v>
      </c>
      <c r="B1820" s="5" t="s">
        <v>1005</v>
      </c>
      <c r="C1820" s="5" t="s">
        <v>1191</v>
      </c>
      <c r="D1820" s="5" t="s">
        <v>1191</v>
      </c>
      <c r="E1820" s="6" t="s">
        <v>2047</v>
      </c>
      <c r="F1820" s="6" t="s">
        <v>2048</v>
      </c>
      <c r="G1820" s="6" t="s">
        <v>2045</v>
      </c>
      <c r="H1820" s="5"/>
      <c r="I1820" s="6" t="s">
        <v>2049</v>
      </c>
    </row>
    <row r="1821" customFormat="false" ht="15" hidden="false" customHeight="false" outlineLevel="0" collapsed="false">
      <c r="A1821" s="5" t="s">
        <v>2328</v>
      </c>
      <c r="B1821" s="5" t="s">
        <v>1005</v>
      </c>
      <c r="C1821" s="5" t="s">
        <v>1191</v>
      </c>
      <c r="D1821" s="5" t="s">
        <v>1191</v>
      </c>
      <c r="E1821" s="6" t="s">
        <v>2050</v>
      </c>
      <c r="F1821" s="6" t="s">
        <v>2051</v>
      </c>
      <c r="G1821" s="6" t="s">
        <v>2329</v>
      </c>
      <c r="H1821" s="5"/>
      <c r="I1821" s="6" t="s">
        <v>2053</v>
      </c>
    </row>
    <row r="1822" customFormat="false" ht="15" hidden="false" customHeight="false" outlineLevel="0" collapsed="false">
      <c r="A1822" s="5" t="s">
        <v>2328</v>
      </c>
      <c r="B1822" s="5" t="s">
        <v>1005</v>
      </c>
      <c r="C1822" s="5" t="s">
        <v>1191</v>
      </c>
      <c r="D1822" s="5" t="s">
        <v>1191</v>
      </c>
      <c r="E1822" s="6" t="s">
        <v>2054</v>
      </c>
      <c r="F1822" s="6" t="s">
        <v>2055</v>
      </c>
      <c r="G1822" s="6" t="s">
        <v>2045</v>
      </c>
      <c r="H1822" s="5"/>
      <c r="I1822" s="6" t="s">
        <v>2056</v>
      </c>
    </row>
    <row r="1823" customFormat="false" ht="15" hidden="false" customHeight="false" outlineLevel="0" collapsed="false">
      <c r="A1823" s="5" t="s">
        <v>2328</v>
      </c>
      <c r="B1823" s="5" t="s">
        <v>1005</v>
      </c>
      <c r="C1823" s="5" t="s">
        <v>1191</v>
      </c>
      <c r="D1823" s="5" t="s">
        <v>1191</v>
      </c>
      <c r="E1823" s="6" t="s">
        <v>2057</v>
      </c>
      <c r="F1823" s="6" t="s">
        <v>2330</v>
      </c>
      <c r="G1823" s="6" t="s">
        <v>2331</v>
      </c>
      <c r="H1823" s="5"/>
      <c r="I1823" s="6" t="s">
        <v>2049</v>
      </c>
    </row>
    <row r="1824" customFormat="false" ht="15" hidden="false" customHeight="false" outlineLevel="0" collapsed="false">
      <c r="A1824" s="5" t="s">
        <v>2328</v>
      </c>
      <c r="B1824" s="5" t="s">
        <v>1005</v>
      </c>
      <c r="C1824" s="5" t="s">
        <v>1191</v>
      </c>
      <c r="D1824" s="5" t="s">
        <v>1191</v>
      </c>
      <c r="E1824" s="6" t="s">
        <v>2060</v>
      </c>
      <c r="F1824" s="6" t="s">
        <v>2061</v>
      </c>
      <c r="G1824" s="6" t="s">
        <v>2136</v>
      </c>
      <c r="H1824" s="5"/>
      <c r="I1824" s="6" t="s">
        <v>2049</v>
      </c>
    </row>
    <row r="1825" customFormat="false" ht="15" hidden="false" customHeight="false" outlineLevel="0" collapsed="false">
      <c r="A1825" s="5" t="s">
        <v>2328</v>
      </c>
      <c r="B1825" s="5" t="s">
        <v>1005</v>
      </c>
      <c r="C1825" s="5" t="s">
        <v>1191</v>
      </c>
      <c r="D1825" s="5" t="s">
        <v>1191</v>
      </c>
      <c r="E1825" s="6" t="s">
        <v>2063</v>
      </c>
      <c r="F1825" s="6" t="s">
        <v>2061</v>
      </c>
      <c r="G1825" s="6" t="s">
        <v>2064</v>
      </c>
      <c r="H1825" s="5"/>
      <c r="I1825" s="6" t="s">
        <v>2049</v>
      </c>
    </row>
    <row r="1826" customFormat="false" ht="15" hidden="false" customHeight="false" outlineLevel="0" collapsed="false">
      <c r="A1826" s="5" t="s">
        <v>2328</v>
      </c>
      <c r="B1826" s="5" t="s">
        <v>1005</v>
      </c>
      <c r="C1826" s="5" t="s">
        <v>1191</v>
      </c>
      <c r="D1826" s="5" t="s">
        <v>1191</v>
      </c>
      <c r="E1826" s="6" t="s">
        <v>2065</v>
      </c>
      <c r="F1826" s="6" t="s">
        <v>2066</v>
      </c>
      <c r="G1826" s="6" t="s">
        <v>1805</v>
      </c>
      <c r="H1826" s="5"/>
      <c r="I1826" s="6" t="s">
        <v>2067</v>
      </c>
    </row>
    <row r="1827" customFormat="false" ht="15" hidden="false" customHeight="false" outlineLevel="0" collapsed="false">
      <c r="A1827" s="5" t="s">
        <v>2328</v>
      </c>
      <c r="B1827" s="5" t="s">
        <v>1005</v>
      </c>
      <c r="C1827" s="5" t="s">
        <v>1191</v>
      </c>
      <c r="D1827" s="5" t="s">
        <v>1191</v>
      </c>
      <c r="E1827" s="6" t="s">
        <v>2068</v>
      </c>
      <c r="F1827" s="6" t="s">
        <v>2069</v>
      </c>
      <c r="G1827" s="6" t="s">
        <v>2070</v>
      </c>
      <c r="H1827" s="5"/>
      <c r="I1827" s="6" t="s">
        <v>2071</v>
      </c>
    </row>
    <row r="1828" customFormat="false" ht="15" hidden="false" customHeight="false" outlineLevel="0" collapsed="false">
      <c r="A1828" s="5" t="s">
        <v>2328</v>
      </c>
      <c r="B1828" s="5" t="s">
        <v>1005</v>
      </c>
      <c r="C1828" s="5" t="s">
        <v>1191</v>
      </c>
      <c r="D1828" s="5" t="s">
        <v>1191</v>
      </c>
      <c r="E1828" s="6" t="s">
        <v>2072</v>
      </c>
      <c r="F1828" s="6" t="s">
        <v>2073</v>
      </c>
      <c r="G1828" s="6" t="s">
        <v>2070</v>
      </c>
      <c r="H1828" s="5"/>
      <c r="I1828" s="6" t="s">
        <v>2071</v>
      </c>
    </row>
    <row r="1829" customFormat="false" ht="15" hidden="false" customHeight="false" outlineLevel="0" collapsed="false">
      <c r="A1829" s="5" t="s">
        <v>2328</v>
      </c>
      <c r="B1829" s="5" t="s">
        <v>1005</v>
      </c>
      <c r="C1829" s="5" t="s">
        <v>1191</v>
      </c>
      <c r="D1829" s="5" t="s">
        <v>1191</v>
      </c>
      <c r="E1829" s="6" t="s">
        <v>2074</v>
      </c>
      <c r="F1829" s="6" t="s">
        <v>2075</v>
      </c>
      <c r="G1829" s="6" t="s">
        <v>2070</v>
      </c>
      <c r="H1829" s="5"/>
      <c r="I1829" s="6" t="s">
        <v>2071</v>
      </c>
    </row>
    <row r="1830" customFormat="false" ht="23.85" hidden="false" customHeight="false" outlineLevel="0" collapsed="false">
      <c r="A1830" s="5" t="s">
        <v>2328</v>
      </c>
      <c r="B1830" s="5" t="s">
        <v>1005</v>
      </c>
      <c r="C1830" s="5" t="s">
        <v>1191</v>
      </c>
      <c r="D1830" s="5" t="s">
        <v>1191</v>
      </c>
      <c r="E1830" s="6" t="s">
        <v>2076</v>
      </c>
      <c r="F1830" s="6" t="s">
        <v>2077</v>
      </c>
      <c r="G1830" s="6" t="s">
        <v>2070</v>
      </c>
      <c r="H1830" s="5"/>
      <c r="I1830" s="6" t="s">
        <v>2071</v>
      </c>
    </row>
    <row r="1831" customFormat="false" ht="15" hidden="false" customHeight="false" outlineLevel="0" collapsed="false">
      <c r="A1831" s="5" t="s">
        <v>2328</v>
      </c>
      <c r="B1831" s="5" t="s">
        <v>1005</v>
      </c>
      <c r="C1831" s="5" t="s">
        <v>1191</v>
      </c>
      <c r="D1831" s="5" t="s">
        <v>1191</v>
      </c>
      <c r="E1831" s="6" t="s">
        <v>2078</v>
      </c>
      <c r="F1831" s="6" t="s">
        <v>2079</v>
      </c>
      <c r="G1831" s="6" t="s">
        <v>2070</v>
      </c>
      <c r="H1831" s="5"/>
      <c r="I1831" s="6" t="s">
        <v>2071</v>
      </c>
    </row>
    <row r="1832" customFormat="false" ht="15" hidden="false" customHeight="false" outlineLevel="0" collapsed="false">
      <c r="A1832" s="5" t="s">
        <v>2328</v>
      </c>
      <c r="B1832" s="5" t="s">
        <v>1005</v>
      </c>
      <c r="C1832" s="5" t="s">
        <v>1191</v>
      </c>
      <c r="D1832" s="5" t="s">
        <v>1191</v>
      </c>
      <c r="E1832" s="6" t="s">
        <v>2080</v>
      </c>
      <c r="F1832" s="6" t="s">
        <v>2081</v>
      </c>
      <c r="G1832" s="6" t="s">
        <v>2070</v>
      </c>
      <c r="H1832" s="5"/>
      <c r="I1832" s="6" t="s">
        <v>2071</v>
      </c>
    </row>
    <row r="1833" customFormat="false" ht="15" hidden="false" customHeight="false" outlineLevel="0" collapsed="false">
      <c r="A1833" s="5" t="s">
        <v>2328</v>
      </c>
      <c r="B1833" s="5" t="s">
        <v>1005</v>
      </c>
      <c r="C1833" s="5" t="s">
        <v>1191</v>
      </c>
      <c r="D1833" s="5" t="s">
        <v>1191</v>
      </c>
      <c r="E1833" s="6" t="s">
        <v>2082</v>
      </c>
      <c r="F1833" s="6" t="s">
        <v>2083</v>
      </c>
      <c r="G1833" s="6" t="s">
        <v>2070</v>
      </c>
      <c r="H1833" s="5"/>
      <c r="I1833" s="6" t="s">
        <v>2071</v>
      </c>
    </row>
    <row r="1834" customFormat="false" ht="15" hidden="false" customHeight="false" outlineLevel="0" collapsed="false">
      <c r="A1834" s="5" t="s">
        <v>2328</v>
      </c>
      <c r="B1834" s="5" t="s">
        <v>1005</v>
      </c>
      <c r="C1834" s="5" t="s">
        <v>1191</v>
      </c>
      <c r="D1834" s="5" t="s">
        <v>1191</v>
      </c>
      <c r="E1834" s="6" t="s">
        <v>2084</v>
      </c>
      <c r="F1834" s="6" t="s">
        <v>2073</v>
      </c>
      <c r="G1834" s="6" t="s">
        <v>2070</v>
      </c>
      <c r="H1834" s="5"/>
      <c r="I1834" s="6" t="s">
        <v>2071</v>
      </c>
    </row>
    <row r="1835" customFormat="false" ht="15" hidden="false" customHeight="false" outlineLevel="0" collapsed="false">
      <c r="A1835" s="5" t="s">
        <v>2328</v>
      </c>
      <c r="B1835" s="5" t="s">
        <v>1005</v>
      </c>
      <c r="C1835" s="5" t="s">
        <v>1191</v>
      </c>
      <c r="D1835" s="5" t="s">
        <v>1191</v>
      </c>
      <c r="E1835" s="6" t="s">
        <v>2085</v>
      </c>
      <c r="F1835" s="6" t="s">
        <v>2086</v>
      </c>
      <c r="G1835" s="6" t="s">
        <v>2070</v>
      </c>
      <c r="H1835" s="5"/>
      <c r="I1835" s="6" t="s">
        <v>2071</v>
      </c>
    </row>
    <row r="1836" customFormat="false" ht="23.85" hidden="false" customHeight="false" outlineLevel="0" collapsed="false">
      <c r="A1836" s="5" t="s">
        <v>2328</v>
      </c>
      <c r="B1836" s="5" t="s">
        <v>1005</v>
      </c>
      <c r="C1836" s="5" t="s">
        <v>1191</v>
      </c>
      <c r="D1836" s="5" t="s">
        <v>1191</v>
      </c>
      <c r="E1836" s="6" t="s">
        <v>2087</v>
      </c>
      <c r="F1836" s="6" t="s">
        <v>2081</v>
      </c>
      <c r="G1836" s="6" t="s">
        <v>2070</v>
      </c>
      <c r="H1836" s="5"/>
      <c r="I1836" s="6" t="s">
        <v>2071</v>
      </c>
    </row>
    <row r="1837" customFormat="false" ht="15" hidden="false" customHeight="false" outlineLevel="0" collapsed="false">
      <c r="A1837" s="5" t="s">
        <v>2328</v>
      </c>
      <c r="B1837" s="5" t="s">
        <v>1005</v>
      </c>
      <c r="C1837" s="5" t="s">
        <v>1191</v>
      </c>
      <c r="D1837" s="5" t="s">
        <v>1191</v>
      </c>
      <c r="E1837" s="6" t="s">
        <v>2088</v>
      </c>
      <c r="F1837" s="6" t="s">
        <v>2081</v>
      </c>
      <c r="G1837" s="6" t="s">
        <v>2070</v>
      </c>
      <c r="H1837" s="5"/>
      <c r="I1837" s="6" t="s">
        <v>2071</v>
      </c>
    </row>
    <row r="1838" customFormat="false" ht="15" hidden="false" customHeight="false" outlineLevel="0" collapsed="false">
      <c r="A1838" s="5" t="s">
        <v>2328</v>
      </c>
      <c r="B1838" s="5" t="s">
        <v>1005</v>
      </c>
      <c r="C1838" s="5" t="s">
        <v>1191</v>
      </c>
      <c r="D1838" s="5" t="s">
        <v>1191</v>
      </c>
      <c r="E1838" s="6" t="s">
        <v>2089</v>
      </c>
      <c r="F1838" s="6" t="s">
        <v>2081</v>
      </c>
      <c r="G1838" s="6" t="s">
        <v>2070</v>
      </c>
      <c r="H1838" s="5"/>
      <c r="I1838" s="6" t="s">
        <v>2071</v>
      </c>
    </row>
    <row r="1839" customFormat="false" ht="15" hidden="false" customHeight="false" outlineLevel="0" collapsed="false">
      <c r="A1839" s="5" t="s">
        <v>2328</v>
      </c>
      <c r="B1839" s="5" t="s">
        <v>1005</v>
      </c>
      <c r="C1839" s="5" t="s">
        <v>1191</v>
      </c>
      <c r="D1839" s="5" t="s">
        <v>1191</v>
      </c>
      <c r="E1839" s="6" t="s">
        <v>2090</v>
      </c>
      <c r="F1839" s="6" t="s">
        <v>2081</v>
      </c>
      <c r="G1839" s="6" t="s">
        <v>2070</v>
      </c>
      <c r="H1839" s="5"/>
      <c r="I1839" s="6" t="s">
        <v>2071</v>
      </c>
    </row>
    <row r="1840" customFormat="false" ht="15" hidden="false" customHeight="false" outlineLevel="0" collapsed="false">
      <c r="A1840" s="5" t="s">
        <v>2328</v>
      </c>
      <c r="B1840" s="5" t="s">
        <v>1005</v>
      </c>
      <c r="C1840" s="5" t="s">
        <v>1191</v>
      </c>
      <c r="D1840" s="5" t="s">
        <v>1191</v>
      </c>
      <c r="E1840" s="6" t="s">
        <v>2091</v>
      </c>
      <c r="F1840" s="6" t="s">
        <v>2083</v>
      </c>
      <c r="G1840" s="6" t="s">
        <v>2070</v>
      </c>
      <c r="H1840" s="5"/>
      <c r="I1840" s="6" t="s">
        <v>2093</v>
      </c>
    </row>
    <row r="1841" customFormat="false" ht="15" hidden="false" customHeight="false" outlineLevel="0" collapsed="false">
      <c r="A1841" s="5" t="s">
        <v>2328</v>
      </c>
      <c r="B1841" s="5" t="s">
        <v>1005</v>
      </c>
      <c r="C1841" s="5" t="s">
        <v>1191</v>
      </c>
      <c r="D1841" s="5" t="s">
        <v>1191</v>
      </c>
      <c r="E1841" s="6" t="s">
        <v>2094</v>
      </c>
      <c r="F1841" s="6" t="s">
        <v>2069</v>
      </c>
      <c r="G1841" s="6" t="s">
        <v>2332</v>
      </c>
      <c r="H1841" s="5"/>
      <c r="I1841" s="6" t="s">
        <v>2093</v>
      </c>
    </row>
    <row r="1842" customFormat="false" ht="15" hidden="false" customHeight="false" outlineLevel="0" collapsed="false">
      <c r="A1842" s="5" t="s">
        <v>2328</v>
      </c>
      <c r="B1842" s="5" t="s">
        <v>1005</v>
      </c>
      <c r="C1842" s="5" t="s">
        <v>1191</v>
      </c>
      <c r="D1842" s="5" t="s">
        <v>1191</v>
      </c>
      <c r="E1842" s="6" t="s">
        <v>2096</v>
      </c>
      <c r="F1842" s="6" t="s">
        <v>2073</v>
      </c>
      <c r="G1842" s="6" t="s">
        <v>2244</v>
      </c>
      <c r="H1842" s="5"/>
      <c r="I1842" s="6" t="s">
        <v>2093</v>
      </c>
    </row>
    <row r="1843" customFormat="false" ht="15" hidden="false" customHeight="false" outlineLevel="0" collapsed="false">
      <c r="A1843" s="5" t="s">
        <v>2328</v>
      </c>
      <c r="B1843" s="5" t="s">
        <v>1005</v>
      </c>
      <c r="C1843" s="5" t="s">
        <v>1191</v>
      </c>
      <c r="D1843" s="5" t="s">
        <v>1191</v>
      </c>
      <c r="E1843" s="6" t="s">
        <v>2098</v>
      </c>
      <c r="F1843" s="6" t="s">
        <v>2075</v>
      </c>
      <c r="G1843" s="6" t="s">
        <v>2070</v>
      </c>
      <c r="H1843" s="5"/>
      <c r="I1843" s="6" t="s">
        <v>2093</v>
      </c>
    </row>
    <row r="1844" customFormat="false" ht="15" hidden="false" customHeight="false" outlineLevel="0" collapsed="false">
      <c r="A1844" s="5" t="s">
        <v>2328</v>
      </c>
      <c r="B1844" s="5" t="s">
        <v>1005</v>
      </c>
      <c r="C1844" s="5" t="s">
        <v>1191</v>
      </c>
      <c r="D1844" s="5" t="s">
        <v>1191</v>
      </c>
      <c r="E1844" s="6" t="s">
        <v>2100</v>
      </c>
      <c r="F1844" s="6" t="s">
        <v>2125</v>
      </c>
      <c r="G1844" s="6" t="s">
        <v>1930</v>
      </c>
      <c r="H1844" s="5"/>
      <c r="I1844" s="6" t="s">
        <v>2103</v>
      </c>
    </row>
    <row r="1845" customFormat="false" ht="23.85" hidden="false" customHeight="false" outlineLevel="0" collapsed="false">
      <c r="A1845" s="5" t="s">
        <v>2328</v>
      </c>
      <c r="B1845" s="5" t="s">
        <v>1005</v>
      </c>
      <c r="C1845" s="5" t="s">
        <v>1191</v>
      </c>
      <c r="D1845" s="5" t="s">
        <v>1191</v>
      </c>
      <c r="E1845" s="6" t="s">
        <v>2104</v>
      </c>
      <c r="F1845" s="6" t="s">
        <v>2127</v>
      </c>
      <c r="G1845" s="6" t="s">
        <v>1930</v>
      </c>
      <c r="H1845" s="5"/>
      <c r="I1845" s="6" t="s">
        <v>2103</v>
      </c>
    </row>
    <row r="1846" customFormat="false" ht="15" hidden="false" customHeight="false" outlineLevel="0" collapsed="false">
      <c r="A1846" s="5" t="s">
        <v>2328</v>
      </c>
      <c r="B1846" s="5" t="s">
        <v>1005</v>
      </c>
      <c r="C1846" s="5" t="s">
        <v>1191</v>
      </c>
      <c r="D1846" s="5" t="s">
        <v>1191</v>
      </c>
      <c r="E1846" s="6" t="s">
        <v>2107</v>
      </c>
      <c r="F1846" s="6" t="s">
        <v>2129</v>
      </c>
      <c r="G1846" s="6" t="s">
        <v>1930</v>
      </c>
      <c r="H1846" s="5"/>
      <c r="I1846" s="6" t="s">
        <v>2103</v>
      </c>
    </row>
    <row r="1847" customFormat="false" ht="15" hidden="false" customHeight="false" outlineLevel="0" collapsed="false">
      <c r="A1847" s="5" t="s">
        <v>2328</v>
      </c>
      <c r="B1847" s="5" t="s">
        <v>1005</v>
      </c>
      <c r="C1847" s="5" t="s">
        <v>1191</v>
      </c>
      <c r="D1847" s="5" t="s">
        <v>1191</v>
      </c>
      <c r="E1847" s="6" t="s">
        <v>2130</v>
      </c>
      <c r="F1847" s="6" t="s">
        <v>2111</v>
      </c>
      <c r="G1847" s="6" t="s">
        <v>2112</v>
      </c>
      <c r="H1847" s="5"/>
      <c r="I1847" s="6" t="s">
        <v>2103</v>
      </c>
    </row>
    <row r="1848" customFormat="false" ht="15" hidden="false" customHeight="false" outlineLevel="0" collapsed="false">
      <c r="A1848" s="5" t="s">
        <v>2328</v>
      </c>
      <c r="B1848" s="5" t="s">
        <v>1005</v>
      </c>
      <c r="C1848" s="5" t="s">
        <v>1191</v>
      </c>
      <c r="D1848" s="5" t="s">
        <v>1191</v>
      </c>
      <c r="E1848" s="6" t="s">
        <v>2131</v>
      </c>
      <c r="F1848" s="6" t="s">
        <v>2111</v>
      </c>
      <c r="G1848" s="6" t="s">
        <v>2112</v>
      </c>
      <c r="H1848" s="5"/>
      <c r="I1848" s="6" t="s">
        <v>2103</v>
      </c>
    </row>
    <row r="1849" customFormat="false" ht="15" hidden="false" customHeight="false" outlineLevel="0" collapsed="false">
      <c r="A1849" s="5" t="s">
        <v>2328</v>
      </c>
      <c r="B1849" s="5" t="s">
        <v>1005</v>
      </c>
      <c r="C1849" s="5" t="s">
        <v>1191</v>
      </c>
      <c r="D1849" s="5" t="s">
        <v>1191</v>
      </c>
      <c r="E1849" s="6" t="s">
        <v>2114</v>
      </c>
      <c r="F1849" s="6" t="s">
        <v>2115</v>
      </c>
      <c r="G1849" s="6" t="s">
        <v>2045</v>
      </c>
      <c r="H1849" s="5"/>
      <c r="I1849" s="6" t="s">
        <v>2116</v>
      </c>
    </row>
    <row r="1850" customFormat="false" ht="15" hidden="false" customHeight="false" outlineLevel="0" collapsed="false">
      <c r="A1850" s="5" t="s">
        <v>2328</v>
      </c>
      <c r="B1850" s="5" t="s">
        <v>1005</v>
      </c>
      <c r="C1850" s="5" t="s">
        <v>1191</v>
      </c>
      <c r="D1850" s="5" t="s">
        <v>1191</v>
      </c>
      <c r="E1850" s="6" t="s">
        <v>2117</v>
      </c>
      <c r="F1850" s="6" t="s">
        <v>2115</v>
      </c>
      <c r="G1850" s="6" t="s">
        <v>2045</v>
      </c>
      <c r="H1850" s="5"/>
      <c r="I1850" s="6" t="s">
        <v>2116</v>
      </c>
    </row>
    <row r="1851" customFormat="false" ht="15" hidden="false" customHeight="false" outlineLevel="0" collapsed="false">
      <c r="A1851" s="5" t="s">
        <v>2328</v>
      </c>
      <c r="B1851" s="5" t="s">
        <v>1005</v>
      </c>
      <c r="C1851" s="5" t="s">
        <v>1191</v>
      </c>
      <c r="D1851" s="5" t="s">
        <v>1191</v>
      </c>
      <c r="E1851" s="6" t="s">
        <v>2118</v>
      </c>
      <c r="F1851" s="6" t="s">
        <v>2115</v>
      </c>
      <c r="G1851" s="6" t="s">
        <v>2045</v>
      </c>
      <c r="H1851" s="5"/>
      <c r="I1851" s="6" t="s">
        <v>2116</v>
      </c>
    </row>
    <row r="1852" customFormat="false" ht="35.05" hidden="false" customHeight="false" outlineLevel="0" collapsed="false">
      <c r="A1852" s="5" t="s">
        <v>2333</v>
      </c>
      <c r="B1852" s="5" t="s">
        <v>1005</v>
      </c>
      <c r="C1852" s="5" t="s">
        <v>1197</v>
      </c>
      <c r="D1852" s="5" t="s">
        <v>1197</v>
      </c>
      <c r="E1852" s="6" t="s">
        <v>2043</v>
      </c>
      <c r="F1852" s="6" t="s">
        <v>2044</v>
      </c>
      <c r="G1852" s="6" t="s">
        <v>2045</v>
      </c>
      <c r="H1852" s="5"/>
      <c r="I1852" s="6" t="s">
        <v>2046</v>
      </c>
    </row>
    <row r="1853" customFormat="false" ht="23.85" hidden="false" customHeight="false" outlineLevel="0" collapsed="false">
      <c r="A1853" s="5" t="s">
        <v>2333</v>
      </c>
      <c r="B1853" s="5" t="s">
        <v>1005</v>
      </c>
      <c r="C1853" s="5" t="s">
        <v>1197</v>
      </c>
      <c r="D1853" s="5" t="s">
        <v>1197</v>
      </c>
      <c r="E1853" s="6" t="s">
        <v>2047</v>
      </c>
      <c r="F1853" s="6" t="s">
        <v>2048</v>
      </c>
      <c r="G1853" s="6" t="s">
        <v>2045</v>
      </c>
      <c r="H1853" s="5"/>
      <c r="I1853" s="6" t="s">
        <v>2049</v>
      </c>
    </row>
    <row r="1854" customFormat="false" ht="15" hidden="false" customHeight="false" outlineLevel="0" collapsed="false">
      <c r="A1854" s="5" t="s">
        <v>2333</v>
      </c>
      <c r="B1854" s="5" t="s">
        <v>1005</v>
      </c>
      <c r="C1854" s="5" t="s">
        <v>1197</v>
      </c>
      <c r="D1854" s="5" t="s">
        <v>1197</v>
      </c>
      <c r="E1854" s="6" t="s">
        <v>2050</v>
      </c>
      <c r="F1854" s="6" t="s">
        <v>2051</v>
      </c>
      <c r="G1854" s="6" t="s">
        <v>2334</v>
      </c>
      <c r="H1854" s="5"/>
      <c r="I1854" s="6" t="s">
        <v>2053</v>
      </c>
    </row>
    <row r="1855" customFormat="false" ht="15" hidden="false" customHeight="false" outlineLevel="0" collapsed="false">
      <c r="A1855" s="5" t="s">
        <v>2333</v>
      </c>
      <c r="B1855" s="5" t="s">
        <v>1005</v>
      </c>
      <c r="C1855" s="5" t="s">
        <v>1197</v>
      </c>
      <c r="D1855" s="5" t="s">
        <v>1197</v>
      </c>
      <c r="E1855" s="6" t="s">
        <v>2054</v>
      </c>
      <c r="F1855" s="6" t="s">
        <v>2055</v>
      </c>
      <c r="G1855" s="6" t="s">
        <v>2045</v>
      </c>
      <c r="H1855" s="5"/>
      <c r="I1855" s="6" t="s">
        <v>2056</v>
      </c>
    </row>
    <row r="1856" customFormat="false" ht="15" hidden="false" customHeight="false" outlineLevel="0" collapsed="false">
      <c r="A1856" s="5" t="s">
        <v>2333</v>
      </c>
      <c r="B1856" s="5" t="s">
        <v>1005</v>
      </c>
      <c r="C1856" s="5" t="s">
        <v>1197</v>
      </c>
      <c r="D1856" s="5" t="s">
        <v>1197</v>
      </c>
      <c r="E1856" s="6" t="s">
        <v>2141</v>
      </c>
      <c r="F1856" s="6" t="s">
        <v>2335</v>
      </c>
      <c r="G1856" s="6" t="s">
        <v>2336</v>
      </c>
      <c r="H1856" s="5"/>
      <c r="I1856" s="6" t="s">
        <v>2049</v>
      </c>
    </row>
    <row r="1857" customFormat="false" ht="15" hidden="false" customHeight="false" outlineLevel="0" collapsed="false">
      <c r="A1857" s="5" t="s">
        <v>2333</v>
      </c>
      <c r="B1857" s="5" t="s">
        <v>1005</v>
      </c>
      <c r="C1857" s="5" t="s">
        <v>1197</v>
      </c>
      <c r="D1857" s="5" t="s">
        <v>1197</v>
      </c>
      <c r="E1857" s="6" t="s">
        <v>2060</v>
      </c>
      <c r="F1857" s="6" t="s">
        <v>2061</v>
      </c>
      <c r="G1857" s="6" t="s">
        <v>2234</v>
      </c>
      <c r="H1857" s="5"/>
      <c r="I1857" s="6" t="s">
        <v>2049</v>
      </c>
    </row>
    <row r="1858" customFormat="false" ht="15" hidden="false" customHeight="false" outlineLevel="0" collapsed="false">
      <c r="A1858" s="5" t="s">
        <v>2333</v>
      </c>
      <c r="B1858" s="5" t="s">
        <v>1005</v>
      </c>
      <c r="C1858" s="5" t="s">
        <v>1197</v>
      </c>
      <c r="D1858" s="5" t="s">
        <v>1197</v>
      </c>
      <c r="E1858" s="6" t="s">
        <v>2063</v>
      </c>
      <c r="F1858" s="6" t="s">
        <v>2061</v>
      </c>
      <c r="G1858" s="6" t="s">
        <v>2151</v>
      </c>
      <c r="H1858" s="5"/>
      <c r="I1858" s="6" t="s">
        <v>2049</v>
      </c>
    </row>
    <row r="1859" customFormat="false" ht="15" hidden="false" customHeight="false" outlineLevel="0" collapsed="false">
      <c r="A1859" s="5" t="s">
        <v>2333</v>
      </c>
      <c r="B1859" s="5" t="s">
        <v>1005</v>
      </c>
      <c r="C1859" s="5" t="s">
        <v>1197</v>
      </c>
      <c r="D1859" s="5" t="s">
        <v>1197</v>
      </c>
      <c r="E1859" s="6" t="s">
        <v>2065</v>
      </c>
      <c r="F1859" s="6" t="s">
        <v>2066</v>
      </c>
      <c r="G1859" s="6" t="s">
        <v>2252</v>
      </c>
      <c r="H1859" s="5"/>
      <c r="I1859" s="6" t="s">
        <v>2067</v>
      </c>
    </row>
    <row r="1860" customFormat="false" ht="15" hidden="false" customHeight="false" outlineLevel="0" collapsed="false">
      <c r="A1860" s="5" t="s">
        <v>2333</v>
      </c>
      <c r="B1860" s="5" t="s">
        <v>1005</v>
      </c>
      <c r="C1860" s="5" t="s">
        <v>1197</v>
      </c>
      <c r="D1860" s="5" t="s">
        <v>1197</v>
      </c>
      <c r="E1860" s="6" t="s">
        <v>2068</v>
      </c>
      <c r="F1860" s="6" t="s">
        <v>2069</v>
      </c>
      <c r="G1860" s="6" t="s">
        <v>2070</v>
      </c>
      <c r="H1860" s="5"/>
      <c r="I1860" s="6" t="s">
        <v>2071</v>
      </c>
    </row>
    <row r="1861" customFormat="false" ht="15" hidden="false" customHeight="false" outlineLevel="0" collapsed="false">
      <c r="A1861" s="5" t="s">
        <v>2333</v>
      </c>
      <c r="B1861" s="5" t="s">
        <v>1005</v>
      </c>
      <c r="C1861" s="5" t="s">
        <v>1197</v>
      </c>
      <c r="D1861" s="5" t="s">
        <v>1197</v>
      </c>
      <c r="E1861" s="6" t="s">
        <v>2072</v>
      </c>
      <c r="F1861" s="6" t="s">
        <v>2073</v>
      </c>
      <c r="G1861" s="6" t="s">
        <v>2070</v>
      </c>
      <c r="H1861" s="5"/>
      <c r="I1861" s="6" t="s">
        <v>2071</v>
      </c>
    </row>
    <row r="1862" customFormat="false" ht="15" hidden="false" customHeight="false" outlineLevel="0" collapsed="false">
      <c r="A1862" s="5" t="s">
        <v>2333</v>
      </c>
      <c r="B1862" s="5" t="s">
        <v>1005</v>
      </c>
      <c r="C1862" s="5" t="s">
        <v>1197</v>
      </c>
      <c r="D1862" s="5" t="s">
        <v>1197</v>
      </c>
      <c r="E1862" s="6" t="s">
        <v>2074</v>
      </c>
      <c r="F1862" s="6" t="s">
        <v>2075</v>
      </c>
      <c r="G1862" s="6" t="s">
        <v>2070</v>
      </c>
      <c r="H1862" s="5"/>
      <c r="I1862" s="6" t="s">
        <v>2071</v>
      </c>
    </row>
    <row r="1863" customFormat="false" ht="23.85" hidden="false" customHeight="false" outlineLevel="0" collapsed="false">
      <c r="A1863" s="5" t="s">
        <v>2333</v>
      </c>
      <c r="B1863" s="5" t="s">
        <v>1005</v>
      </c>
      <c r="C1863" s="5" t="s">
        <v>1197</v>
      </c>
      <c r="D1863" s="5" t="s">
        <v>1197</v>
      </c>
      <c r="E1863" s="6" t="s">
        <v>2076</v>
      </c>
      <c r="F1863" s="6" t="s">
        <v>2077</v>
      </c>
      <c r="G1863" s="6" t="s">
        <v>2070</v>
      </c>
      <c r="H1863" s="5"/>
      <c r="I1863" s="6" t="s">
        <v>2071</v>
      </c>
    </row>
    <row r="1864" customFormat="false" ht="15" hidden="false" customHeight="false" outlineLevel="0" collapsed="false">
      <c r="A1864" s="5" t="s">
        <v>2333</v>
      </c>
      <c r="B1864" s="5" t="s">
        <v>1005</v>
      </c>
      <c r="C1864" s="5" t="s">
        <v>1197</v>
      </c>
      <c r="D1864" s="5" t="s">
        <v>1197</v>
      </c>
      <c r="E1864" s="6" t="s">
        <v>2078</v>
      </c>
      <c r="F1864" s="6" t="s">
        <v>2079</v>
      </c>
      <c r="G1864" s="6" t="s">
        <v>2070</v>
      </c>
      <c r="H1864" s="5"/>
      <c r="I1864" s="6" t="s">
        <v>2071</v>
      </c>
    </row>
    <row r="1865" customFormat="false" ht="15" hidden="false" customHeight="false" outlineLevel="0" collapsed="false">
      <c r="A1865" s="5" t="s">
        <v>2333</v>
      </c>
      <c r="B1865" s="5" t="s">
        <v>1005</v>
      </c>
      <c r="C1865" s="5" t="s">
        <v>1197</v>
      </c>
      <c r="D1865" s="5" t="s">
        <v>1197</v>
      </c>
      <c r="E1865" s="6" t="s">
        <v>2080</v>
      </c>
      <c r="F1865" s="6" t="s">
        <v>2081</v>
      </c>
      <c r="G1865" s="6" t="s">
        <v>2070</v>
      </c>
      <c r="H1865" s="5"/>
      <c r="I1865" s="6" t="s">
        <v>2071</v>
      </c>
    </row>
    <row r="1866" customFormat="false" ht="15" hidden="false" customHeight="false" outlineLevel="0" collapsed="false">
      <c r="A1866" s="5" t="s">
        <v>2333</v>
      </c>
      <c r="B1866" s="5" t="s">
        <v>1005</v>
      </c>
      <c r="C1866" s="5" t="s">
        <v>1197</v>
      </c>
      <c r="D1866" s="5" t="s">
        <v>1197</v>
      </c>
      <c r="E1866" s="6" t="s">
        <v>2082</v>
      </c>
      <c r="F1866" s="6" t="s">
        <v>2083</v>
      </c>
      <c r="G1866" s="6" t="s">
        <v>2070</v>
      </c>
      <c r="H1866" s="5"/>
      <c r="I1866" s="6" t="s">
        <v>2071</v>
      </c>
    </row>
    <row r="1867" customFormat="false" ht="15" hidden="false" customHeight="false" outlineLevel="0" collapsed="false">
      <c r="A1867" s="5" t="s">
        <v>2333</v>
      </c>
      <c r="B1867" s="5" t="s">
        <v>1005</v>
      </c>
      <c r="C1867" s="5" t="s">
        <v>1197</v>
      </c>
      <c r="D1867" s="5" t="s">
        <v>1197</v>
      </c>
      <c r="E1867" s="6" t="s">
        <v>2084</v>
      </c>
      <c r="F1867" s="6" t="s">
        <v>2073</v>
      </c>
      <c r="G1867" s="6" t="s">
        <v>2070</v>
      </c>
      <c r="H1867" s="5"/>
      <c r="I1867" s="6" t="s">
        <v>2071</v>
      </c>
    </row>
    <row r="1868" customFormat="false" ht="15" hidden="false" customHeight="false" outlineLevel="0" collapsed="false">
      <c r="A1868" s="5" t="s">
        <v>2333</v>
      </c>
      <c r="B1868" s="5" t="s">
        <v>1005</v>
      </c>
      <c r="C1868" s="5" t="s">
        <v>1197</v>
      </c>
      <c r="D1868" s="5" t="s">
        <v>1197</v>
      </c>
      <c r="E1868" s="6" t="s">
        <v>2085</v>
      </c>
      <c r="F1868" s="6" t="s">
        <v>2086</v>
      </c>
      <c r="G1868" s="6" t="s">
        <v>2070</v>
      </c>
      <c r="H1868" s="5"/>
      <c r="I1868" s="6" t="s">
        <v>2071</v>
      </c>
    </row>
    <row r="1869" customFormat="false" ht="23.85" hidden="false" customHeight="false" outlineLevel="0" collapsed="false">
      <c r="A1869" s="5" t="s">
        <v>2333</v>
      </c>
      <c r="B1869" s="5" t="s">
        <v>1005</v>
      </c>
      <c r="C1869" s="5" t="s">
        <v>1197</v>
      </c>
      <c r="D1869" s="5" t="s">
        <v>1197</v>
      </c>
      <c r="E1869" s="6" t="s">
        <v>2087</v>
      </c>
      <c r="F1869" s="6" t="s">
        <v>2081</v>
      </c>
      <c r="G1869" s="6" t="s">
        <v>2070</v>
      </c>
      <c r="H1869" s="5"/>
      <c r="I1869" s="6" t="s">
        <v>2071</v>
      </c>
    </row>
    <row r="1870" customFormat="false" ht="15" hidden="false" customHeight="false" outlineLevel="0" collapsed="false">
      <c r="A1870" s="5" t="s">
        <v>2333</v>
      </c>
      <c r="B1870" s="5" t="s">
        <v>1005</v>
      </c>
      <c r="C1870" s="5" t="s">
        <v>1197</v>
      </c>
      <c r="D1870" s="5" t="s">
        <v>1197</v>
      </c>
      <c r="E1870" s="6" t="s">
        <v>2088</v>
      </c>
      <c r="F1870" s="6" t="s">
        <v>2081</v>
      </c>
      <c r="G1870" s="6" t="s">
        <v>2070</v>
      </c>
      <c r="H1870" s="5"/>
      <c r="I1870" s="6" t="s">
        <v>2071</v>
      </c>
    </row>
    <row r="1871" customFormat="false" ht="15" hidden="false" customHeight="false" outlineLevel="0" collapsed="false">
      <c r="A1871" s="5" t="s">
        <v>2333</v>
      </c>
      <c r="B1871" s="5" t="s">
        <v>1005</v>
      </c>
      <c r="C1871" s="5" t="s">
        <v>1197</v>
      </c>
      <c r="D1871" s="5" t="s">
        <v>1197</v>
      </c>
      <c r="E1871" s="6" t="s">
        <v>2089</v>
      </c>
      <c r="F1871" s="6" t="s">
        <v>2081</v>
      </c>
      <c r="G1871" s="6" t="s">
        <v>2070</v>
      </c>
      <c r="H1871" s="5"/>
      <c r="I1871" s="6" t="s">
        <v>2071</v>
      </c>
    </row>
    <row r="1872" customFormat="false" ht="15" hidden="false" customHeight="false" outlineLevel="0" collapsed="false">
      <c r="A1872" s="5" t="s">
        <v>2333</v>
      </c>
      <c r="B1872" s="5" t="s">
        <v>1005</v>
      </c>
      <c r="C1872" s="5" t="s">
        <v>1197</v>
      </c>
      <c r="D1872" s="5" t="s">
        <v>1197</v>
      </c>
      <c r="E1872" s="6" t="s">
        <v>2090</v>
      </c>
      <c r="F1872" s="6" t="s">
        <v>2081</v>
      </c>
      <c r="G1872" s="6" t="s">
        <v>2070</v>
      </c>
      <c r="H1872" s="5"/>
      <c r="I1872" s="6" t="s">
        <v>2071</v>
      </c>
    </row>
    <row r="1873" customFormat="false" ht="15" hidden="false" customHeight="false" outlineLevel="0" collapsed="false">
      <c r="A1873" s="5" t="s">
        <v>2333</v>
      </c>
      <c r="B1873" s="5" t="s">
        <v>1005</v>
      </c>
      <c r="C1873" s="5" t="s">
        <v>1197</v>
      </c>
      <c r="D1873" s="5" t="s">
        <v>1197</v>
      </c>
      <c r="E1873" s="6" t="s">
        <v>2091</v>
      </c>
      <c r="F1873" s="6" t="s">
        <v>2083</v>
      </c>
      <c r="G1873" s="6" t="s">
        <v>2070</v>
      </c>
      <c r="H1873" s="5"/>
      <c r="I1873" s="6" t="s">
        <v>2093</v>
      </c>
    </row>
    <row r="1874" customFormat="false" ht="15" hidden="false" customHeight="false" outlineLevel="0" collapsed="false">
      <c r="A1874" s="5" t="s">
        <v>2333</v>
      </c>
      <c r="B1874" s="5" t="s">
        <v>1005</v>
      </c>
      <c r="C1874" s="5" t="s">
        <v>1197</v>
      </c>
      <c r="D1874" s="5" t="s">
        <v>1197</v>
      </c>
      <c r="E1874" s="6" t="s">
        <v>2094</v>
      </c>
      <c r="F1874" s="6" t="s">
        <v>2069</v>
      </c>
      <c r="G1874" s="6" t="s">
        <v>2312</v>
      </c>
      <c r="H1874" s="5"/>
      <c r="I1874" s="6" t="s">
        <v>2093</v>
      </c>
    </row>
    <row r="1875" customFormat="false" ht="15" hidden="false" customHeight="false" outlineLevel="0" collapsed="false">
      <c r="A1875" s="5" t="s">
        <v>2333</v>
      </c>
      <c r="B1875" s="5" t="s">
        <v>1005</v>
      </c>
      <c r="C1875" s="5" t="s">
        <v>1197</v>
      </c>
      <c r="D1875" s="5" t="s">
        <v>1197</v>
      </c>
      <c r="E1875" s="6" t="s">
        <v>2096</v>
      </c>
      <c r="F1875" s="6" t="s">
        <v>2073</v>
      </c>
      <c r="G1875" s="6" t="s">
        <v>2178</v>
      </c>
      <c r="H1875" s="5"/>
      <c r="I1875" s="6" t="s">
        <v>2093</v>
      </c>
    </row>
    <row r="1876" customFormat="false" ht="15" hidden="false" customHeight="false" outlineLevel="0" collapsed="false">
      <c r="A1876" s="5" t="s">
        <v>2333</v>
      </c>
      <c r="B1876" s="5" t="s">
        <v>1005</v>
      </c>
      <c r="C1876" s="5" t="s">
        <v>1197</v>
      </c>
      <c r="D1876" s="5" t="s">
        <v>1197</v>
      </c>
      <c r="E1876" s="6" t="s">
        <v>2098</v>
      </c>
      <c r="F1876" s="6" t="s">
        <v>2075</v>
      </c>
      <c r="G1876" s="6" t="s">
        <v>2070</v>
      </c>
      <c r="H1876" s="5"/>
      <c r="I1876" s="6" t="s">
        <v>2093</v>
      </c>
    </row>
    <row r="1877" customFormat="false" ht="15" hidden="false" customHeight="false" outlineLevel="0" collapsed="false">
      <c r="A1877" s="5" t="s">
        <v>2333</v>
      </c>
      <c r="B1877" s="5" t="s">
        <v>1005</v>
      </c>
      <c r="C1877" s="5" t="s">
        <v>1197</v>
      </c>
      <c r="D1877" s="5" t="s">
        <v>1197</v>
      </c>
      <c r="E1877" s="6" t="s">
        <v>2100</v>
      </c>
      <c r="F1877" s="6" t="s">
        <v>2125</v>
      </c>
      <c r="G1877" s="6" t="s">
        <v>2337</v>
      </c>
      <c r="H1877" s="5"/>
      <c r="I1877" s="6" t="s">
        <v>2103</v>
      </c>
    </row>
    <row r="1878" customFormat="false" ht="23.85" hidden="false" customHeight="false" outlineLevel="0" collapsed="false">
      <c r="A1878" s="5" t="s">
        <v>2333</v>
      </c>
      <c r="B1878" s="5" t="s">
        <v>1005</v>
      </c>
      <c r="C1878" s="5" t="s">
        <v>1197</v>
      </c>
      <c r="D1878" s="5" t="s">
        <v>1197</v>
      </c>
      <c r="E1878" s="6" t="s">
        <v>2104</v>
      </c>
      <c r="F1878" s="6" t="s">
        <v>2127</v>
      </c>
      <c r="G1878" s="6" t="s">
        <v>2199</v>
      </c>
      <c r="H1878" s="5"/>
      <c r="I1878" s="6" t="s">
        <v>2103</v>
      </c>
    </row>
    <row r="1879" customFormat="false" ht="15" hidden="false" customHeight="false" outlineLevel="0" collapsed="false">
      <c r="A1879" s="5" t="s">
        <v>2333</v>
      </c>
      <c r="B1879" s="5" t="s">
        <v>1005</v>
      </c>
      <c r="C1879" s="5" t="s">
        <v>1197</v>
      </c>
      <c r="D1879" s="5" t="s">
        <v>1197</v>
      </c>
      <c r="E1879" s="6" t="s">
        <v>2107</v>
      </c>
      <c r="F1879" s="6" t="s">
        <v>2129</v>
      </c>
      <c r="G1879" s="6" t="s">
        <v>2338</v>
      </c>
      <c r="H1879" s="5"/>
      <c r="I1879" s="6" t="s">
        <v>2103</v>
      </c>
    </row>
    <row r="1880" customFormat="false" ht="15" hidden="false" customHeight="false" outlineLevel="0" collapsed="false">
      <c r="A1880" s="5" t="s">
        <v>2333</v>
      </c>
      <c r="B1880" s="5" t="s">
        <v>1005</v>
      </c>
      <c r="C1880" s="5" t="s">
        <v>1197</v>
      </c>
      <c r="D1880" s="5" t="s">
        <v>1197</v>
      </c>
      <c r="E1880" s="6" t="s">
        <v>2130</v>
      </c>
      <c r="F1880" s="6" t="s">
        <v>2111</v>
      </c>
      <c r="G1880" s="6" t="s">
        <v>2112</v>
      </c>
      <c r="H1880" s="5"/>
      <c r="I1880" s="6" t="s">
        <v>2103</v>
      </c>
    </row>
    <row r="1881" customFormat="false" ht="15" hidden="false" customHeight="false" outlineLevel="0" collapsed="false">
      <c r="A1881" s="5" t="s">
        <v>2333</v>
      </c>
      <c r="B1881" s="5" t="s">
        <v>1005</v>
      </c>
      <c r="C1881" s="5" t="s">
        <v>1197</v>
      </c>
      <c r="D1881" s="5" t="s">
        <v>1197</v>
      </c>
      <c r="E1881" s="6" t="s">
        <v>2131</v>
      </c>
      <c r="F1881" s="6" t="s">
        <v>2111</v>
      </c>
      <c r="G1881" s="6" t="s">
        <v>2112</v>
      </c>
      <c r="H1881" s="5"/>
      <c r="I1881" s="6" t="s">
        <v>2103</v>
      </c>
    </row>
    <row r="1882" customFormat="false" ht="15" hidden="false" customHeight="false" outlineLevel="0" collapsed="false">
      <c r="A1882" s="5" t="s">
        <v>2333</v>
      </c>
      <c r="B1882" s="5" t="s">
        <v>1005</v>
      </c>
      <c r="C1882" s="5" t="s">
        <v>1197</v>
      </c>
      <c r="D1882" s="5" t="s">
        <v>1197</v>
      </c>
      <c r="E1882" s="6" t="s">
        <v>2114</v>
      </c>
      <c r="F1882" s="6" t="s">
        <v>2115</v>
      </c>
      <c r="G1882" s="6" t="s">
        <v>2045</v>
      </c>
      <c r="H1882" s="5"/>
      <c r="I1882" s="6" t="s">
        <v>2116</v>
      </c>
    </row>
    <row r="1883" customFormat="false" ht="15" hidden="false" customHeight="false" outlineLevel="0" collapsed="false">
      <c r="A1883" s="5" t="s">
        <v>2333</v>
      </c>
      <c r="B1883" s="5" t="s">
        <v>1005</v>
      </c>
      <c r="C1883" s="5" t="s">
        <v>1197</v>
      </c>
      <c r="D1883" s="5" t="s">
        <v>1197</v>
      </c>
      <c r="E1883" s="6" t="s">
        <v>2117</v>
      </c>
      <c r="F1883" s="6" t="s">
        <v>2115</v>
      </c>
      <c r="G1883" s="6" t="s">
        <v>2045</v>
      </c>
      <c r="H1883" s="5"/>
      <c r="I1883" s="6" t="s">
        <v>2116</v>
      </c>
    </row>
    <row r="1884" customFormat="false" ht="15" hidden="false" customHeight="false" outlineLevel="0" collapsed="false">
      <c r="A1884" s="5" t="s">
        <v>2333</v>
      </c>
      <c r="B1884" s="5" t="s">
        <v>1005</v>
      </c>
      <c r="C1884" s="5" t="s">
        <v>1197</v>
      </c>
      <c r="D1884" s="5" t="s">
        <v>1197</v>
      </c>
      <c r="E1884" s="6" t="s">
        <v>2118</v>
      </c>
      <c r="F1884" s="6" t="s">
        <v>2115</v>
      </c>
      <c r="G1884" s="6" t="s">
        <v>2045</v>
      </c>
      <c r="H1884" s="5"/>
      <c r="I1884" s="6" t="s">
        <v>2116</v>
      </c>
    </row>
    <row r="1885" customFormat="false" ht="46.25" hidden="false" customHeight="false" outlineLevel="0" collapsed="false">
      <c r="A1885" s="5" t="s">
        <v>2339</v>
      </c>
      <c r="B1885" s="5" t="s">
        <v>1203</v>
      </c>
      <c r="C1885" s="5"/>
      <c r="D1885" s="5" t="s">
        <v>1207</v>
      </c>
      <c r="E1885" s="6" t="s">
        <v>2340</v>
      </c>
      <c r="F1885" s="6" t="s">
        <v>2341</v>
      </c>
      <c r="G1885" s="6" t="s">
        <v>2342</v>
      </c>
      <c r="H1885" s="5"/>
      <c r="I1885" s="6" t="s">
        <v>2343</v>
      </c>
    </row>
    <row r="1886" customFormat="false" ht="46.25" hidden="false" customHeight="false" outlineLevel="0" collapsed="false">
      <c r="A1886" s="5" t="s">
        <v>2339</v>
      </c>
      <c r="B1886" s="5" t="s">
        <v>1203</v>
      </c>
      <c r="C1886" s="5"/>
      <c r="D1886" s="5" t="s">
        <v>1207</v>
      </c>
      <c r="E1886" s="6" t="s">
        <v>2344</v>
      </c>
      <c r="F1886" s="6" t="s">
        <v>1555</v>
      </c>
      <c r="G1886" s="6" t="s">
        <v>2345</v>
      </c>
      <c r="H1886" s="5"/>
      <c r="I1886" s="6" t="s">
        <v>2343</v>
      </c>
    </row>
    <row r="1887" customFormat="false" ht="46.25" hidden="false" customHeight="false" outlineLevel="0" collapsed="false">
      <c r="A1887" s="5" t="s">
        <v>2339</v>
      </c>
      <c r="B1887" s="5" t="s">
        <v>1203</v>
      </c>
      <c r="C1887" s="5"/>
      <c r="D1887" s="5" t="s">
        <v>1207</v>
      </c>
      <c r="E1887" s="6" t="s">
        <v>2346</v>
      </c>
      <c r="F1887" s="6" t="s">
        <v>1555</v>
      </c>
      <c r="G1887" s="6" t="s">
        <v>1618</v>
      </c>
      <c r="H1887" s="5"/>
      <c r="I1887" s="6" t="s">
        <v>2343</v>
      </c>
    </row>
    <row r="1888" customFormat="false" ht="46.25" hidden="false" customHeight="false" outlineLevel="0" collapsed="false">
      <c r="A1888" s="5" t="s">
        <v>2339</v>
      </c>
      <c r="B1888" s="5" t="s">
        <v>1203</v>
      </c>
      <c r="C1888" s="5"/>
      <c r="D1888" s="5" t="s">
        <v>1207</v>
      </c>
      <c r="E1888" s="6" t="s">
        <v>2347</v>
      </c>
      <c r="F1888" s="6" t="s">
        <v>2348</v>
      </c>
      <c r="G1888" s="6" t="s">
        <v>1613</v>
      </c>
      <c r="H1888" s="5"/>
      <c r="I1888" s="6" t="s">
        <v>2343</v>
      </c>
    </row>
    <row r="1889" customFormat="false" ht="46.25" hidden="false" customHeight="false" outlineLevel="0" collapsed="false">
      <c r="A1889" s="5" t="s">
        <v>2339</v>
      </c>
      <c r="B1889" s="5" t="s">
        <v>1203</v>
      </c>
      <c r="C1889" s="5"/>
      <c r="D1889" s="5" t="s">
        <v>1207</v>
      </c>
      <c r="E1889" s="6" t="s">
        <v>2349</v>
      </c>
      <c r="F1889" s="6" t="s">
        <v>1555</v>
      </c>
      <c r="G1889" s="6" t="s">
        <v>2350</v>
      </c>
      <c r="H1889" s="5"/>
      <c r="I1889" s="6" t="s">
        <v>2343</v>
      </c>
    </row>
    <row r="1890" customFormat="false" ht="46.25" hidden="false" customHeight="false" outlineLevel="0" collapsed="false">
      <c r="A1890" s="5" t="s">
        <v>2339</v>
      </c>
      <c r="B1890" s="5" t="s">
        <v>1203</v>
      </c>
      <c r="C1890" s="5"/>
      <c r="D1890" s="5" t="s">
        <v>1207</v>
      </c>
      <c r="E1890" s="6" t="s">
        <v>2351</v>
      </c>
      <c r="F1890" s="6" t="s">
        <v>1555</v>
      </c>
      <c r="G1890" s="6" t="s">
        <v>2352</v>
      </c>
      <c r="H1890" s="5"/>
      <c r="I1890" s="6" t="s">
        <v>2343</v>
      </c>
    </row>
    <row r="1891" customFormat="false" ht="46.25" hidden="false" customHeight="false" outlineLevel="0" collapsed="false">
      <c r="A1891" s="5" t="s">
        <v>2339</v>
      </c>
      <c r="B1891" s="5" t="s">
        <v>1203</v>
      </c>
      <c r="C1891" s="5"/>
      <c r="D1891" s="5" t="s">
        <v>1207</v>
      </c>
      <c r="E1891" s="6" t="s">
        <v>2353</v>
      </c>
      <c r="F1891" s="6" t="s">
        <v>1555</v>
      </c>
      <c r="G1891" s="6" t="s">
        <v>2354</v>
      </c>
      <c r="H1891" s="5"/>
      <c r="I1891" s="6" t="s">
        <v>2343</v>
      </c>
    </row>
    <row r="1892" customFormat="false" ht="46.25" hidden="false" customHeight="false" outlineLevel="0" collapsed="false">
      <c r="A1892" s="5" t="s">
        <v>2339</v>
      </c>
      <c r="B1892" s="5" t="s">
        <v>1203</v>
      </c>
      <c r="C1892" s="5"/>
      <c r="D1892" s="5" t="s">
        <v>1207</v>
      </c>
      <c r="E1892" s="6" t="s">
        <v>2355</v>
      </c>
      <c r="F1892" s="6" t="s">
        <v>1555</v>
      </c>
      <c r="G1892" s="6" t="s">
        <v>2356</v>
      </c>
      <c r="H1892" s="5"/>
      <c r="I1892" s="6" t="s">
        <v>2343</v>
      </c>
    </row>
    <row r="1893" customFormat="false" ht="46.25" hidden="false" customHeight="false" outlineLevel="0" collapsed="false">
      <c r="A1893" s="5" t="s">
        <v>2357</v>
      </c>
      <c r="B1893" s="5" t="s">
        <v>1203</v>
      </c>
      <c r="C1893" s="5" t="s">
        <v>1213</v>
      </c>
      <c r="D1893" s="5" t="s">
        <v>1215</v>
      </c>
      <c r="E1893" s="6" t="s">
        <v>2340</v>
      </c>
      <c r="F1893" s="6" t="s">
        <v>2341</v>
      </c>
      <c r="G1893" s="6" t="s">
        <v>2358</v>
      </c>
      <c r="H1893" s="5"/>
      <c r="I1893" s="6" t="s">
        <v>2343</v>
      </c>
    </row>
    <row r="1894" customFormat="false" ht="46.25" hidden="false" customHeight="false" outlineLevel="0" collapsed="false">
      <c r="A1894" s="5" t="s">
        <v>2357</v>
      </c>
      <c r="B1894" s="5" t="s">
        <v>1203</v>
      </c>
      <c r="C1894" s="5" t="s">
        <v>1213</v>
      </c>
      <c r="D1894" s="5" t="s">
        <v>1215</v>
      </c>
      <c r="E1894" s="6" t="s">
        <v>2344</v>
      </c>
      <c r="F1894" s="6" t="s">
        <v>1555</v>
      </c>
      <c r="G1894" s="6" t="s">
        <v>2359</v>
      </c>
      <c r="H1894" s="5"/>
      <c r="I1894" s="6" t="s">
        <v>2343</v>
      </c>
    </row>
    <row r="1895" customFormat="false" ht="46.25" hidden="false" customHeight="false" outlineLevel="0" collapsed="false">
      <c r="A1895" s="5" t="s">
        <v>2357</v>
      </c>
      <c r="B1895" s="5" t="s">
        <v>1203</v>
      </c>
      <c r="C1895" s="5" t="s">
        <v>1213</v>
      </c>
      <c r="D1895" s="5" t="s">
        <v>1215</v>
      </c>
      <c r="E1895" s="6" t="s">
        <v>2346</v>
      </c>
      <c r="F1895" s="6" t="s">
        <v>1555</v>
      </c>
      <c r="G1895" s="6" t="s">
        <v>1618</v>
      </c>
      <c r="H1895" s="5"/>
      <c r="I1895" s="6" t="s">
        <v>2343</v>
      </c>
    </row>
    <row r="1896" customFormat="false" ht="46.25" hidden="false" customHeight="false" outlineLevel="0" collapsed="false">
      <c r="A1896" s="5" t="s">
        <v>2357</v>
      </c>
      <c r="B1896" s="5" t="s">
        <v>1203</v>
      </c>
      <c r="C1896" s="5" t="s">
        <v>1213</v>
      </c>
      <c r="D1896" s="5" t="s">
        <v>1215</v>
      </c>
      <c r="E1896" s="6" t="s">
        <v>2347</v>
      </c>
      <c r="F1896" s="6" t="s">
        <v>2348</v>
      </c>
      <c r="G1896" s="6" t="s">
        <v>1613</v>
      </c>
      <c r="H1896" s="5"/>
      <c r="I1896" s="6" t="s">
        <v>2343</v>
      </c>
    </row>
    <row r="1897" customFormat="false" ht="46.25" hidden="false" customHeight="false" outlineLevel="0" collapsed="false">
      <c r="A1897" s="5" t="s">
        <v>2357</v>
      </c>
      <c r="B1897" s="5" t="s">
        <v>1203</v>
      </c>
      <c r="C1897" s="5" t="s">
        <v>1213</v>
      </c>
      <c r="D1897" s="5" t="s">
        <v>1215</v>
      </c>
      <c r="E1897" s="6" t="s">
        <v>2349</v>
      </c>
      <c r="F1897" s="6" t="s">
        <v>1555</v>
      </c>
      <c r="G1897" s="6" t="s">
        <v>2360</v>
      </c>
      <c r="H1897" s="5"/>
      <c r="I1897" s="6" t="s">
        <v>2343</v>
      </c>
    </row>
    <row r="1898" customFormat="false" ht="46.25" hidden="false" customHeight="false" outlineLevel="0" collapsed="false">
      <c r="A1898" s="5" t="s">
        <v>2357</v>
      </c>
      <c r="B1898" s="5" t="s">
        <v>1203</v>
      </c>
      <c r="C1898" s="5" t="s">
        <v>1213</v>
      </c>
      <c r="D1898" s="5" t="s">
        <v>1215</v>
      </c>
      <c r="E1898" s="6" t="s">
        <v>2351</v>
      </c>
      <c r="F1898" s="6" t="s">
        <v>1555</v>
      </c>
      <c r="G1898" s="6" t="s">
        <v>2361</v>
      </c>
      <c r="H1898" s="5"/>
      <c r="I1898" s="6" t="s">
        <v>2343</v>
      </c>
    </row>
    <row r="1899" customFormat="false" ht="46.25" hidden="false" customHeight="false" outlineLevel="0" collapsed="false">
      <c r="A1899" s="5" t="s">
        <v>2357</v>
      </c>
      <c r="B1899" s="5" t="s">
        <v>1203</v>
      </c>
      <c r="C1899" s="5" t="s">
        <v>1213</v>
      </c>
      <c r="D1899" s="5" t="s">
        <v>1215</v>
      </c>
      <c r="E1899" s="6" t="s">
        <v>2353</v>
      </c>
      <c r="F1899" s="6" t="s">
        <v>1555</v>
      </c>
      <c r="G1899" s="6" t="s">
        <v>2362</v>
      </c>
      <c r="H1899" s="5"/>
      <c r="I1899" s="6" t="s">
        <v>2343</v>
      </c>
    </row>
    <row r="1900" customFormat="false" ht="46.25" hidden="false" customHeight="false" outlineLevel="0" collapsed="false">
      <c r="A1900" s="5" t="s">
        <v>2357</v>
      </c>
      <c r="B1900" s="5" t="s">
        <v>1203</v>
      </c>
      <c r="C1900" s="5" t="s">
        <v>1213</v>
      </c>
      <c r="D1900" s="5" t="s">
        <v>1215</v>
      </c>
      <c r="E1900" s="6" t="s">
        <v>2355</v>
      </c>
      <c r="F1900" s="6" t="s">
        <v>1555</v>
      </c>
      <c r="G1900" s="6" t="s">
        <v>2363</v>
      </c>
      <c r="H1900" s="5"/>
      <c r="I1900" s="6" t="s">
        <v>2343</v>
      </c>
    </row>
    <row r="1901" customFormat="false" ht="46.25" hidden="false" customHeight="false" outlineLevel="0" collapsed="false">
      <c r="A1901" s="5" t="s">
        <v>2364</v>
      </c>
      <c r="B1901" s="5" t="s">
        <v>1203</v>
      </c>
      <c r="C1901" s="5" t="s">
        <v>1220</v>
      </c>
      <c r="D1901" s="5" t="s">
        <v>1221</v>
      </c>
      <c r="E1901" s="6" t="s">
        <v>2340</v>
      </c>
      <c r="F1901" s="6" t="s">
        <v>2341</v>
      </c>
      <c r="G1901" s="6" t="s">
        <v>2365</v>
      </c>
      <c r="H1901" s="5"/>
      <c r="I1901" s="6" t="s">
        <v>2343</v>
      </c>
    </row>
    <row r="1902" customFormat="false" ht="46.25" hidden="false" customHeight="false" outlineLevel="0" collapsed="false">
      <c r="A1902" s="5" t="s">
        <v>2364</v>
      </c>
      <c r="B1902" s="5" t="s">
        <v>1203</v>
      </c>
      <c r="C1902" s="5" t="s">
        <v>1220</v>
      </c>
      <c r="D1902" s="5" t="s">
        <v>1221</v>
      </c>
      <c r="E1902" s="6" t="s">
        <v>2344</v>
      </c>
      <c r="F1902" s="6" t="s">
        <v>1555</v>
      </c>
      <c r="G1902" s="6" t="s">
        <v>2359</v>
      </c>
      <c r="H1902" s="5"/>
      <c r="I1902" s="6" t="s">
        <v>2343</v>
      </c>
    </row>
    <row r="1903" customFormat="false" ht="46.25" hidden="false" customHeight="false" outlineLevel="0" collapsed="false">
      <c r="A1903" s="5" t="s">
        <v>2364</v>
      </c>
      <c r="B1903" s="5" t="s">
        <v>1203</v>
      </c>
      <c r="C1903" s="5" t="s">
        <v>1220</v>
      </c>
      <c r="D1903" s="5" t="s">
        <v>1221</v>
      </c>
      <c r="E1903" s="6" t="s">
        <v>2346</v>
      </c>
      <c r="F1903" s="6" t="s">
        <v>1555</v>
      </c>
      <c r="G1903" s="6" t="s">
        <v>1618</v>
      </c>
      <c r="H1903" s="5"/>
      <c r="I1903" s="6" t="s">
        <v>2343</v>
      </c>
    </row>
    <row r="1904" customFormat="false" ht="46.25" hidden="false" customHeight="false" outlineLevel="0" collapsed="false">
      <c r="A1904" s="5" t="s">
        <v>2364</v>
      </c>
      <c r="B1904" s="5" t="s">
        <v>1203</v>
      </c>
      <c r="C1904" s="5" t="s">
        <v>1220</v>
      </c>
      <c r="D1904" s="5" t="s">
        <v>1221</v>
      </c>
      <c r="E1904" s="6" t="s">
        <v>2347</v>
      </c>
      <c r="F1904" s="6" t="s">
        <v>2348</v>
      </c>
      <c r="G1904" s="6" t="s">
        <v>1613</v>
      </c>
      <c r="H1904" s="5"/>
      <c r="I1904" s="6" t="s">
        <v>2343</v>
      </c>
    </row>
    <row r="1905" customFormat="false" ht="46.25" hidden="false" customHeight="false" outlineLevel="0" collapsed="false">
      <c r="A1905" s="5" t="s">
        <v>2364</v>
      </c>
      <c r="B1905" s="5" t="s">
        <v>1203</v>
      </c>
      <c r="C1905" s="5" t="s">
        <v>1220</v>
      </c>
      <c r="D1905" s="5" t="s">
        <v>1221</v>
      </c>
      <c r="E1905" s="6" t="s">
        <v>2349</v>
      </c>
      <c r="F1905" s="6" t="s">
        <v>1555</v>
      </c>
      <c r="G1905" s="6" t="s">
        <v>1681</v>
      </c>
      <c r="H1905" s="5"/>
      <c r="I1905" s="6" t="s">
        <v>2343</v>
      </c>
    </row>
    <row r="1906" customFormat="false" ht="46.25" hidden="false" customHeight="false" outlineLevel="0" collapsed="false">
      <c r="A1906" s="5" t="s">
        <v>2364</v>
      </c>
      <c r="B1906" s="5" t="s">
        <v>1203</v>
      </c>
      <c r="C1906" s="5" t="s">
        <v>1220</v>
      </c>
      <c r="D1906" s="5" t="s">
        <v>1221</v>
      </c>
      <c r="E1906" s="6" t="s">
        <v>2351</v>
      </c>
      <c r="F1906" s="6" t="s">
        <v>1555</v>
      </c>
      <c r="G1906" s="6" t="s">
        <v>2366</v>
      </c>
      <c r="H1906" s="5"/>
      <c r="I1906" s="6" t="s">
        <v>2343</v>
      </c>
    </row>
    <row r="1907" customFormat="false" ht="46.25" hidden="false" customHeight="false" outlineLevel="0" collapsed="false">
      <c r="A1907" s="5" t="s">
        <v>2364</v>
      </c>
      <c r="B1907" s="5" t="s">
        <v>1203</v>
      </c>
      <c r="C1907" s="5" t="s">
        <v>1220</v>
      </c>
      <c r="D1907" s="5" t="s">
        <v>1221</v>
      </c>
      <c r="E1907" s="6" t="s">
        <v>2353</v>
      </c>
      <c r="F1907" s="6" t="s">
        <v>1555</v>
      </c>
      <c r="G1907" s="6" t="s">
        <v>2362</v>
      </c>
      <c r="H1907" s="5"/>
      <c r="I1907" s="6" t="s">
        <v>2343</v>
      </c>
    </row>
    <row r="1908" customFormat="false" ht="46.25" hidden="false" customHeight="false" outlineLevel="0" collapsed="false">
      <c r="A1908" s="5" t="s">
        <v>2364</v>
      </c>
      <c r="B1908" s="5" t="s">
        <v>1203</v>
      </c>
      <c r="C1908" s="5" t="s">
        <v>1220</v>
      </c>
      <c r="D1908" s="5" t="s">
        <v>1221</v>
      </c>
      <c r="E1908" s="6" t="s">
        <v>2355</v>
      </c>
      <c r="F1908" s="6" t="s">
        <v>1555</v>
      </c>
      <c r="G1908" s="6" t="s">
        <v>2367</v>
      </c>
      <c r="H1908" s="5"/>
      <c r="I1908" s="6" t="s">
        <v>2343</v>
      </c>
    </row>
    <row r="1909" customFormat="false" ht="46.25" hidden="false" customHeight="false" outlineLevel="0" collapsed="false">
      <c r="A1909" s="5" t="s">
        <v>2368</v>
      </c>
      <c r="B1909" s="5" t="s">
        <v>1203</v>
      </c>
      <c r="C1909" s="5" t="s">
        <v>1224</v>
      </c>
      <c r="D1909" s="5" t="s">
        <v>1225</v>
      </c>
      <c r="E1909" s="6" t="s">
        <v>2340</v>
      </c>
      <c r="F1909" s="6" t="s">
        <v>2341</v>
      </c>
      <c r="G1909" s="6" t="s">
        <v>2369</v>
      </c>
      <c r="H1909" s="5"/>
      <c r="I1909" s="6" t="s">
        <v>2343</v>
      </c>
    </row>
    <row r="1910" customFormat="false" ht="46.25" hidden="false" customHeight="false" outlineLevel="0" collapsed="false">
      <c r="A1910" s="5" t="s">
        <v>2368</v>
      </c>
      <c r="B1910" s="5" t="s">
        <v>1203</v>
      </c>
      <c r="C1910" s="5" t="s">
        <v>1224</v>
      </c>
      <c r="D1910" s="5" t="s">
        <v>1225</v>
      </c>
      <c r="E1910" s="6" t="s">
        <v>2344</v>
      </c>
      <c r="F1910" s="6" t="s">
        <v>1555</v>
      </c>
      <c r="G1910" s="6" t="s">
        <v>2370</v>
      </c>
      <c r="H1910" s="5"/>
      <c r="I1910" s="6" t="s">
        <v>2343</v>
      </c>
    </row>
    <row r="1911" customFormat="false" ht="46.25" hidden="false" customHeight="false" outlineLevel="0" collapsed="false">
      <c r="A1911" s="5" t="s">
        <v>2368</v>
      </c>
      <c r="B1911" s="5" t="s">
        <v>1203</v>
      </c>
      <c r="C1911" s="5" t="s">
        <v>1224</v>
      </c>
      <c r="D1911" s="5" t="s">
        <v>1225</v>
      </c>
      <c r="E1911" s="6" t="s">
        <v>2346</v>
      </c>
      <c r="F1911" s="6" t="s">
        <v>1555</v>
      </c>
      <c r="G1911" s="6" t="s">
        <v>2064</v>
      </c>
      <c r="H1911" s="5"/>
      <c r="I1911" s="6" t="s">
        <v>2343</v>
      </c>
    </row>
    <row r="1912" customFormat="false" ht="46.25" hidden="false" customHeight="false" outlineLevel="0" collapsed="false">
      <c r="A1912" s="5" t="s">
        <v>2368</v>
      </c>
      <c r="B1912" s="5" t="s">
        <v>1203</v>
      </c>
      <c r="C1912" s="5" t="s">
        <v>1224</v>
      </c>
      <c r="D1912" s="5" t="s">
        <v>1225</v>
      </c>
      <c r="E1912" s="6" t="s">
        <v>2347</v>
      </c>
      <c r="F1912" s="6" t="s">
        <v>2348</v>
      </c>
      <c r="G1912" s="6" t="s">
        <v>1613</v>
      </c>
      <c r="H1912" s="5"/>
      <c r="I1912" s="6" t="s">
        <v>2343</v>
      </c>
    </row>
    <row r="1913" customFormat="false" ht="46.25" hidden="false" customHeight="false" outlineLevel="0" collapsed="false">
      <c r="A1913" s="5" t="s">
        <v>2368</v>
      </c>
      <c r="B1913" s="5" t="s">
        <v>1203</v>
      </c>
      <c r="C1913" s="5" t="s">
        <v>1224</v>
      </c>
      <c r="D1913" s="5" t="s">
        <v>1225</v>
      </c>
      <c r="E1913" s="6" t="s">
        <v>2349</v>
      </c>
      <c r="F1913" s="6" t="s">
        <v>1555</v>
      </c>
      <c r="G1913" s="6" t="s">
        <v>2371</v>
      </c>
      <c r="H1913" s="5"/>
      <c r="I1913" s="6" t="s">
        <v>2343</v>
      </c>
    </row>
    <row r="1914" customFormat="false" ht="46.25" hidden="false" customHeight="false" outlineLevel="0" collapsed="false">
      <c r="A1914" s="5" t="s">
        <v>2368</v>
      </c>
      <c r="B1914" s="5" t="s">
        <v>1203</v>
      </c>
      <c r="C1914" s="5" t="s">
        <v>1224</v>
      </c>
      <c r="D1914" s="5" t="s">
        <v>1225</v>
      </c>
      <c r="E1914" s="6" t="s">
        <v>2351</v>
      </c>
      <c r="F1914" s="6" t="s">
        <v>1555</v>
      </c>
      <c r="G1914" s="6" t="s">
        <v>2372</v>
      </c>
      <c r="H1914" s="5"/>
      <c r="I1914" s="6" t="s">
        <v>2343</v>
      </c>
    </row>
    <row r="1915" customFormat="false" ht="46.25" hidden="false" customHeight="false" outlineLevel="0" collapsed="false">
      <c r="A1915" s="5" t="s">
        <v>2368</v>
      </c>
      <c r="B1915" s="5" t="s">
        <v>1203</v>
      </c>
      <c r="C1915" s="5" t="s">
        <v>1224</v>
      </c>
      <c r="D1915" s="5" t="s">
        <v>1225</v>
      </c>
      <c r="E1915" s="6" t="s">
        <v>2353</v>
      </c>
      <c r="F1915" s="6" t="s">
        <v>1555</v>
      </c>
      <c r="G1915" s="6" t="s">
        <v>2359</v>
      </c>
      <c r="H1915" s="5"/>
      <c r="I1915" s="6" t="s">
        <v>2343</v>
      </c>
    </row>
    <row r="1916" customFormat="false" ht="46.25" hidden="false" customHeight="false" outlineLevel="0" collapsed="false">
      <c r="A1916" s="5" t="s">
        <v>2368</v>
      </c>
      <c r="B1916" s="5" t="s">
        <v>1203</v>
      </c>
      <c r="C1916" s="5" t="s">
        <v>1224</v>
      </c>
      <c r="D1916" s="5" t="s">
        <v>1225</v>
      </c>
      <c r="E1916" s="6" t="s">
        <v>2355</v>
      </c>
      <c r="F1916" s="6" t="s">
        <v>1555</v>
      </c>
      <c r="G1916" s="6" t="s">
        <v>2373</v>
      </c>
      <c r="H1916" s="5"/>
      <c r="I1916" s="6" t="s">
        <v>2343</v>
      </c>
    </row>
    <row r="1917" customFormat="false" ht="46.25" hidden="false" customHeight="false" outlineLevel="0" collapsed="false">
      <c r="A1917" s="5" t="s">
        <v>2374</v>
      </c>
      <c r="B1917" s="5" t="s">
        <v>1203</v>
      </c>
      <c r="C1917" s="5" t="s">
        <v>1229</v>
      </c>
      <c r="D1917" s="5" t="s">
        <v>1232</v>
      </c>
      <c r="E1917" s="6" t="s">
        <v>2340</v>
      </c>
      <c r="F1917" s="6" t="s">
        <v>2341</v>
      </c>
      <c r="G1917" s="6" t="s">
        <v>2375</v>
      </c>
      <c r="H1917" s="5"/>
      <c r="I1917" s="6" t="s">
        <v>2343</v>
      </c>
    </row>
    <row r="1918" customFormat="false" ht="46.25" hidden="false" customHeight="false" outlineLevel="0" collapsed="false">
      <c r="A1918" s="5" t="s">
        <v>2374</v>
      </c>
      <c r="B1918" s="5" t="s">
        <v>1203</v>
      </c>
      <c r="C1918" s="5" t="s">
        <v>1229</v>
      </c>
      <c r="D1918" s="5" t="s">
        <v>1232</v>
      </c>
      <c r="E1918" s="6" t="s">
        <v>2344</v>
      </c>
      <c r="F1918" s="6" t="s">
        <v>1555</v>
      </c>
      <c r="G1918" s="6" t="s">
        <v>2359</v>
      </c>
      <c r="H1918" s="5"/>
      <c r="I1918" s="6" t="s">
        <v>2343</v>
      </c>
    </row>
    <row r="1919" customFormat="false" ht="46.25" hidden="false" customHeight="false" outlineLevel="0" collapsed="false">
      <c r="A1919" s="5" t="s">
        <v>2374</v>
      </c>
      <c r="B1919" s="5" t="s">
        <v>1203</v>
      </c>
      <c r="C1919" s="5" t="s">
        <v>1229</v>
      </c>
      <c r="D1919" s="5" t="s">
        <v>1232</v>
      </c>
      <c r="E1919" s="6" t="s">
        <v>2346</v>
      </c>
      <c r="F1919" s="6" t="s">
        <v>1555</v>
      </c>
      <c r="G1919" s="6" t="s">
        <v>1618</v>
      </c>
      <c r="H1919" s="5"/>
      <c r="I1919" s="6" t="s">
        <v>2343</v>
      </c>
    </row>
    <row r="1920" customFormat="false" ht="46.25" hidden="false" customHeight="false" outlineLevel="0" collapsed="false">
      <c r="A1920" s="5" t="s">
        <v>2374</v>
      </c>
      <c r="B1920" s="5" t="s">
        <v>1203</v>
      </c>
      <c r="C1920" s="5" t="s">
        <v>1229</v>
      </c>
      <c r="D1920" s="5" t="s">
        <v>1232</v>
      </c>
      <c r="E1920" s="6" t="s">
        <v>2347</v>
      </c>
      <c r="F1920" s="6" t="s">
        <v>2348</v>
      </c>
      <c r="G1920" s="6" t="s">
        <v>1618</v>
      </c>
      <c r="H1920" s="5"/>
      <c r="I1920" s="6" t="s">
        <v>2343</v>
      </c>
    </row>
    <row r="1921" customFormat="false" ht="46.25" hidden="false" customHeight="false" outlineLevel="0" collapsed="false">
      <c r="A1921" s="5" t="s">
        <v>2374</v>
      </c>
      <c r="B1921" s="5" t="s">
        <v>1203</v>
      </c>
      <c r="C1921" s="5" t="s">
        <v>1229</v>
      </c>
      <c r="D1921" s="5" t="s">
        <v>1232</v>
      </c>
      <c r="E1921" s="6" t="s">
        <v>2349</v>
      </c>
      <c r="F1921" s="6" t="s">
        <v>1555</v>
      </c>
      <c r="G1921" s="6" t="s">
        <v>2376</v>
      </c>
      <c r="H1921" s="5"/>
      <c r="I1921" s="6" t="s">
        <v>2343</v>
      </c>
    </row>
    <row r="1922" customFormat="false" ht="46.25" hidden="false" customHeight="false" outlineLevel="0" collapsed="false">
      <c r="A1922" s="5" t="s">
        <v>2374</v>
      </c>
      <c r="B1922" s="5" t="s">
        <v>1203</v>
      </c>
      <c r="C1922" s="5" t="s">
        <v>1229</v>
      </c>
      <c r="D1922" s="5" t="s">
        <v>1232</v>
      </c>
      <c r="E1922" s="6" t="s">
        <v>2351</v>
      </c>
      <c r="F1922" s="6" t="s">
        <v>1555</v>
      </c>
      <c r="G1922" s="6" t="s">
        <v>2377</v>
      </c>
      <c r="H1922" s="5"/>
      <c r="I1922" s="6" t="s">
        <v>2343</v>
      </c>
    </row>
    <row r="1923" customFormat="false" ht="46.25" hidden="false" customHeight="false" outlineLevel="0" collapsed="false">
      <c r="A1923" s="5" t="s">
        <v>2374</v>
      </c>
      <c r="B1923" s="5" t="s">
        <v>1203</v>
      </c>
      <c r="C1923" s="5" t="s">
        <v>1229</v>
      </c>
      <c r="D1923" s="5" t="s">
        <v>1232</v>
      </c>
      <c r="E1923" s="6" t="s">
        <v>2353</v>
      </c>
      <c r="F1923" s="6" t="s">
        <v>1555</v>
      </c>
      <c r="G1923" s="6" t="s">
        <v>2359</v>
      </c>
      <c r="H1923" s="5"/>
      <c r="I1923" s="6" t="s">
        <v>2343</v>
      </c>
    </row>
    <row r="1924" customFormat="false" ht="46.25" hidden="false" customHeight="false" outlineLevel="0" collapsed="false">
      <c r="A1924" s="5" t="s">
        <v>2374</v>
      </c>
      <c r="B1924" s="5" t="s">
        <v>1203</v>
      </c>
      <c r="C1924" s="5" t="s">
        <v>1229</v>
      </c>
      <c r="D1924" s="5" t="s">
        <v>1232</v>
      </c>
      <c r="E1924" s="6" t="s">
        <v>2355</v>
      </c>
      <c r="F1924" s="6" t="s">
        <v>1555</v>
      </c>
      <c r="G1924" s="6" t="s">
        <v>2378</v>
      </c>
      <c r="H1924" s="5"/>
      <c r="I1924" s="6" t="s">
        <v>2343</v>
      </c>
    </row>
    <row r="1925" customFormat="false" ht="46.25" hidden="false" customHeight="false" outlineLevel="0" collapsed="false">
      <c r="A1925" s="5" t="s">
        <v>2379</v>
      </c>
      <c r="B1925" s="5" t="s">
        <v>1203</v>
      </c>
      <c r="C1925" s="5" t="s">
        <v>1235</v>
      </c>
      <c r="D1925" s="5" t="s">
        <v>1236</v>
      </c>
      <c r="E1925" s="6" t="s">
        <v>2340</v>
      </c>
      <c r="F1925" s="6" t="s">
        <v>2341</v>
      </c>
      <c r="G1925" s="6" t="s">
        <v>2380</v>
      </c>
      <c r="H1925" s="5"/>
      <c r="I1925" s="6" t="s">
        <v>2343</v>
      </c>
    </row>
    <row r="1926" customFormat="false" ht="46.25" hidden="false" customHeight="false" outlineLevel="0" collapsed="false">
      <c r="A1926" s="5" t="s">
        <v>2379</v>
      </c>
      <c r="B1926" s="5" t="s">
        <v>1203</v>
      </c>
      <c r="C1926" s="5" t="s">
        <v>1235</v>
      </c>
      <c r="D1926" s="5" t="s">
        <v>1236</v>
      </c>
      <c r="E1926" s="6" t="s">
        <v>2344</v>
      </c>
      <c r="F1926" s="6" t="s">
        <v>1555</v>
      </c>
      <c r="G1926" s="6" t="s">
        <v>2381</v>
      </c>
      <c r="H1926" s="5"/>
      <c r="I1926" s="6" t="s">
        <v>2343</v>
      </c>
    </row>
    <row r="1927" customFormat="false" ht="46.25" hidden="false" customHeight="false" outlineLevel="0" collapsed="false">
      <c r="A1927" s="5" t="s">
        <v>2379</v>
      </c>
      <c r="B1927" s="5" t="s">
        <v>1203</v>
      </c>
      <c r="C1927" s="5" t="s">
        <v>1235</v>
      </c>
      <c r="D1927" s="5" t="s">
        <v>1236</v>
      </c>
      <c r="E1927" s="6" t="s">
        <v>2346</v>
      </c>
      <c r="F1927" s="6" t="s">
        <v>1555</v>
      </c>
      <c r="G1927" s="6" t="s">
        <v>1618</v>
      </c>
      <c r="H1927" s="5"/>
      <c r="I1927" s="6" t="s">
        <v>2343</v>
      </c>
    </row>
    <row r="1928" customFormat="false" ht="46.25" hidden="false" customHeight="false" outlineLevel="0" collapsed="false">
      <c r="A1928" s="5" t="s">
        <v>2379</v>
      </c>
      <c r="B1928" s="5" t="s">
        <v>1203</v>
      </c>
      <c r="C1928" s="5" t="s">
        <v>1235</v>
      </c>
      <c r="D1928" s="5" t="s">
        <v>1236</v>
      </c>
      <c r="E1928" s="6" t="s">
        <v>2347</v>
      </c>
      <c r="F1928" s="6" t="s">
        <v>2348</v>
      </c>
      <c r="G1928" s="6" t="s">
        <v>1618</v>
      </c>
      <c r="H1928" s="5"/>
      <c r="I1928" s="6" t="s">
        <v>2343</v>
      </c>
    </row>
    <row r="1929" customFormat="false" ht="46.25" hidden="false" customHeight="false" outlineLevel="0" collapsed="false">
      <c r="A1929" s="5" t="s">
        <v>2379</v>
      </c>
      <c r="B1929" s="5" t="s">
        <v>1203</v>
      </c>
      <c r="C1929" s="5" t="s">
        <v>1235</v>
      </c>
      <c r="D1929" s="5" t="s">
        <v>1236</v>
      </c>
      <c r="E1929" s="6" t="s">
        <v>2349</v>
      </c>
      <c r="F1929" s="6" t="s">
        <v>1555</v>
      </c>
      <c r="G1929" s="6" t="s">
        <v>2382</v>
      </c>
      <c r="H1929" s="5"/>
      <c r="I1929" s="6" t="s">
        <v>2343</v>
      </c>
    </row>
    <row r="1930" customFormat="false" ht="46.25" hidden="false" customHeight="false" outlineLevel="0" collapsed="false">
      <c r="A1930" s="5" t="s">
        <v>2379</v>
      </c>
      <c r="B1930" s="5" t="s">
        <v>1203</v>
      </c>
      <c r="C1930" s="5" t="s">
        <v>1235</v>
      </c>
      <c r="D1930" s="5" t="s">
        <v>1236</v>
      </c>
      <c r="E1930" s="6" t="s">
        <v>2351</v>
      </c>
      <c r="F1930" s="6" t="s">
        <v>1555</v>
      </c>
      <c r="G1930" s="6" t="s">
        <v>2383</v>
      </c>
      <c r="H1930" s="5"/>
      <c r="I1930" s="6" t="s">
        <v>2343</v>
      </c>
    </row>
    <row r="1931" customFormat="false" ht="46.25" hidden="false" customHeight="false" outlineLevel="0" collapsed="false">
      <c r="A1931" s="5" t="s">
        <v>2379</v>
      </c>
      <c r="B1931" s="5" t="s">
        <v>1203</v>
      </c>
      <c r="C1931" s="5" t="s">
        <v>1235</v>
      </c>
      <c r="D1931" s="5" t="s">
        <v>1236</v>
      </c>
      <c r="E1931" s="6" t="s">
        <v>2353</v>
      </c>
      <c r="F1931" s="6" t="s">
        <v>1555</v>
      </c>
      <c r="G1931" s="6" t="s">
        <v>2370</v>
      </c>
      <c r="H1931" s="5"/>
      <c r="I1931" s="6" t="s">
        <v>2343</v>
      </c>
    </row>
    <row r="1932" customFormat="false" ht="46.25" hidden="false" customHeight="false" outlineLevel="0" collapsed="false">
      <c r="A1932" s="5" t="s">
        <v>2379</v>
      </c>
      <c r="B1932" s="5" t="s">
        <v>1203</v>
      </c>
      <c r="C1932" s="5" t="s">
        <v>1235</v>
      </c>
      <c r="D1932" s="5" t="s">
        <v>1236</v>
      </c>
      <c r="E1932" s="6" t="s">
        <v>2355</v>
      </c>
      <c r="F1932" s="6" t="s">
        <v>1555</v>
      </c>
      <c r="G1932" s="6" t="s">
        <v>2384</v>
      </c>
      <c r="H1932" s="5"/>
      <c r="I1932" s="6" t="s">
        <v>2343</v>
      </c>
    </row>
    <row r="1933" customFormat="false" ht="46.25" hidden="false" customHeight="false" outlineLevel="0" collapsed="false">
      <c r="A1933" s="5" t="s">
        <v>2385</v>
      </c>
      <c r="B1933" s="5" t="s">
        <v>1203</v>
      </c>
      <c r="C1933" s="5" t="s">
        <v>1239</v>
      </c>
      <c r="D1933" s="5" t="s">
        <v>1240</v>
      </c>
      <c r="E1933" s="6" t="s">
        <v>2340</v>
      </c>
      <c r="F1933" s="6" t="s">
        <v>2341</v>
      </c>
      <c r="G1933" s="6" t="s">
        <v>2386</v>
      </c>
      <c r="H1933" s="5"/>
      <c r="I1933" s="6" t="s">
        <v>2343</v>
      </c>
    </row>
    <row r="1934" customFormat="false" ht="46.25" hidden="false" customHeight="false" outlineLevel="0" collapsed="false">
      <c r="A1934" s="5" t="s">
        <v>2385</v>
      </c>
      <c r="B1934" s="5" t="s">
        <v>1203</v>
      </c>
      <c r="C1934" s="5" t="s">
        <v>1239</v>
      </c>
      <c r="D1934" s="5" t="s">
        <v>1240</v>
      </c>
      <c r="E1934" s="6" t="s">
        <v>2344</v>
      </c>
      <c r="F1934" s="6" t="s">
        <v>1555</v>
      </c>
      <c r="G1934" s="6" t="s">
        <v>2359</v>
      </c>
      <c r="H1934" s="5"/>
      <c r="I1934" s="6" t="s">
        <v>2343</v>
      </c>
    </row>
    <row r="1935" customFormat="false" ht="46.25" hidden="false" customHeight="false" outlineLevel="0" collapsed="false">
      <c r="A1935" s="5" t="s">
        <v>2385</v>
      </c>
      <c r="B1935" s="5" t="s">
        <v>1203</v>
      </c>
      <c r="C1935" s="5" t="s">
        <v>1239</v>
      </c>
      <c r="D1935" s="5" t="s">
        <v>1240</v>
      </c>
      <c r="E1935" s="6" t="s">
        <v>2346</v>
      </c>
      <c r="F1935" s="6" t="s">
        <v>1555</v>
      </c>
      <c r="G1935" s="6" t="s">
        <v>1618</v>
      </c>
      <c r="H1935" s="5"/>
      <c r="I1935" s="6" t="s">
        <v>2343</v>
      </c>
    </row>
    <row r="1936" customFormat="false" ht="46.25" hidden="false" customHeight="false" outlineLevel="0" collapsed="false">
      <c r="A1936" s="5" t="s">
        <v>2385</v>
      </c>
      <c r="B1936" s="5" t="s">
        <v>1203</v>
      </c>
      <c r="C1936" s="5" t="s">
        <v>1239</v>
      </c>
      <c r="D1936" s="5" t="s">
        <v>1240</v>
      </c>
      <c r="E1936" s="6" t="s">
        <v>2347</v>
      </c>
      <c r="F1936" s="6" t="s">
        <v>2348</v>
      </c>
      <c r="G1936" s="6" t="s">
        <v>1635</v>
      </c>
      <c r="H1936" s="5"/>
      <c r="I1936" s="6" t="s">
        <v>2343</v>
      </c>
    </row>
    <row r="1937" customFormat="false" ht="46.25" hidden="false" customHeight="false" outlineLevel="0" collapsed="false">
      <c r="A1937" s="5" t="s">
        <v>2385</v>
      </c>
      <c r="B1937" s="5" t="s">
        <v>1203</v>
      </c>
      <c r="C1937" s="5" t="s">
        <v>1239</v>
      </c>
      <c r="D1937" s="5" t="s">
        <v>1240</v>
      </c>
      <c r="E1937" s="6" t="s">
        <v>2349</v>
      </c>
      <c r="F1937" s="6" t="s">
        <v>1555</v>
      </c>
      <c r="G1937" s="6" t="s">
        <v>2387</v>
      </c>
      <c r="H1937" s="5"/>
      <c r="I1937" s="6" t="s">
        <v>2343</v>
      </c>
    </row>
    <row r="1938" customFormat="false" ht="46.25" hidden="false" customHeight="false" outlineLevel="0" collapsed="false">
      <c r="A1938" s="5" t="s">
        <v>2385</v>
      </c>
      <c r="B1938" s="5" t="s">
        <v>1203</v>
      </c>
      <c r="C1938" s="5" t="s">
        <v>1239</v>
      </c>
      <c r="D1938" s="5" t="s">
        <v>1240</v>
      </c>
      <c r="E1938" s="6" t="s">
        <v>2351</v>
      </c>
      <c r="F1938" s="6" t="s">
        <v>1555</v>
      </c>
      <c r="G1938" s="6" t="s">
        <v>2388</v>
      </c>
      <c r="H1938" s="5"/>
      <c r="I1938" s="6" t="s">
        <v>2343</v>
      </c>
    </row>
    <row r="1939" customFormat="false" ht="46.25" hidden="false" customHeight="false" outlineLevel="0" collapsed="false">
      <c r="A1939" s="5" t="s">
        <v>2385</v>
      </c>
      <c r="B1939" s="5" t="s">
        <v>1203</v>
      </c>
      <c r="C1939" s="5" t="s">
        <v>1239</v>
      </c>
      <c r="D1939" s="5" t="s">
        <v>1240</v>
      </c>
      <c r="E1939" s="6" t="s">
        <v>2353</v>
      </c>
      <c r="F1939" s="6" t="s">
        <v>1555</v>
      </c>
      <c r="G1939" s="6" t="s">
        <v>2362</v>
      </c>
      <c r="H1939" s="5"/>
      <c r="I1939" s="6" t="s">
        <v>2343</v>
      </c>
    </row>
    <row r="1940" customFormat="false" ht="46.25" hidden="false" customHeight="false" outlineLevel="0" collapsed="false">
      <c r="A1940" s="5" t="s">
        <v>2385</v>
      </c>
      <c r="B1940" s="5" t="s">
        <v>1203</v>
      </c>
      <c r="C1940" s="5" t="s">
        <v>1239</v>
      </c>
      <c r="D1940" s="5" t="s">
        <v>1240</v>
      </c>
      <c r="E1940" s="6" t="s">
        <v>2355</v>
      </c>
      <c r="F1940" s="6" t="s">
        <v>1555</v>
      </c>
      <c r="G1940" s="6" t="s">
        <v>2389</v>
      </c>
      <c r="H1940" s="5"/>
      <c r="I1940" s="6" t="s">
        <v>2343</v>
      </c>
    </row>
    <row r="1941" customFormat="false" ht="46.25" hidden="false" customHeight="false" outlineLevel="0" collapsed="false">
      <c r="A1941" s="5" t="s">
        <v>2390</v>
      </c>
      <c r="B1941" s="5" t="s">
        <v>1203</v>
      </c>
      <c r="C1941" s="5" t="s">
        <v>1243</v>
      </c>
      <c r="D1941" s="5" t="s">
        <v>1244</v>
      </c>
      <c r="E1941" s="6" t="s">
        <v>2340</v>
      </c>
      <c r="F1941" s="6" t="s">
        <v>2341</v>
      </c>
      <c r="G1941" s="6" t="s">
        <v>2391</v>
      </c>
      <c r="H1941" s="5"/>
      <c r="I1941" s="6" t="s">
        <v>2343</v>
      </c>
    </row>
    <row r="1942" customFormat="false" ht="46.25" hidden="false" customHeight="false" outlineLevel="0" collapsed="false">
      <c r="A1942" s="5" t="s">
        <v>2390</v>
      </c>
      <c r="B1942" s="5" t="s">
        <v>1203</v>
      </c>
      <c r="C1942" s="5" t="s">
        <v>1243</v>
      </c>
      <c r="D1942" s="5" t="s">
        <v>1244</v>
      </c>
      <c r="E1942" s="6" t="s">
        <v>2344</v>
      </c>
      <c r="F1942" s="6" t="s">
        <v>1555</v>
      </c>
      <c r="G1942" s="6" t="s">
        <v>2370</v>
      </c>
      <c r="H1942" s="5"/>
      <c r="I1942" s="6" t="s">
        <v>2343</v>
      </c>
    </row>
    <row r="1943" customFormat="false" ht="46.25" hidden="false" customHeight="false" outlineLevel="0" collapsed="false">
      <c r="A1943" s="5" t="s">
        <v>2390</v>
      </c>
      <c r="B1943" s="5" t="s">
        <v>1203</v>
      </c>
      <c r="C1943" s="5" t="s">
        <v>1243</v>
      </c>
      <c r="D1943" s="5" t="s">
        <v>1244</v>
      </c>
      <c r="E1943" s="6" t="s">
        <v>2346</v>
      </c>
      <c r="F1943" s="6" t="s">
        <v>1555</v>
      </c>
      <c r="G1943" s="6" t="s">
        <v>1618</v>
      </c>
      <c r="H1943" s="5"/>
      <c r="I1943" s="6" t="s">
        <v>2343</v>
      </c>
    </row>
    <row r="1944" customFormat="false" ht="46.25" hidden="false" customHeight="false" outlineLevel="0" collapsed="false">
      <c r="A1944" s="5" t="s">
        <v>2390</v>
      </c>
      <c r="B1944" s="5" t="s">
        <v>1203</v>
      </c>
      <c r="C1944" s="5" t="s">
        <v>1243</v>
      </c>
      <c r="D1944" s="5" t="s">
        <v>1244</v>
      </c>
      <c r="E1944" s="6" t="s">
        <v>2347</v>
      </c>
      <c r="F1944" s="6" t="s">
        <v>2348</v>
      </c>
      <c r="G1944" s="6" t="s">
        <v>2392</v>
      </c>
      <c r="H1944" s="5"/>
      <c r="I1944" s="6" t="s">
        <v>2343</v>
      </c>
    </row>
    <row r="1945" customFormat="false" ht="46.25" hidden="false" customHeight="false" outlineLevel="0" collapsed="false">
      <c r="A1945" s="5" t="s">
        <v>2390</v>
      </c>
      <c r="B1945" s="5" t="s">
        <v>1203</v>
      </c>
      <c r="C1945" s="5" t="s">
        <v>1243</v>
      </c>
      <c r="D1945" s="5" t="s">
        <v>1244</v>
      </c>
      <c r="E1945" s="6" t="s">
        <v>2349</v>
      </c>
      <c r="F1945" s="6" t="s">
        <v>1555</v>
      </c>
      <c r="G1945" s="6" t="s">
        <v>1681</v>
      </c>
      <c r="H1945" s="5"/>
      <c r="I1945" s="6" t="s">
        <v>2343</v>
      </c>
    </row>
    <row r="1946" customFormat="false" ht="46.25" hidden="false" customHeight="false" outlineLevel="0" collapsed="false">
      <c r="A1946" s="5" t="s">
        <v>2390</v>
      </c>
      <c r="B1946" s="5" t="s">
        <v>1203</v>
      </c>
      <c r="C1946" s="5" t="s">
        <v>1243</v>
      </c>
      <c r="D1946" s="5" t="s">
        <v>1244</v>
      </c>
      <c r="E1946" s="6" t="s">
        <v>2351</v>
      </c>
      <c r="F1946" s="6" t="s">
        <v>1555</v>
      </c>
      <c r="G1946" s="6" t="s">
        <v>2393</v>
      </c>
      <c r="H1946" s="5"/>
      <c r="I1946" s="6" t="s">
        <v>2343</v>
      </c>
    </row>
    <row r="1947" customFormat="false" ht="46.25" hidden="false" customHeight="false" outlineLevel="0" collapsed="false">
      <c r="A1947" s="5" t="s">
        <v>2390</v>
      </c>
      <c r="B1947" s="5" t="s">
        <v>1203</v>
      </c>
      <c r="C1947" s="5" t="s">
        <v>1243</v>
      </c>
      <c r="D1947" s="5" t="s">
        <v>1244</v>
      </c>
      <c r="E1947" s="6" t="s">
        <v>2353</v>
      </c>
      <c r="F1947" s="6" t="s">
        <v>1555</v>
      </c>
      <c r="G1947" s="6" t="s">
        <v>2359</v>
      </c>
      <c r="H1947" s="5"/>
      <c r="I1947" s="6" t="s">
        <v>2343</v>
      </c>
    </row>
    <row r="1948" customFormat="false" ht="46.25" hidden="false" customHeight="false" outlineLevel="0" collapsed="false">
      <c r="A1948" s="5" t="s">
        <v>2390</v>
      </c>
      <c r="B1948" s="5" t="s">
        <v>1203</v>
      </c>
      <c r="C1948" s="5" t="s">
        <v>1243</v>
      </c>
      <c r="D1948" s="5" t="s">
        <v>1244</v>
      </c>
      <c r="E1948" s="6" t="s">
        <v>2355</v>
      </c>
      <c r="F1948" s="6" t="s">
        <v>1555</v>
      </c>
      <c r="G1948" s="6" t="s">
        <v>1713</v>
      </c>
      <c r="H1948" s="5"/>
      <c r="I1948" s="6" t="s">
        <v>2343</v>
      </c>
    </row>
    <row r="1949" customFormat="false" ht="46.25" hidden="false" customHeight="false" outlineLevel="0" collapsed="false">
      <c r="A1949" s="5" t="s">
        <v>2394</v>
      </c>
      <c r="B1949" s="5" t="s">
        <v>1203</v>
      </c>
      <c r="C1949" s="5" t="s">
        <v>1248</v>
      </c>
      <c r="D1949" s="5" t="s">
        <v>1249</v>
      </c>
      <c r="E1949" s="6" t="s">
        <v>2340</v>
      </c>
      <c r="F1949" s="6" t="s">
        <v>2341</v>
      </c>
      <c r="G1949" s="6" t="s">
        <v>2395</v>
      </c>
      <c r="H1949" s="5"/>
      <c r="I1949" s="6" t="s">
        <v>2343</v>
      </c>
    </row>
    <row r="1950" customFormat="false" ht="46.25" hidden="false" customHeight="false" outlineLevel="0" collapsed="false">
      <c r="A1950" s="5" t="s">
        <v>2394</v>
      </c>
      <c r="B1950" s="5" t="s">
        <v>1203</v>
      </c>
      <c r="C1950" s="5" t="s">
        <v>1248</v>
      </c>
      <c r="D1950" s="5" t="s">
        <v>1249</v>
      </c>
      <c r="E1950" s="6" t="s">
        <v>2344</v>
      </c>
      <c r="F1950" s="6" t="s">
        <v>1555</v>
      </c>
      <c r="G1950" s="6" t="s">
        <v>2370</v>
      </c>
      <c r="H1950" s="5"/>
      <c r="I1950" s="6" t="s">
        <v>2343</v>
      </c>
    </row>
    <row r="1951" customFormat="false" ht="46.25" hidden="false" customHeight="false" outlineLevel="0" collapsed="false">
      <c r="A1951" s="5" t="s">
        <v>2394</v>
      </c>
      <c r="B1951" s="5" t="s">
        <v>1203</v>
      </c>
      <c r="C1951" s="5" t="s">
        <v>1248</v>
      </c>
      <c r="D1951" s="5" t="s">
        <v>1249</v>
      </c>
      <c r="E1951" s="6" t="s">
        <v>2346</v>
      </c>
      <c r="F1951" s="6" t="s">
        <v>1555</v>
      </c>
      <c r="G1951" s="6" t="s">
        <v>2064</v>
      </c>
      <c r="H1951" s="5"/>
      <c r="I1951" s="6" t="s">
        <v>2343</v>
      </c>
    </row>
    <row r="1952" customFormat="false" ht="46.25" hidden="false" customHeight="false" outlineLevel="0" collapsed="false">
      <c r="A1952" s="5" t="s">
        <v>2394</v>
      </c>
      <c r="B1952" s="5" t="s">
        <v>1203</v>
      </c>
      <c r="C1952" s="5" t="s">
        <v>1248</v>
      </c>
      <c r="D1952" s="5" t="s">
        <v>1249</v>
      </c>
      <c r="E1952" s="6" t="s">
        <v>2347</v>
      </c>
      <c r="F1952" s="6" t="s">
        <v>2348</v>
      </c>
      <c r="G1952" s="6" t="s">
        <v>1635</v>
      </c>
      <c r="H1952" s="5"/>
      <c r="I1952" s="6" t="s">
        <v>2343</v>
      </c>
    </row>
    <row r="1953" customFormat="false" ht="46.25" hidden="false" customHeight="false" outlineLevel="0" collapsed="false">
      <c r="A1953" s="5" t="s">
        <v>2394</v>
      </c>
      <c r="B1953" s="5" t="s">
        <v>1203</v>
      </c>
      <c r="C1953" s="5" t="s">
        <v>1248</v>
      </c>
      <c r="D1953" s="5" t="s">
        <v>1249</v>
      </c>
      <c r="E1953" s="6" t="s">
        <v>2349</v>
      </c>
      <c r="F1953" s="6" t="s">
        <v>1555</v>
      </c>
      <c r="G1953" s="6" t="s">
        <v>2396</v>
      </c>
      <c r="H1953" s="5"/>
      <c r="I1953" s="6" t="s">
        <v>2343</v>
      </c>
    </row>
    <row r="1954" customFormat="false" ht="46.25" hidden="false" customHeight="false" outlineLevel="0" collapsed="false">
      <c r="A1954" s="5" t="s">
        <v>2394</v>
      </c>
      <c r="B1954" s="5" t="s">
        <v>1203</v>
      </c>
      <c r="C1954" s="5" t="s">
        <v>1248</v>
      </c>
      <c r="D1954" s="5" t="s">
        <v>1249</v>
      </c>
      <c r="E1954" s="6" t="s">
        <v>2351</v>
      </c>
      <c r="F1954" s="6" t="s">
        <v>1555</v>
      </c>
      <c r="G1954" s="6" t="s">
        <v>2397</v>
      </c>
      <c r="H1954" s="5"/>
      <c r="I1954" s="6" t="s">
        <v>2343</v>
      </c>
    </row>
    <row r="1955" customFormat="false" ht="46.25" hidden="false" customHeight="false" outlineLevel="0" collapsed="false">
      <c r="A1955" s="5" t="s">
        <v>2394</v>
      </c>
      <c r="B1955" s="5" t="s">
        <v>1203</v>
      </c>
      <c r="C1955" s="5" t="s">
        <v>1248</v>
      </c>
      <c r="D1955" s="5" t="s">
        <v>1249</v>
      </c>
      <c r="E1955" s="6" t="s">
        <v>2353</v>
      </c>
      <c r="F1955" s="6" t="s">
        <v>1555</v>
      </c>
      <c r="G1955" s="6" t="s">
        <v>2359</v>
      </c>
      <c r="H1955" s="5"/>
      <c r="I1955" s="6" t="s">
        <v>2343</v>
      </c>
    </row>
    <row r="1956" customFormat="false" ht="46.25" hidden="false" customHeight="false" outlineLevel="0" collapsed="false">
      <c r="A1956" s="5" t="s">
        <v>2394</v>
      </c>
      <c r="B1956" s="5" t="s">
        <v>1203</v>
      </c>
      <c r="C1956" s="5" t="s">
        <v>1248</v>
      </c>
      <c r="D1956" s="5" t="s">
        <v>1249</v>
      </c>
      <c r="E1956" s="6" t="s">
        <v>2355</v>
      </c>
      <c r="F1956" s="6" t="s">
        <v>1555</v>
      </c>
      <c r="G1956" s="6" t="s">
        <v>2398</v>
      </c>
      <c r="H1956" s="5"/>
      <c r="I1956" s="6" t="s">
        <v>2343</v>
      </c>
    </row>
    <row r="1957" customFormat="false" ht="46.25" hidden="false" customHeight="false" outlineLevel="0" collapsed="false">
      <c r="A1957" s="5" t="s">
        <v>2399</v>
      </c>
      <c r="B1957" s="5" t="s">
        <v>1203</v>
      </c>
      <c r="C1957" s="5" t="s">
        <v>1252</v>
      </c>
      <c r="D1957" s="5" t="s">
        <v>1207</v>
      </c>
      <c r="E1957" s="6" t="s">
        <v>2340</v>
      </c>
      <c r="F1957" s="6" t="s">
        <v>2341</v>
      </c>
      <c r="G1957" s="6" t="s">
        <v>2400</v>
      </c>
      <c r="H1957" s="5"/>
      <c r="I1957" s="6" t="s">
        <v>2343</v>
      </c>
    </row>
    <row r="1958" customFormat="false" ht="46.25" hidden="false" customHeight="false" outlineLevel="0" collapsed="false">
      <c r="A1958" s="5" t="s">
        <v>2399</v>
      </c>
      <c r="B1958" s="5" t="s">
        <v>1203</v>
      </c>
      <c r="C1958" s="5" t="s">
        <v>1252</v>
      </c>
      <c r="D1958" s="5" t="s">
        <v>1207</v>
      </c>
      <c r="E1958" s="6" t="s">
        <v>2344</v>
      </c>
      <c r="F1958" s="6" t="s">
        <v>1555</v>
      </c>
      <c r="G1958" s="6" t="s">
        <v>2401</v>
      </c>
      <c r="H1958" s="5"/>
      <c r="I1958" s="6" t="s">
        <v>2343</v>
      </c>
    </row>
    <row r="1959" customFormat="false" ht="46.25" hidden="false" customHeight="false" outlineLevel="0" collapsed="false">
      <c r="A1959" s="5" t="s">
        <v>2399</v>
      </c>
      <c r="B1959" s="5" t="s">
        <v>1203</v>
      </c>
      <c r="C1959" s="5" t="s">
        <v>1252</v>
      </c>
      <c r="D1959" s="5" t="s">
        <v>1207</v>
      </c>
      <c r="E1959" s="6" t="s">
        <v>2346</v>
      </c>
      <c r="F1959" s="6" t="s">
        <v>1555</v>
      </c>
      <c r="G1959" s="6" t="s">
        <v>1618</v>
      </c>
      <c r="H1959" s="5"/>
      <c r="I1959" s="6" t="s">
        <v>2343</v>
      </c>
    </row>
    <row r="1960" customFormat="false" ht="46.25" hidden="false" customHeight="false" outlineLevel="0" collapsed="false">
      <c r="A1960" s="5" t="s">
        <v>2399</v>
      </c>
      <c r="B1960" s="5" t="s">
        <v>1203</v>
      </c>
      <c r="C1960" s="5" t="s">
        <v>1252</v>
      </c>
      <c r="D1960" s="5" t="s">
        <v>1207</v>
      </c>
      <c r="E1960" s="6" t="s">
        <v>2347</v>
      </c>
      <c r="F1960" s="6" t="s">
        <v>2348</v>
      </c>
      <c r="G1960" s="6" t="s">
        <v>2064</v>
      </c>
      <c r="H1960" s="5"/>
      <c r="I1960" s="6" t="s">
        <v>2343</v>
      </c>
    </row>
    <row r="1961" customFormat="false" ht="46.25" hidden="false" customHeight="false" outlineLevel="0" collapsed="false">
      <c r="A1961" s="5" t="s">
        <v>2399</v>
      </c>
      <c r="B1961" s="5" t="s">
        <v>1203</v>
      </c>
      <c r="C1961" s="5" t="s">
        <v>1252</v>
      </c>
      <c r="D1961" s="5" t="s">
        <v>1207</v>
      </c>
      <c r="E1961" s="6" t="s">
        <v>2349</v>
      </c>
      <c r="F1961" s="6" t="s">
        <v>1555</v>
      </c>
      <c r="G1961" s="6" t="s">
        <v>2402</v>
      </c>
      <c r="H1961" s="5"/>
      <c r="I1961" s="6" t="s">
        <v>2343</v>
      </c>
    </row>
    <row r="1962" customFormat="false" ht="46.25" hidden="false" customHeight="false" outlineLevel="0" collapsed="false">
      <c r="A1962" s="5" t="s">
        <v>2399</v>
      </c>
      <c r="B1962" s="5" t="s">
        <v>1203</v>
      </c>
      <c r="C1962" s="5" t="s">
        <v>1252</v>
      </c>
      <c r="D1962" s="5" t="s">
        <v>1207</v>
      </c>
      <c r="E1962" s="6" t="s">
        <v>2351</v>
      </c>
      <c r="F1962" s="6" t="s">
        <v>1555</v>
      </c>
      <c r="G1962" s="6" t="s">
        <v>2403</v>
      </c>
      <c r="H1962" s="5"/>
      <c r="I1962" s="6" t="s">
        <v>2343</v>
      </c>
    </row>
    <row r="1963" customFormat="false" ht="46.25" hidden="false" customHeight="false" outlineLevel="0" collapsed="false">
      <c r="A1963" s="5" t="s">
        <v>2399</v>
      </c>
      <c r="B1963" s="5" t="s">
        <v>1203</v>
      </c>
      <c r="C1963" s="5" t="s">
        <v>1252</v>
      </c>
      <c r="D1963" s="5" t="s">
        <v>1207</v>
      </c>
      <c r="E1963" s="6" t="s">
        <v>2353</v>
      </c>
      <c r="F1963" s="6" t="s">
        <v>1555</v>
      </c>
      <c r="G1963" s="6" t="s">
        <v>2381</v>
      </c>
      <c r="H1963" s="5"/>
      <c r="I1963" s="6" t="s">
        <v>2343</v>
      </c>
    </row>
    <row r="1964" customFormat="false" ht="46.25" hidden="false" customHeight="false" outlineLevel="0" collapsed="false">
      <c r="A1964" s="5" t="s">
        <v>2399</v>
      </c>
      <c r="B1964" s="5" t="s">
        <v>1203</v>
      </c>
      <c r="C1964" s="5" t="s">
        <v>1252</v>
      </c>
      <c r="D1964" s="5" t="s">
        <v>1207</v>
      </c>
      <c r="E1964" s="6" t="s">
        <v>2355</v>
      </c>
      <c r="F1964" s="6" t="s">
        <v>1555</v>
      </c>
      <c r="G1964" s="6" t="s">
        <v>2404</v>
      </c>
      <c r="H1964" s="5"/>
      <c r="I1964" s="6" t="s">
        <v>2343</v>
      </c>
    </row>
    <row r="1965" customFormat="false" ht="46.25" hidden="false" customHeight="false" outlineLevel="0" collapsed="false">
      <c r="A1965" s="5" t="s">
        <v>2405</v>
      </c>
      <c r="B1965" s="5" t="s">
        <v>1203</v>
      </c>
      <c r="C1965" s="5" t="s">
        <v>1258</v>
      </c>
      <c r="D1965" s="5" t="s">
        <v>1259</v>
      </c>
      <c r="E1965" s="6" t="s">
        <v>2340</v>
      </c>
      <c r="F1965" s="6" t="s">
        <v>2341</v>
      </c>
      <c r="G1965" s="6" t="s">
        <v>2406</v>
      </c>
      <c r="H1965" s="5"/>
      <c r="I1965" s="6" t="s">
        <v>2343</v>
      </c>
    </row>
    <row r="1966" customFormat="false" ht="46.25" hidden="false" customHeight="false" outlineLevel="0" collapsed="false">
      <c r="A1966" s="5" t="s">
        <v>2405</v>
      </c>
      <c r="B1966" s="5" t="s">
        <v>1203</v>
      </c>
      <c r="C1966" s="5" t="s">
        <v>1258</v>
      </c>
      <c r="D1966" s="5" t="s">
        <v>1259</v>
      </c>
      <c r="E1966" s="6" t="s">
        <v>2344</v>
      </c>
      <c r="F1966" s="6" t="s">
        <v>1555</v>
      </c>
      <c r="G1966" s="6" t="s">
        <v>2407</v>
      </c>
      <c r="H1966" s="5"/>
      <c r="I1966" s="6" t="s">
        <v>2343</v>
      </c>
    </row>
    <row r="1967" customFormat="false" ht="46.25" hidden="false" customHeight="false" outlineLevel="0" collapsed="false">
      <c r="A1967" s="5" t="s">
        <v>2405</v>
      </c>
      <c r="B1967" s="5" t="s">
        <v>1203</v>
      </c>
      <c r="C1967" s="5" t="s">
        <v>1258</v>
      </c>
      <c r="D1967" s="5" t="s">
        <v>1259</v>
      </c>
      <c r="E1967" s="6" t="s">
        <v>2346</v>
      </c>
      <c r="F1967" s="6" t="s">
        <v>1555</v>
      </c>
      <c r="G1967" s="6" t="s">
        <v>1618</v>
      </c>
      <c r="H1967" s="5"/>
      <c r="I1967" s="6" t="s">
        <v>2343</v>
      </c>
    </row>
    <row r="1968" customFormat="false" ht="46.25" hidden="false" customHeight="false" outlineLevel="0" collapsed="false">
      <c r="A1968" s="5" t="s">
        <v>2405</v>
      </c>
      <c r="B1968" s="5" t="s">
        <v>1203</v>
      </c>
      <c r="C1968" s="5" t="s">
        <v>1258</v>
      </c>
      <c r="D1968" s="5" t="s">
        <v>1259</v>
      </c>
      <c r="E1968" s="6" t="s">
        <v>2347</v>
      </c>
      <c r="F1968" s="6" t="s">
        <v>2348</v>
      </c>
      <c r="G1968" s="6" t="s">
        <v>2064</v>
      </c>
      <c r="H1968" s="5"/>
      <c r="I1968" s="6" t="s">
        <v>2343</v>
      </c>
    </row>
    <row r="1969" customFormat="false" ht="46.25" hidden="false" customHeight="false" outlineLevel="0" collapsed="false">
      <c r="A1969" s="5" t="s">
        <v>2405</v>
      </c>
      <c r="B1969" s="5" t="s">
        <v>1203</v>
      </c>
      <c r="C1969" s="5" t="s">
        <v>1258</v>
      </c>
      <c r="D1969" s="5" t="s">
        <v>1259</v>
      </c>
      <c r="E1969" s="6" t="s">
        <v>2349</v>
      </c>
      <c r="F1969" s="6" t="s">
        <v>1555</v>
      </c>
      <c r="G1969" s="6" t="s">
        <v>2408</v>
      </c>
      <c r="H1969" s="5"/>
      <c r="I1969" s="6" t="s">
        <v>2343</v>
      </c>
    </row>
    <row r="1970" customFormat="false" ht="46.25" hidden="false" customHeight="false" outlineLevel="0" collapsed="false">
      <c r="A1970" s="5" t="s">
        <v>2405</v>
      </c>
      <c r="B1970" s="5" t="s">
        <v>1203</v>
      </c>
      <c r="C1970" s="5" t="s">
        <v>1258</v>
      </c>
      <c r="D1970" s="5" t="s">
        <v>1259</v>
      </c>
      <c r="E1970" s="6" t="s">
        <v>2351</v>
      </c>
      <c r="F1970" s="6" t="s">
        <v>1555</v>
      </c>
      <c r="G1970" s="6" t="s">
        <v>2409</v>
      </c>
      <c r="H1970" s="5"/>
      <c r="I1970" s="6" t="s">
        <v>2343</v>
      </c>
    </row>
    <row r="1971" customFormat="false" ht="46.25" hidden="false" customHeight="false" outlineLevel="0" collapsed="false">
      <c r="A1971" s="5" t="s">
        <v>2405</v>
      </c>
      <c r="B1971" s="5" t="s">
        <v>1203</v>
      </c>
      <c r="C1971" s="5" t="s">
        <v>1258</v>
      </c>
      <c r="D1971" s="5" t="s">
        <v>1259</v>
      </c>
      <c r="E1971" s="6" t="s">
        <v>2353</v>
      </c>
      <c r="F1971" s="6" t="s">
        <v>1555</v>
      </c>
      <c r="G1971" s="6" t="s">
        <v>2401</v>
      </c>
      <c r="H1971" s="5"/>
      <c r="I1971" s="6" t="s">
        <v>2343</v>
      </c>
    </row>
    <row r="1972" customFormat="false" ht="46.25" hidden="false" customHeight="false" outlineLevel="0" collapsed="false">
      <c r="A1972" s="5" t="s">
        <v>2405</v>
      </c>
      <c r="B1972" s="5" t="s">
        <v>1203</v>
      </c>
      <c r="C1972" s="5" t="s">
        <v>1258</v>
      </c>
      <c r="D1972" s="5" t="s">
        <v>1259</v>
      </c>
      <c r="E1972" s="6" t="s">
        <v>2355</v>
      </c>
      <c r="F1972" s="6" t="s">
        <v>1555</v>
      </c>
      <c r="G1972" s="6" t="s">
        <v>2410</v>
      </c>
      <c r="H1972" s="5"/>
      <c r="I1972" s="6" t="s">
        <v>2343</v>
      </c>
    </row>
    <row r="1973" customFormat="false" ht="46.25" hidden="false" customHeight="false" outlineLevel="0" collapsed="false">
      <c r="A1973" s="5" t="s">
        <v>2411</v>
      </c>
      <c r="B1973" s="5" t="s">
        <v>1203</v>
      </c>
      <c r="C1973" s="5" t="s">
        <v>1262</v>
      </c>
      <c r="D1973" s="5" t="s">
        <v>1263</v>
      </c>
      <c r="E1973" s="6" t="s">
        <v>2340</v>
      </c>
      <c r="F1973" s="6" t="s">
        <v>2341</v>
      </c>
      <c r="G1973" s="6" t="s">
        <v>2412</v>
      </c>
      <c r="H1973" s="5"/>
      <c r="I1973" s="6" t="s">
        <v>2343</v>
      </c>
    </row>
    <row r="1974" customFormat="false" ht="46.25" hidden="false" customHeight="false" outlineLevel="0" collapsed="false">
      <c r="A1974" s="5" t="s">
        <v>2411</v>
      </c>
      <c r="B1974" s="5" t="s">
        <v>1203</v>
      </c>
      <c r="C1974" s="5" t="s">
        <v>1262</v>
      </c>
      <c r="D1974" s="5" t="s">
        <v>1263</v>
      </c>
      <c r="E1974" s="6" t="s">
        <v>2344</v>
      </c>
      <c r="F1974" s="6" t="s">
        <v>1555</v>
      </c>
      <c r="G1974" s="6" t="s">
        <v>2381</v>
      </c>
      <c r="H1974" s="5"/>
      <c r="I1974" s="6" t="s">
        <v>2343</v>
      </c>
    </row>
    <row r="1975" customFormat="false" ht="46.25" hidden="false" customHeight="false" outlineLevel="0" collapsed="false">
      <c r="A1975" s="5" t="s">
        <v>2411</v>
      </c>
      <c r="B1975" s="5" t="s">
        <v>1203</v>
      </c>
      <c r="C1975" s="5" t="s">
        <v>1262</v>
      </c>
      <c r="D1975" s="5" t="s">
        <v>1263</v>
      </c>
      <c r="E1975" s="6" t="s">
        <v>2346</v>
      </c>
      <c r="F1975" s="6" t="s">
        <v>1555</v>
      </c>
      <c r="G1975" s="6" t="s">
        <v>1618</v>
      </c>
      <c r="H1975" s="5"/>
      <c r="I1975" s="6" t="s">
        <v>2343</v>
      </c>
    </row>
    <row r="1976" customFormat="false" ht="46.25" hidden="false" customHeight="false" outlineLevel="0" collapsed="false">
      <c r="A1976" s="5" t="s">
        <v>2411</v>
      </c>
      <c r="B1976" s="5" t="s">
        <v>1203</v>
      </c>
      <c r="C1976" s="5" t="s">
        <v>1262</v>
      </c>
      <c r="D1976" s="5" t="s">
        <v>1263</v>
      </c>
      <c r="E1976" s="6" t="s">
        <v>2347</v>
      </c>
      <c r="F1976" s="6" t="s">
        <v>2348</v>
      </c>
      <c r="G1976" s="6" t="s">
        <v>2064</v>
      </c>
      <c r="H1976" s="5"/>
      <c r="I1976" s="6" t="s">
        <v>2343</v>
      </c>
    </row>
    <row r="1977" customFormat="false" ht="46.25" hidden="false" customHeight="false" outlineLevel="0" collapsed="false">
      <c r="A1977" s="5" t="s">
        <v>2411</v>
      </c>
      <c r="B1977" s="5" t="s">
        <v>1203</v>
      </c>
      <c r="C1977" s="5" t="s">
        <v>1262</v>
      </c>
      <c r="D1977" s="5" t="s">
        <v>1263</v>
      </c>
      <c r="E1977" s="6" t="s">
        <v>2349</v>
      </c>
      <c r="F1977" s="6" t="s">
        <v>1555</v>
      </c>
      <c r="G1977" s="6" t="s">
        <v>2413</v>
      </c>
      <c r="H1977" s="5"/>
      <c r="I1977" s="6" t="s">
        <v>2343</v>
      </c>
    </row>
    <row r="1978" customFormat="false" ht="46.25" hidden="false" customHeight="false" outlineLevel="0" collapsed="false">
      <c r="A1978" s="5" t="s">
        <v>2411</v>
      </c>
      <c r="B1978" s="5" t="s">
        <v>1203</v>
      </c>
      <c r="C1978" s="5" t="s">
        <v>1262</v>
      </c>
      <c r="D1978" s="5" t="s">
        <v>1263</v>
      </c>
      <c r="E1978" s="6" t="s">
        <v>2351</v>
      </c>
      <c r="F1978" s="6" t="s">
        <v>1555</v>
      </c>
      <c r="G1978" s="6" t="s">
        <v>2414</v>
      </c>
      <c r="H1978" s="5"/>
      <c r="I1978" s="6" t="s">
        <v>2343</v>
      </c>
    </row>
    <row r="1979" customFormat="false" ht="46.25" hidden="false" customHeight="false" outlineLevel="0" collapsed="false">
      <c r="A1979" s="5" t="s">
        <v>2411</v>
      </c>
      <c r="B1979" s="5" t="s">
        <v>1203</v>
      </c>
      <c r="C1979" s="5" t="s">
        <v>1262</v>
      </c>
      <c r="D1979" s="5" t="s">
        <v>1263</v>
      </c>
      <c r="E1979" s="6" t="s">
        <v>2353</v>
      </c>
      <c r="F1979" s="6" t="s">
        <v>1555</v>
      </c>
      <c r="G1979" s="6" t="s">
        <v>2370</v>
      </c>
      <c r="H1979" s="5"/>
      <c r="I1979" s="6" t="s">
        <v>2343</v>
      </c>
    </row>
    <row r="1980" customFormat="false" ht="46.25" hidden="false" customHeight="false" outlineLevel="0" collapsed="false">
      <c r="A1980" s="5" t="s">
        <v>2411</v>
      </c>
      <c r="B1980" s="5" t="s">
        <v>1203</v>
      </c>
      <c r="C1980" s="5" t="s">
        <v>1262</v>
      </c>
      <c r="D1980" s="5" t="s">
        <v>1263</v>
      </c>
      <c r="E1980" s="6" t="s">
        <v>2355</v>
      </c>
      <c r="F1980" s="6" t="s">
        <v>1555</v>
      </c>
      <c r="G1980" s="6" t="s">
        <v>2415</v>
      </c>
      <c r="H1980" s="5"/>
      <c r="I1980" s="6" t="s">
        <v>2343</v>
      </c>
    </row>
    <row r="1981" customFormat="false" ht="46.25" hidden="false" customHeight="false" outlineLevel="0" collapsed="false">
      <c r="A1981" s="5" t="s">
        <v>2416</v>
      </c>
      <c r="B1981" s="5" t="s">
        <v>1203</v>
      </c>
      <c r="C1981" s="5" t="s">
        <v>1266</v>
      </c>
      <c r="D1981" s="5" t="s">
        <v>1268</v>
      </c>
      <c r="E1981" s="6" t="s">
        <v>2340</v>
      </c>
      <c r="F1981" s="6" t="s">
        <v>2341</v>
      </c>
      <c r="G1981" s="6" t="s">
        <v>2412</v>
      </c>
      <c r="H1981" s="5"/>
      <c r="I1981" s="6" t="s">
        <v>2343</v>
      </c>
    </row>
    <row r="1982" customFormat="false" ht="46.25" hidden="false" customHeight="false" outlineLevel="0" collapsed="false">
      <c r="A1982" s="5" t="s">
        <v>2416</v>
      </c>
      <c r="B1982" s="5" t="s">
        <v>1203</v>
      </c>
      <c r="C1982" s="5" t="s">
        <v>1266</v>
      </c>
      <c r="D1982" s="5" t="s">
        <v>1268</v>
      </c>
      <c r="E1982" s="6" t="s">
        <v>2344</v>
      </c>
      <c r="F1982" s="6" t="s">
        <v>1555</v>
      </c>
      <c r="G1982" s="6" t="s">
        <v>2359</v>
      </c>
      <c r="H1982" s="5"/>
      <c r="I1982" s="6" t="s">
        <v>2343</v>
      </c>
    </row>
    <row r="1983" customFormat="false" ht="46.25" hidden="false" customHeight="false" outlineLevel="0" collapsed="false">
      <c r="A1983" s="5" t="s">
        <v>2416</v>
      </c>
      <c r="B1983" s="5" t="s">
        <v>1203</v>
      </c>
      <c r="C1983" s="5" t="s">
        <v>1266</v>
      </c>
      <c r="D1983" s="5" t="s">
        <v>1268</v>
      </c>
      <c r="E1983" s="6" t="s">
        <v>2346</v>
      </c>
      <c r="F1983" s="6" t="s">
        <v>1555</v>
      </c>
      <c r="G1983" s="6" t="s">
        <v>1618</v>
      </c>
      <c r="H1983" s="5"/>
      <c r="I1983" s="6" t="s">
        <v>2343</v>
      </c>
    </row>
    <row r="1984" customFormat="false" ht="46.25" hidden="false" customHeight="false" outlineLevel="0" collapsed="false">
      <c r="A1984" s="5" t="s">
        <v>2416</v>
      </c>
      <c r="B1984" s="5" t="s">
        <v>1203</v>
      </c>
      <c r="C1984" s="5" t="s">
        <v>1266</v>
      </c>
      <c r="D1984" s="5" t="s">
        <v>1268</v>
      </c>
      <c r="E1984" s="6" t="s">
        <v>2347</v>
      </c>
      <c r="F1984" s="6" t="s">
        <v>2348</v>
      </c>
      <c r="G1984" s="6" t="s">
        <v>1635</v>
      </c>
      <c r="H1984" s="5"/>
      <c r="I1984" s="6" t="s">
        <v>2343</v>
      </c>
    </row>
    <row r="1985" customFormat="false" ht="46.25" hidden="false" customHeight="false" outlineLevel="0" collapsed="false">
      <c r="A1985" s="5" t="s">
        <v>2416</v>
      </c>
      <c r="B1985" s="5" t="s">
        <v>1203</v>
      </c>
      <c r="C1985" s="5" t="s">
        <v>1266</v>
      </c>
      <c r="D1985" s="5" t="s">
        <v>1268</v>
      </c>
      <c r="E1985" s="6" t="s">
        <v>2349</v>
      </c>
      <c r="F1985" s="6" t="s">
        <v>1555</v>
      </c>
      <c r="G1985" s="6" t="s">
        <v>2417</v>
      </c>
      <c r="H1985" s="5"/>
      <c r="I1985" s="6" t="s">
        <v>2343</v>
      </c>
    </row>
    <row r="1986" customFormat="false" ht="46.25" hidden="false" customHeight="false" outlineLevel="0" collapsed="false">
      <c r="A1986" s="5" t="s">
        <v>2416</v>
      </c>
      <c r="B1986" s="5" t="s">
        <v>1203</v>
      </c>
      <c r="C1986" s="5" t="s">
        <v>1266</v>
      </c>
      <c r="D1986" s="5" t="s">
        <v>1268</v>
      </c>
      <c r="E1986" s="6" t="s">
        <v>2351</v>
      </c>
      <c r="F1986" s="6" t="s">
        <v>1555</v>
      </c>
      <c r="G1986" s="6" t="s">
        <v>2418</v>
      </c>
      <c r="H1986" s="5"/>
      <c r="I1986" s="6" t="s">
        <v>2343</v>
      </c>
    </row>
    <row r="1987" customFormat="false" ht="46.25" hidden="false" customHeight="false" outlineLevel="0" collapsed="false">
      <c r="A1987" s="5" t="s">
        <v>2416</v>
      </c>
      <c r="B1987" s="5" t="s">
        <v>1203</v>
      </c>
      <c r="C1987" s="5" t="s">
        <v>1266</v>
      </c>
      <c r="D1987" s="5" t="s">
        <v>1268</v>
      </c>
      <c r="E1987" s="6" t="s">
        <v>2353</v>
      </c>
      <c r="F1987" s="6" t="s">
        <v>1555</v>
      </c>
      <c r="G1987" s="6" t="s">
        <v>2362</v>
      </c>
      <c r="H1987" s="5"/>
      <c r="I1987" s="6" t="s">
        <v>2343</v>
      </c>
    </row>
    <row r="1988" customFormat="false" ht="46.25" hidden="false" customHeight="false" outlineLevel="0" collapsed="false">
      <c r="A1988" s="5" t="s">
        <v>2416</v>
      </c>
      <c r="B1988" s="5" t="s">
        <v>1203</v>
      </c>
      <c r="C1988" s="5" t="s">
        <v>1266</v>
      </c>
      <c r="D1988" s="5" t="s">
        <v>1268</v>
      </c>
      <c r="E1988" s="6" t="s">
        <v>2355</v>
      </c>
      <c r="F1988" s="6" t="s">
        <v>1555</v>
      </c>
      <c r="G1988" s="6" t="s">
        <v>2419</v>
      </c>
      <c r="H1988" s="5"/>
      <c r="I1988" s="6" t="s">
        <v>2343</v>
      </c>
    </row>
    <row r="1989" customFormat="false" ht="46.25" hidden="false" customHeight="false" outlineLevel="0" collapsed="false">
      <c r="A1989" s="5" t="s">
        <v>2420</v>
      </c>
      <c r="B1989" s="5" t="s">
        <v>1203</v>
      </c>
      <c r="C1989" s="5" t="s">
        <v>1272</v>
      </c>
      <c r="D1989" s="5" t="s">
        <v>1273</v>
      </c>
      <c r="E1989" s="6" t="s">
        <v>2340</v>
      </c>
      <c r="F1989" s="6" t="s">
        <v>2341</v>
      </c>
      <c r="G1989" s="6" t="s">
        <v>2421</v>
      </c>
      <c r="H1989" s="5"/>
      <c r="I1989" s="6" t="s">
        <v>2343</v>
      </c>
    </row>
    <row r="1990" customFormat="false" ht="46.25" hidden="false" customHeight="false" outlineLevel="0" collapsed="false">
      <c r="A1990" s="5" t="s">
        <v>2420</v>
      </c>
      <c r="B1990" s="5" t="s">
        <v>1203</v>
      </c>
      <c r="C1990" s="5" t="s">
        <v>1272</v>
      </c>
      <c r="D1990" s="5" t="s">
        <v>1273</v>
      </c>
      <c r="E1990" s="6" t="s">
        <v>2344</v>
      </c>
      <c r="F1990" s="6" t="s">
        <v>1555</v>
      </c>
      <c r="G1990" s="6" t="s">
        <v>2370</v>
      </c>
      <c r="H1990" s="5"/>
      <c r="I1990" s="6" t="s">
        <v>2343</v>
      </c>
    </row>
    <row r="1991" customFormat="false" ht="46.25" hidden="false" customHeight="false" outlineLevel="0" collapsed="false">
      <c r="A1991" s="5" t="s">
        <v>2420</v>
      </c>
      <c r="B1991" s="5" t="s">
        <v>1203</v>
      </c>
      <c r="C1991" s="5" t="s">
        <v>1272</v>
      </c>
      <c r="D1991" s="5" t="s">
        <v>1273</v>
      </c>
      <c r="E1991" s="6" t="s">
        <v>2346</v>
      </c>
      <c r="F1991" s="6" t="s">
        <v>1555</v>
      </c>
      <c r="G1991" s="6" t="s">
        <v>1618</v>
      </c>
      <c r="H1991" s="5"/>
      <c r="I1991" s="6" t="s">
        <v>2343</v>
      </c>
    </row>
    <row r="1992" customFormat="false" ht="46.25" hidden="false" customHeight="false" outlineLevel="0" collapsed="false">
      <c r="A1992" s="5" t="s">
        <v>2420</v>
      </c>
      <c r="B1992" s="5" t="s">
        <v>1203</v>
      </c>
      <c r="C1992" s="5" t="s">
        <v>1272</v>
      </c>
      <c r="D1992" s="5" t="s">
        <v>1273</v>
      </c>
      <c r="E1992" s="6" t="s">
        <v>2347</v>
      </c>
      <c r="F1992" s="6" t="s">
        <v>2348</v>
      </c>
      <c r="G1992" s="6" t="s">
        <v>1613</v>
      </c>
      <c r="H1992" s="5"/>
      <c r="I1992" s="6" t="s">
        <v>2343</v>
      </c>
    </row>
    <row r="1993" customFormat="false" ht="46.25" hidden="false" customHeight="false" outlineLevel="0" collapsed="false">
      <c r="A1993" s="5" t="s">
        <v>2420</v>
      </c>
      <c r="B1993" s="5" t="s">
        <v>1203</v>
      </c>
      <c r="C1993" s="5" t="s">
        <v>1272</v>
      </c>
      <c r="D1993" s="5" t="s">
        <v>1273</v>
      </c>
      <c r="E1993" s="6" t="s">
        <v>2349</v>
      </c>
      <c r="F1993" s="6" t="s">
        <v>1555</v>
      </c>
      <c r="G1993" s="6" t="s">
        <v>2422</v>
      </c>
      <c r="H1993" s="5"/>
      <c r="I1993" s="6" t="s">
        <v>2343</v>
      </c>
    </row>
    <row r="1994" customFormat="false" ht="46.25" hidden="false" customHeight="false" outlineLevel="0" collapsed="false">
      <c r="A1994" s="5" t="s">
        <v>2420</v>
      </c>
      <c r="B1994" s="5" t="s">
        <v>1203</v>
      </c>
      <c r="C1994" s="5" t="s">
        <v>1272</v>
      </c>
      <c r="D1994" s="5" t="s">
        <v>1273</v>
      </c>
      <c r="E1994" s="6" t="s">
        <v>2351</v>
      </c>
      <c r="F1994" s="6" t="s">
        <v>1555</v>
      </c>
      <c r="G1994" s="6" t="s">
        <v>2423</v>
      </c>
      <c r="H1994" s="5"/>
      <c r="I1994" s="6" t="s">
        <v>2343</v>
      </c>
    </row>
    <row r="1995" customFormat="false" ht="46.25" hidden="false" customHeight="false" outlineLevel="0" collapsed="false">
      <c r="A1995" s="5" t="s">
        <v>2420</v>
      </c>
      <c r="B1995" s="5" t="s">
        <v>1203</v>
      </c>
      <c r="C1995" s="5" t="s">
        <v>1272</v>
      </c>
      <c r="D1995" s="5" t="s">
        <v>1273</v>
      </c>
      <c r="E1995" s="6" t="s">
        <v>2353</v>
      </c>
      <c r="F1995" s="6" t="s">
        <v>1555</v>
      </c>
      <c r="G1995" s="6" t="s">
        <v>2370</v>
      </c>
      <c r="H1995" s="5"/>
      <c r="I1995" s="6" t="s">
        <v>2343</v>
      </c>
    </row>
    <row r="1996" customFormat="false" ht="46.25" hidden="false" customHeight="false" outlineLevel="0" collapsed="false">
      <c r="A1996" s="5" t="s">
        <v>2420</v>
      </c>
      <c r="B1996" s="5" t="s">
        <v>1203</v>
      </c>
      <c r="C1996" s="5" t="s">
        <v>1272</v>
      </c>
      <c r="D1996" s="5" t="s">
        <v>1273</v>
      </c>
      <c r="E1996" s="6" t="s">
        <v>2355</v>
      </c>
      <c r="F1996" s="6" t="s">
        <v>1555</v>
      </c>
      <c r="G1996" s="6" t="s">
        <v>2424</v>
      </c>
      <c r="H1996" s="5"/>
      <c r="I1996" s="6" t="s">
        <v>2343</v>
      </c>
    </row>
    <row r="1997" customFormat="false" ht="46.25" hidden="false" customHeight="false" outlineLevel="0" collapsed="false">
      <c r="A1997" s="5" t="s">
        <v>2425</v>
      </c>
      <c r="B1997" s="5" t="s">
        <v>1203</v>
      </c>
      <c r="C1997" s="5" t="s">
        <v>1276</v>
      </c>
      <c r="D1997" s="5" t="s">
        <v>1278</v>
      </c>
      <c r="E1997" s="6" t="s">
        <v>2340</v>
      </c>
      <c r="F1997" s="6" t="s">
        <v>2341</v>
      </c>
      <c r="G1997" s="6" t="s">
        <v>2426</v>
      </c>
      <c r="H1997" s="5"/>
      <c r="I1997" s="6" t="s">
        <v>2343</v>
      </c>
    </row>
    <row r="1998" customFormat="false" ht="46.25" hidden="false" customHeight="false" outlineLevel="0" collapsed="false">
      <c r="A1998" s="5" t="s">
        <v>2425</v>
      </c>
      <c r="B1998" s="5" t="s">
        <v>1203</v>
      </c>
      <c r="C1998" s="5" t="s">
        <v>1276</v>
      </c>
      <c r="D1998" s="5" t="s">
        <v>1278</v>
      </c>
      <c r="E1998" s="6" t="s">
        <v>2344</v>
      </c>
      <c r="F1998" s="6" t="s">
        <v>1555</v>
      </c>
      <c r="G1998" s="6" t="s">
        <v>2362</v>
      </c>
      <c r="H1998" s="5"/>
      <c r="I1998" s="6" t="s">
        <v>2343</v>
      </c>
    </row>
    <row r="1999" customFormat="false" ht="46.25" hidden="false" customHeight="false" outlineLevel="0" collapsed="false">
      <c r="A1999" s="5" t="s">
        <v>2425</v>
      </c>
      <c r="B1999" s="5" t="s">
        <v>1203</v>
      </c>
      <c r="C1999" s="5" t="s">
        <v>1276</v>
      </c>
      <c r="D1999" s="5" t="s">
        <v>1278</v>
      </c>
      <c r="E1999" s="6" t="s">
        <v>2346</v>
      </c>
      <c r="F1999" s="6" t="s">
        <v>1555</v>
      </c>
      <c r="G1999" s="6" t="s">
        <v>1618</v>
      </c>
      <c r="H1999" s="5"/>
      <c r="I1999" s="6" t="s">
        <v>2343</v>
      </c>
    </row>
    <row r="2000" customFormat="false" ht="46.25" hidden="false" customHeight="false" outlineLevel="0" collapsed="false">
      <c r="A2000" s="5" t="s">
        <v>2425</v>
      </c>
      <c r="B2000" s="5" t="s">
        <v>1203</v>
      </c>
      <c r="C2000" s="5" t="s">
        <v>1276</v>
      </c>
      <c r="D2000" s="5" t="s">
        <v>1278</v>
      </c>
      <c r="E2000" s="6" t="s">
        <v>2347</v>
      </c>
      <c r="F2000" s="6" t="s">
        <v>2348</v>
      </c>
      <c r="G2000" s="6" t="s">
        <v>1613</v>
      </c>
      <c r="H2000" s="5"/>
      <c r="I2000" s="6" t="s">
        <v>2343</v>
      </c>
    </row>
    <row r="2001" customFormat="false" ht="46.25" hidden="false" customHeight="false" outlineLevel="0" collapsed="false">
      <c r="A2001" s="5" t="s">
        <v>2425</v>
      </c>
      <c r="B2001" s="5" t="s">
        <v>1203</v>
      </c>
      <c r="C2001" s="5" t="s">
        <v>1276</v>
      </c>
      <c r="D2001" s="5" t="s">
        <v>1278</v>
      </c>
      <c r="E2001" s="6" t="s">
        <v>2349</v>
      </c>
      <c r="F2001" s="6" t="s">
        <v>1555</v>
      </c>
      <c r="G2001" s="6" t="s">
        <v>2427</v>
      </c>
      <c r="H2001" s="5"/>
      <c r="I2001" s="6" t="s">
        <v>2343</v>
      </c>
    </row>
    <row r="2002" customFormat="false" ht="46.25" hidden="false" customHeight="false" outlineLevel="0" collapsed="false">
      <c r="A2002" s="5" t="s">
        <v>2425</v>
      </c>
      <c r="B2002" s="5" t="s">
        <v>1203</v>
      </c>
      <c r="C2002" s="5" t="s">
        <v>1276</v>
      </c>
      <c r="D2002" s="5" t="s">
        <v>1278</v>
      </c>
      <c r="E2002" s="6" t="s">
        <v>2351</v>
      </c>
      <c r="F2002" s="6" t="s">
        <v>1555</v>
      </c>
      <c r="G2002" s="6" t="s">
        <v>2428</v>
      </c>
      <c r="H2002" s="5"/>
      <c r="I2002" s="6" t="s">
        <v>2343</v>
      </c>
    </row>
    <row r="2003" customFormat="false" ht="46.25" hidden="false" customHeight="false" outlineLevel="0" collapsed="false">
      <c r="A2003" s="5" t="s">
        <v>2425</v>
      </c>
      <c r="B2003" s="5" t="s">
        <v>1203</v>
      </c>
      <c r="C2003" s="5" t="s">
        <v>1276</v>
      </c>
      <c r="D2003" s="5" t="s">
        <v>1278</v>
      </c>
      <c r="E2003" s="6" t="s">
        <v>2353</v>
      </c>
      <c r="F2003" s="6" t="s">
        <v>1555</v>
      </c>
      <c r="G2003" s="6" t="s">
        <v>2362</v>
      </c>
      <c r="H2003" s="5"/>
      <c r="I2003" s="6" t="s">
        <v>2343</v>
      </c>
    </row>
    <row r="2004" customFormat="false" ht="46.25" hidden="false" customHeight="false" outlineLevel="0" collapsed="false">
      <c r="A2004" s="5" t="s">
        <v>2425</v>
      </c>
      <c r="B2004" s="5" t="s">
        <v>1203</v>
      </c>
      <c r="C2004" s="5" t="s">
        <v>1276</v>
      </c>
      <c r="D2004" s="5" t="s">
        <v>1278</v>
      </c>
      <c r="E2004" s="6" t="s">
        <v>2355</v>
      </c>
      <c r="F2004" s="6" t="s">
        <v>1555</v>
      </c>
      <c r="G2004" s="6" t="s">
        <v>2429</v>
      </c>
      <c r="H2004" s="5"/>
      <c r="I2004" s="6" t="s">
        <v>2343</v>
      </c>
    </row>
    <row r="2005" customFormat="false" ht="46.25" hidden="false" customHeight="false" outlineLevel="0" collapsed="false">
      <c r="A2005" s="5" t="s">
        <v>2430</v>
      </c>
      <c r="B2005" s="5" t="s">
        <v>1203</v>
      </c>
      <c r="C2005" s="5" t="s">
        <v>1281</v>
      </c>
      <c r="D2005" s="5" t="s">
        <v>985</v>
      </c>
      <c r="E2005" s="6" t="s">
        <v>2340</v>
      </c>
      <c r="F2005" s="6" t="s">
        <v>2341</v>
      </c>
      <c r="G2005" s="6" t="s">
        <v>2431</v>
      </c>
      <c r="H2005" s="5"/>
      <c r="I2005" s="6" t="s">
        <v>2343</v>
      </c>
    </row>
    <row r="2006" customFormat="false" ht="46.25" hidden="false" customHeight="false" outlineLevel="0" collapsed="false">
      <c r="A2006" s="5" t="s">
        <v>2430</v>
      </c>
      <c r="B2006" s="5" t="s">
        <v>1203</v>
      </c>
      <c r="C2006" s="5" t="s">
        <v>1281</v>
      </c>
      <c r="D2006" s="5" t="s">
        <v>985</v>
      </c>
      <c r="E2006" s="6" t="s">
        <v>2344</v>
      </c>
      <c r="F2006" s="6" t="s">
        <v>1555</v>
      </c>
      <c r="G2006" s="6" t="s">
        <v>2354</v>
      </c>
      <c r="H2006" s="5"/>
      <c r="I2006" s="6" t="s">
        <v>2343</v>
      </c>
    </row>
    <row r="2007" customFormat="false" ht="46.25" hidden="false" customHeight="false" outlineLevel="0" collapsed="false">
      <c r="A2007" s="5" t="s">
        <v>2430</v>
      </c>
      <c r="B2007" s="5" t="s">
        <v>1203</v>
      </c>
      <c r="C2007" s="5" t="s">
        <v>1281</v>
      </c>
      <c r="D2007" s="5" t="s">
        <v>985</v>
      </c>
      <c r="E2007" s="6" t="s">
        <v>2346</v>
      </c>
      <c r="F2007" s="6" t="s">
        <v>1555</v>
      </c>
      <c r="G2007" s="6" t="s">
        <v>1618</v>
      </c>
      <c r="H2007" s="5"/>
      <c r="I2007" s="6" t="s">
        <v>2343</v>
      </c>
    </row>
    <row r="2008" customFormat="false" ht="46.25" hidden="false" customHeight="false" outlineLevel="0" collapsed="false">
      <c r="A2008" s="5" t="s">
        <v>2430</v>
      </c>
      <c r="B2008" s="5" t="s">
        <v>1203</v>
      </c>
      <c r="C2008" s="5" t="s">
        <v>1281</v>
      </c>
      <c r="D2008" s="5" t="s">
        <v>985</v>
      </c>
      <c r="E2008" s="6" t="s">
        <v>2347</v>
      </c>
      <c r="F2008" s="6" t="s">
        <v>2348</v>
      </c>
      <c r="G2008" s="6" t="s">
        <v>1613</v>
      </c>
      <c r="H2008" s="5"/>
      <c r="I2008" s="6" t="s">
        <v>2343</v>
      </c>
    </row>
    <row r="2009" customFormat="false" ht="46.25" hidden="false" customHeight="false" outlineLevel="0" collapsed="false">
      <c r="A2009" s="5" t="s">
        <v>2430</v>
      </c>
      <c r="B2009" s="5" t="s">
        <v>1203</v>
      </c>
      <c r="C2009" s="5" t="s">
        <v>1281</v>
      </c>
      <c r="D2009" s="5" t="s">
        <v>985</v>
      </c>
      <c r="E2009" s="6" t="s">
        <v>2349</v>
      </c>
      <c r="F2009" s="6" t="s">
        <v>1555</v>
      </c>
      <c r="G2009" s="6" t="s">
        <v>2360</v>
      </c>
      <c r="H2009" s="5"/>
      <c r="I2009" s="6" t="s">
        <v>2343</v>
      </c>
    </row>
    <row r="2010" customFormat="false" ht="46.25" hidden="false" customHeight="false" outlineLevel="0" collapsed="false">
      <c r="A2010" s="5" t="s">
        <v>2430</v>
      </c>
      <c r="B2010" s="5" t="s">
        <v>1203</v>
      </c>
      <c r="C2010" s="5" t="s">
        <v>1281</v>
      </c>
      <c r="D2010" s="5" t="s">
        <v>985</v>
      </c>
      <c r="E2010" s="6" t="s">
        <v>2351</v>
      </c>
      <c r="F2010" s="6" t="s">
        <v>1555</v>
      </c>
      <c r="G2010" s="6" t="s">
        <v>2432</v>
      </c>
      <c r="H2010" s="5"/>
      <c r="I2010" s="6" t="s">
        <v>2343</v>
      </c>
    </row>
    <row r="2011" customFormat="false" ht="46.25" hidden="false" customHeight="false" outlineLevel="0" collapsed="false">
      <c r="A2011" s="5" t="s">
        <v>2430</v>
      </c>
      <c r="B2011" s="5" t="s">
        <v>1203</v>
      </c>
      <c r="C2011" s="5" t="s">
        <v>1281</v>
      </c>
      <c r="D2011" s="5" t="s">
        <v>985</v>
      </c>
      <c r="E2011" s="6" t="s">
        <v>2353</v>
      </c>
      <c r="F2011" s="6" t="s">
        <v>1555</v>
      </c>
      <c r="G2011" s="6" t="s">
        <v>2407</v>
      </c>
      <c r="H2011" s="5"/>
      <c r="I2011" s="6" t="s">
        <v>2343</v>
      </c>
    </row>
    <row r="2012" customFormat="false" ht="46.25" hidden="false" customHeight="false" outlineLevel="0" collapsed="false">
      <c r="A2012" s="5" t="s">
        <v>2430</v>
      </c>
      <c r="B2012" s="5" t="s">
        <v>1203</v>
      </c>
      <c r="C2012" s="5" t="s">
        <v>1281</v>
      </c>
      <c r="D2012" s="5" t="s">
        <v>985</v>
      </c>
      <c r="E2012" s="6" t="s">
        <v>2355</v>
      </c>
      <c r="F2012" s="6" t="s">
        <v>1555</v>
      </c>
      <c r="G2012" s="6" t="s">
        <v>2433</v>
      </c>
      <c r="H2012" s="5"/>
      <c r="I2012" s="6" t="s">
        <v>2343</v>
      </c>
    </row>
    <row r="2013" customFormat="false" ht="46.25" hidden="false" customHeight="false" outlineLevel="0" collapsed="false">
      <c r="A2013" s="5" t="s">
        <v>2434</v>
      </c>
      <c r="B2013" s="5" t="s">
        <v>1203</v>
      </c>
      <c r="C2013" s="5" t="s">
        <v>1285</v>
      </c>
      <c r="D2013" s="5" t="s">
        <v>1287</v>
      </c>
      <c r="E2013" s="6" t="s">
        <v>2340</v>
      </c>
      <c r="F2013" s="6" t="s">
        <v>2341</v>
      </c>
      <c r="G2013" s="6" t="s">
        <v>2435</v>
      </c>
      <c r="H2013" s="5"/>
      <c r="I2013" s="6" t="s">
        <v>2343</v>
      </c>
    </row>
    <row r="2014" customFormat="false" ht="46.25" hidden="false" customHeight="false" outlineLevel="0" collapsed="false">
      <c r="A2014" s="5" t="s">
        <v>2434</v>
      </c>
      <c r="B2014" s="5" t="s">
        <v>1203</v>
      </c>
      <c r="C2014" s="5" t="s">
        <v>1285</v>
      </c>
      <c r="D2014" s="5" t="s">
        <v>1287</v>
      </c>
      <c r="E2014" s="6" t="s">
        <v>2344</v>
      </c>
      <c r="F2014" s="6" t="s">
        <v>1555</v>
      </c>
      <c r="G2014" s="6" t="s">
        <v>2407</v>
      </c>
      <c r="H2014" s="5"/>
      <c r="I2014" s="6" t="s">
        <v>2343</v>
      </c>
    </row>
    <row r="2015" customFormat="false" ht="46.25" hidden="false" customHeight="false" outlineLevel="0" collapsed="false">
      <c r="A2015" s="5" t="s">
        <v>2434</v>
      </c>
      <c r="B2015" s="5" t="s">
        <v>1203</v>
      </c>
      <c r="C2015" s="5" t="s">
        <v>1285</v>
      </c>
      <c r="D2015" s="5" t="s">
        <v>1287</v>
      </c>
      <c r="E2015" s="6" t="s">
        <v>2346</v>
      </c>
      <c r="F2015" s="6" t="s">
        <v>1555</v>
      </c>
      <c r="G2015" s="6" t="s">
        <v>1618</v>
      </c>
      <c r="H2015" s="5"/>
      <c r="I2015" s="6" t="s">
        <v>2343</v>
      </c>
    </row>
    <row r="2016" customFormat="false" ht="46.25" hidden="false" customHeight="false" outlineLevel="0" collapsed="false">
      <c r="A2016" s="5" t="s">
        <v>2434</v>
      </c>
      <c r="B2016" s="5" t="s">
        <v>1203</v>
      </c>
      <c r="C2016" s="5" t="s">
        <v>1285</v>
      </c>
      <c r="D2016" s="5" t="s">
        <v>1287</v>
      </c>
      <c r="E2016" s="6" t="s">
        <v>2347</v>
      </c>
      <c r="F2016" s="6" t="s">
        <v>2348</v>
      </c>
      <c r="G2016" s="6" t="s">
        <v>2392</v>
      </c>
      <c r="H2016" s="5"/>
      <c r="I2016" s="6" t="s">
        <v>2343</v>
      </c>
    </row>
    <row r="2017" customFormat="false" ht="46.25" hidden="false" customHeight="false" outlineLevel="0" collapsed="false">
      <c r="A2017" s="5" t="s">
        <v>2434</v>
      </c>
      <c r="B2017" s="5" t="s">
        <v>1203</v>
      </c>
      <c r="C2017" s="5" t="s">
        <v>1285</v>
      </c>
      <c r="D2017" s="5" t="s">
        <v>1287</v>
      </c>
      <c r="E2017" s="6" t="s">
        <v>2349</v>
      </c>
      <c r="F2017" s="6" t="s">
        <v>1555</v>
      </c>
      <c r="G2017" s="6" t="s">
        <v>1714</v>
      </c>
      <c r="H2017" s="5"/>
      <c r="I2017" s="6" t="s">
        <v>2343</v>
      </c>
    </row>
    <row r="2018" customFormat="false" ht="46.25" hidden="false" customHeight="false" outlineLevel="0" collapsed="false">
      <c r="A2018" s="5" t="s">
        <v>2434</v>
      </c>
      <c r="B2018" s="5" t="s">
        <v>1203</v>
      </c>
      <c r="C2018" s="5" t="s">
        <v>1285</v>
      </c>
      <c r="D2018" s="5" t="s">
        <v>1287</v>
      </c>
      <c r="E2018" s="6" t="s">
        <v>2351</v>
      </c>
      <c r="F2018" s="6" t="s">
        <v>1555</v>
      </c>
      <c r="G2018" s="6" t="s">
        <v>1657</v>
      </c>
      <c r="H2018" s="5"/>
      <c r="I2018" s="6" t="s">
        <v>2343</v>
      </c>
    </row>
    <row r="2019" customFormat="false" ht="46.25" hidden="false" customHeight="false" outlineLevel="0" collapsed="false">
      <c r="A2019" s="5" t="s">
        <v>2434</v>
      </c>
      <c r="B2019" s="5" t="s">
        <v>1203</v>
      </c>
      <c r="C2019" s="5" t="s">
        <v>1285</v>
      </c>
      <c r="D2019" s="5" t="s">
        <v>1287</v>
      </c>
      <c r="E2019" s="6" t="s">
        <v>2353</v>
      </c>
      <c r="F2019" s="6" t="s">
        <v>1555</v>
      </c>
      <c r="G2019" s="6" t="s">
        <v>2401</v>
      </c>
      <c r="H2019" s="5"/>
      <c r="I2019" s="6" t="s">
        <v>2343</v>
      </c>
    </row>
    <row r="2020" customFormat="false" ht="46.25" hidden="false" customHeight="false" outlineLevel="0" collapsed="false">
      <c r="A2020" s="5" t="s">
        <v>2434</v>
      </c>
      <c r="B2020" s="5" t="s">
        <v>1203</v>
      </c>
      <c r="C2020" s="5" t="s">
        <v>1285</v>
      </c>
      <c r="D2020" s="5" t="s">
        <v>1287</v>
      </c>
      <c r="E2020" s="6" t="s">
        <v>2355</v>
      </c>
      <c r="F2020" s="6" t="s">
        <v>1555</v>
      </c>
      <c r="G2020" s="6" t="s">
        <v>2436</v>
      </c>
      <c r="H2020" s="5"/>
      <c r="I2020" s="6" t="s">
        <v>2343</v>
      </c>
    </row>
    <row r="2021" customFormat="false" ht="46.25" hidden="false" customHeight="false" outlineLevel="0" collapsed="false">
      <c r="A2021" s="5" t="s">
        <v>2437</v>
      </c>
      <c r="B2021" s="5" t="s">
        <v>1203</v>
      </c>
      <c r="C2021" s="5" t="s">
        <v>1290</v>
      </c>
      <c r="D2021" s="5" t="s">
        <v>1291</v>
      </c>
      <c r="E2021" s="6" t="s">
        <v>2340</v>
      </c>
      <c r="F2021" s="6" t="s">
        <v>2341</v>
      </c>
      <c r="G2021" s="6" t="s">
        <v>2438</v>
      </c>
      <c r="H2021" s="5"/>
      <c r="I2021" s="6" t="s">
        <v>2343</v>
      </c>
    </row>
    <row r="2022" customFormat="false" ht="46.25" hidden="false" customHeight="false" outlineLevel="0" collapsed="false">
      <c r="A2022" s="5" t="s">
        <v>2437</v>
      </c>
      <c r="B2022" s="5" t="s">
        <v>1203</v>
      </c>
      <c r="C2022" s="5" t="s">
        <v>1290</v>
      </c>
      <c r="D2022" s="5" t="s">
        <v>1291</v>
      </c>
      <c r="E2022" s="6" t="s">
        <v>2344</v>
      </c>
      <c r="F2022" s="6" t="s">
        <v>1555</v>
      </c>
      <c r="G2022" s="6" t="s">
        <v>2401</v>
      </c>
      <c r="H2022" s="5"/>
      <c r="I2022" s="6" t="s">
        <v>2343</v>
      </c>
    </row>
    <row r="2023" customFormat="false" ht="46.25" hidden="false" customHeight="false" outlineLevel="0" collapsed="false">
      <c r="A2023" s="5" t="s">
        <v>2437</v>
      </c>
      <c r="B2023" s="5" t="s">
        <v>1203</v>
      </c>
      <c r="C2023" s="5" t="s">
        <v>1290</v>
      </c>
      <c r="D2023" s="5" t="s">
        <v>1291</v>
      </c>
      <c r="E2023" s="6" t="s">
        <v>2346</v>
      </c>
      <c r="F2023" s="6" t="s">
        <v>1555</v>
      </c>
      <c r="G2023" s="6" t="s">
        <v>1618</v>
      </c>
      <c r="H2023" s="5"/>
      <c r="I2023" s="6" t="s">
        <v>2343</v>
      </c>
    </row>
    <row r="2024" customFormat="false" ht="46.25" hidden="false" customHeight="false" outlineLevel="0" collapsed="false">
      <c r="A2024" s="5" t="s">
        <v>2437</v>
      </c>
      <c r="B2024" s="5" t="s">
        <v>1203</v>
      </c>
      <c r="C2024" s="5" t="s">
        <v>1290</v>
      </c>
      <c r="D2024" s="5" t="s">
        <v>1291</v>
      </c>
      <c r="E2024" s="6" t="s">
        <v>2347</v>
      </c>
      <c r="F2024" s="6" t="s">
        <v>2348</v>
      </c>
      <c r="G2024" s="6" t="s">
        <v>1613</v>
      </c>
      <c r="H2024" s="5"/>
      <c r="I2024" s="6" t="s">
        <v>2343</v>
      </c>
    </row>
    <row r="2025" customFormat="false" ht="46.25" hidden="false" customHeight="false" outlineLevel="0" collapsed="false">
      <c r="A2025" s="5" t="s">
        <v>2437</v>
      </c>
      <c r="B2025" s="5" t="s">
        <v>1203</v>
      </c>
      <c r="C2025" s="5" t="s">
        <v>1290</v>
      </c>
      <c r="D2025" s="5" t="s">
        <v>1291</v>
      </c>
      <c r="E2025" s="6" t="s">
        <v>2349</v>
      </c>
      <c r="F2025" s="6" t="s">
        <v>1555</v>
      </c>
      <c r="G2025" s="6" t="s">
        <v>2439</v>
      </c>
      <c r="H2025" s="5"/>
      <c r="I2025" s="6" t="s">
        <v>2343</v>
      </c>
    </row>
    <row r="2026" customFormat="false" ht="46.25" hidden="false" customHeight="false" outlineLevel="0" collapsed="false">
      <c r="A2026" s="5" t="s">
        <v>2437</v>
      </c>
      <c r="B2026" s="5" t="s">
        <v>1203</v>
      </c>
      <c r="C2026" s="5" t="s">
        <v>1290</v>
      </c>
      <c r="D2026" s="5" t="s">
        <v>1291</v>
      </c>
      <c r="E2026" s="6" t="s">
        <v>2351</v>
      </c>
      <c r="F2026" s="6" t="s">
        <v>1555</v>
      </c>
      <c r="G2026" s="6" t="s">
        <v>2440</v>
      </c>
      <c r="H2026" s="5"/>
      <c r="I2026" s="6" t="s">
        <v>2343</v>
      </c>
    </row>
    <row r="2027" customFormat="false" ht="46.25" hidden="false" customHeight="false" outlineLevel="0" collapsed="false">
      <c r="A2027" s="5" t="s">
        <v>2437</v>
      </c>
      <c r="B2027" s="5" t="s">
        <v>1203</v>
      </c>
      <c r="C2027" s="5" t="s">
        <v>1290</v>
      </c>
      <c r="D2027" s="5" t="s">
        <v>1291</v>
      </c>
      <c r="E2027" s="6" t="s">
        <v>2353</v>
      </c>
      <c r="F2027" s="6" t="s">
        <v>1555</v>
      </c>
      <c r="G2027" s="6" t="s">
        <v>2381</v>
      </c>
      <c r="H2027" s="5"/>
      <c r="I2027" s="6" t="s">
        <v>2343</v>
      </c>
    </row>
    <row r="2028" customFormat="false" ht="46.25" hidden="false" customHeight="false" outlineLevel="0" collapsed="false">
      <c r="A2028" s="5" t="s">
        <v>2437</v>
      </c>
      <c r="B2028" s="5" t="s">
        <v>1203</v>
      </c>
      <c r="C2028" s="5" t="s">
        <v>1290</v>
      </c>
      <c r="D2028" s="5" t="s">
        <v>1291</v>
      </c>
      <c r="E2028" s="6" t="s">
        <v>2355</v>
      </c>
      <c r="F2028" s="6" t="s">
        <v>1555</v>
      </c>
      <c r="G2028" s="6" t="s">
        <v>2441</v>
      </c>
      <c r="H2028" s="5"/>
      <c r="I2028" s="6" t="s">
        <v>2343</v>
      </c>
    </row>
    <row r="2029" customFormat="false" ht="46.25" hidden="false" customHeight="false" outlineLevel="0" collapsed="false">
      <c r="A2029" s="5" t="s">
        <v>2442</v>
      </c>
      <c r="B2029" s="5" t="s">
        <v>1203</v>
      </c>
      <c r="C2029" s="5" t="s">
        <v>1295</v>
      </c>
      <c r="D2029" s="5" t="s">
        <v>1296</v>
      </c>
      <c r="E2029" s="6" t="s">
        <v>2340</v>
      </c>
      <c r="F2029" s="6" t="s">
        <v>2341</v>
      </c>
      <c r="G2029" s="6" t="s">
        <v>2443</v>
      </c>
      <c r="H2029" s="5"/>
      <c r="I2029" s="6" t="s">
        <v>2343</v>
      </c>
    </row>
    <row r="2030" customFormat="false" ht="46.25" hidden="false" customHeight="false" outlineLevel="0" collapsed="false">
      <c r="A2030" s="5" t="s">
        <v>2442</v>
      </c>
      <c r="B2030" s="5" t="s">
        <v>1203</v>
      </c>
      <c r="C2030" s="5" t="s">
        <v>1295</v>
      </c>
      <c r="D2030" s="5" t="s">
        <v>1296</v>
      </c>
      <c r="E2030" s="6" t="s">
        <v>2344</v>
      </c>
      <c r="F2030" s="6" t="s">
        <v>1555</v>
      </c>
      <c r="G2030" s="6" t="s">
        <v>2444</v>
      </c>
      <c r="H2030" s="5"/>
      <c r="I2030" s="6" t="s">
        <v>2343</v>
      </c>
    </row>
    <row r="2031" customFormat="false" ht="46.25" hidden="false" customHeight="false" outlineLevel="0" collapsed="false">
      <c r="A2031" s="5" t="s">
        <v>2442</v>
      </c>
      <c r="B2031" s="5" t="s">
        <v>1203</v>
      </c>
      <c r="C2031" s="5" t="s">
        <v>1295</v>
      </c>
      <c r="D2031" s="5" t="s">
        <v>1296</v>
      </c>
      <c r="E2031" s="6" t="s">
        <v>2346</v>
      </c>
      <c r="F2031" s="6" t="s">
        <v>1555</v>
      </c>
      <c r="G2031" s="6" t="s">
        <v>1618</v>
      </c>
      <c r="H2031" s="5"/>
      <c r="I2031" s="6" t="s">
        <v>2343</v>
      </c>
    </row>
    <row r="2032" customFormat="false" ht="46.25" hidden="false" customHeight="false" outlineLevel="0" collapsed="false">
      <c r="A2032" s="5" t="s">
        <v>2442</v>
      </c>
      <c r="B2032" s="5" t="s">
        <v>1203</v>
      </c>
      <c r="C2032" s="5" t="s">
        <v>1295</v>
      </c>
      <c r="D2032" s="5" t="s">
        <v>1296</v>
      </c>
      <c r="E2032" s="6" t="s">
        <v>2347</v>
      </c>
      <c r="F2032" s="6" t="s">
        <v>2348</v>
      </c>
      <c r="G2032" s="6" t="s">
        <v>1613</v>
      </c>
      <c r="H2032" s="5"/>
      <c r="I2032" s="6" t="s">
        <v>2343</v>
      </c>
    </row>
    <row r="2033" customFormat="false" ht="46.25" hidden="false" customHeight="false" outlineLevel="0" collapsed="false">
      <c r="A2033" s="5" t="s">
        <v>2442</v>
      </c>
      <c r="B2033" s="5" t="s">
        <v>1203</v>
      </c>
      <c r="C2033" s="5" t="s">
        <v>1295</v>
      </c>
      <c r="D2033" s="5" t="s">
        <v>1296</v>
      </c>
      <c r="E2033" s="6" t="s">
        <v>2349</v>
      </c>
      <c r="F2033" s="6" t="s">
        <v>1555</v>
      </c>
      <c r="G2033" s="6" t="s">
        <v>2445</v>
      </c>
      <c r="H2033" s="5"/>
      <c r="I2033" s="6" t="s">
        <v>2343</v>
      </c>
    </row>
    <row r="2034" customFormat="false" ht="46.25" hidden="false" customHeight="false" outlineLevel="0" collapsed="false">
      <c r="A2034" s="5" t="s">
        <v>2442</v>
      </c>
      <c r="B2034" s="5" t="s">
        <v>1203</v>
      </c>
      <c r="C2034" s="5" t="s">
        <v>1295</v>
      </c>
      <c r="D2034" s="5" t="s">
        <v>1296</v>
      </c>
      <c r="E2034" s="6" t="s">
        <v>2351</v>
      </c>
      <c r="F2034" s="6" t="s">
        <v>1555</v>
      </c>
      <c r="G2034" s="6" t="s">
        <v>2446</v>
      </c>
      <c r="H2034" s="5"/>
      <c r="I2034" s="6" t="s">
        <v>2343</v>
      </c>
    </row>
    <row r="2035" customFormat="false" ht="46.25" hidden="false" customHeight="false" outlineLevel="0" collapsed="false">
      <c r="A2035" s="5" t="s">
        <v>2442</v>
      </c>
      <c r="B2035" s="5" t="s">
        <v>1203</v>
      </c>
      <c r="C2035" s="5" t="s">
        <v>1295</v>
      </c>
      <c r="D2035" s="5" t="s">
        <v>1296</v>
      </c>
      <c r="E2035" s="6" t="s">
        <v>2353</v>
      </c>
      <c r="F2035" s="6" t="s">
        <v>1555</v>
      </c>
      <c r="G2035" s="6" t="s">
        <v>2354</v>
      </c>
      <c r="H2035" s="5"/>
      <c r="I2035" s="6" t="s">
        <v>2343</v>
      </c>
    </row>
    <row r="2036" customFormat="false" ht="46.25" hidden="false" customHeight="false" outlineLevel="0" collapsed="false">
      <c r="A2036" s="5" t="s">
        <v>2442</v>
      </c>
      <c r="B2036" s="5" t="s">
        <v>1203</v>
      </c>
      <c r="C2036" s="5" t="s">
        <v>1295</v>
      </c>
      <c r="D2036" s="5" t="s">
        <v>1296</v>
      </c>
      <c r="E2036" s="6" t="s">
        <v>2355</v>
      </c>
      <c r="F2036" s="6" t="s">
        <v>1555</v>
      </c>
      <c r="G2036" s="6" t="s">
        <v>2447</v>
      </c>
      <c r="H2036" s="5"/>
      <c r="I2036" s="6" t="s">
        <v>2343</v>
      </c>
    </row>
    <row r="2037" customFormat="false" ht="46.25" hidden="false" customHeight="false" outlineLevel="0" collapsed="false">
      <c r="A2037" s="5" t="s">
        <v>2448</v>
      </c>
      <c r="B2037" s="5" t="s">
        <v>1203</v>
      </c>
      <c r="C2037" s="5" t="s">
        <v>1299</v>
      </c>
      <c r="D2037" s="5" t="s">
        <v>822</v>
      </c>
      <c r="E2037" s="6" t="s">
        <v>2340</v>
      </c>
      <c r="F2037" s="6" t="s">
        <v>2341</v>
      </c>
      <c r="G2037" s="6" t="s">
        <v>2449</v>
      </c>
      <c r="H2037" s="5"/>
      <c r="I2037" s="6" t="s">
        <v>2343</v>
      </c>
    </row>
    <row r="2038" customFormat="false" ht="46.25" hidden="false" customHeight="false" outlineLevel="0" collapsed="false">
      <c r="A2038" s="5" t="s">
        <v>2448</v>
      </c>
      <c r="B2038" s="5" t="s">
        <v>1203</v>
      </c>
      <c r="C2038" s="5" t="s">
        <v>1299</v>
      </c>
      <c r="D2038" s="5" t="s">
        <v>822</v>
      </c>
      <c r="E2038" s="6" t="s">
        <v>2344</v>
      </c>
      <c r="F2038" s="6" t="s">
        <v>1555</v>
      </c>
      <c r="G2038" s="6" t="s">
        <v>2401</v>
      </c>
      <c r="H2038" s="5"/>
      <c r="I2038" s="6" t="s">
        <v>2343</v>
      </c>
    </row>
    <row r="2039" customFormat="false" ht="46.25" hidden="false" customHeight="false" outlineLevel="0" collapsed="false">
      <c r="A2039" s="5" t="s">
        <v>2448</v>
      </c>
      <c r="B2039" s="5" t="s">
        <v>1203</v>
      </c>
      <c r="C2039" s="5" t="s">
        <v>1299</v>
      </c>
      <c r="D2039" s="5" t="s">
        <v>822</v>
      </c>
      <c r="E2039" s="6" t="s">
        <v>2346</v>
      </c>
      <c r="F2039" s="6" t="s">
        <v>1555</v>
      </c>
      <c r="G2039" s="6" t="s">
        <v>1635</v>
      </c>
      <c r="H2039" s="5"/>
      <c r="I2039" s="6" t="s">
        <v>2343</v>
      </c>
    </row>
    <row r="2040" customFormat="false" ht="46.25" hidden="false" customHeight="false" outlineLevel="0" collapsed="false">
      <c r="A2040" s="5" t="s">
        <v>2448</v>
      </c>
      <c r="B2040" s="5" t="s">
        <v>1203</v>
      </c>
      <c r="C2040" s="5" t="s">
        <v>1299</v>
      </c>
      <c r="D2040" s="5" t="s">
        <v>822</v>
      </c>
      <c r="E2040" s="6" t="s">
        <v>2347</v>
      </c>
      <c r="F2040" s="6" t="s">
        <v>2348</v>
      </c>
      <c r="G2040" s="6" t="s">
        <v>1613</v>
      </c>
      <c r="H2040" s="5"/>
      <c r="I2040" s="6" t="s">
        <v>2343</v>
      </c>
    </row>
    <row r="2041" customFormat="false" ht="46.25" hidden="false" customHeight="false" outlineLevel="0" collapsed="false">
      <c r="A2041" s="5" t="s">
        <v>2448</v>
      </c>
      <c r="B2041" s="5" t="s">
        <v>1203</v>
      </c>
      <c r="C2041" s="5" t="s">
        <v>1299</v>
      </c>
      <c r="D2041" s="5" t="s">
        <v>822</v>
      </c>
      <c r="E2041" s="6" t="s">
        <v>2349</v>
      </c>
      <c r="F2041" s="6" t="s">
        <v>1555</v>
      </c>
      <c r="G2041" s="6" t="s">
        <v>1697</v>
      </c>
      <c r="H2041" s="5"/>
      <c r="I2041" s="6" t="s">
        <v>2343</v>
      </c>
    </row>
    <row r="2042" customFormat="false" ht="46.25" hidden="false" customHeight="false" outlineLevel="0" collapsed="false">
      <c r="A2042" s="5" t="s">
        <v>2448</v>
      </c>
      <c r="B2042" s="5" t="s">
        <v>1203</v>
      </c>
      <c r="C2042" s="5" t="s">
        <v>1299</v>
      </c>
      <c r="D2042" s="5" t="s">
        <v>822</v>
      </c>
      <c r="E2042" s="6" t="s">
        <v>2351</v>
      </c>
      <c r="F2042" s="6" t="s">
        <v>1555</v>
      </c>
      <c r="G2042" s="6" t="s">
        <v>2450</v>
      </c>
      <c r="H2042" s="5"/>
      <c r="I2042" s="6" t="s">
        <v>2343</v>
      </c>
    </row>
    <row r="2043" customFormat="false" ht="46.25" hidden="false" customHeight="false" outlineLevel="0" collapsed="false">
      <c r="A2043" s="5" t="s">
        <v>2448</v>
      </c>
      <c r="B2043" s="5" t="s">
        <v>1203</v>
      </c>
      <c r="C2043" s="5" t="s">
        <v>1299</v>
      </c>
      <c r="D2043" s="5" t="s">
        <v>822</v>
      </c>
      <c r="E2043" s="6" t="s">
        <v>2353</v>
      </c>
      <c r="F2043" s="6" t="s">
        <v>1555</v>
      </c>
      <c r="G2043" s="6" t="s">
        <v>2381</v>
      </c>
      <c r="H2043" s="5"/>
      <c r="I2043" s="6" t="s">
        <v>2343</v>
      </c>
    </row>
    <row r="2044" customFormat="false" ht="46.25" hidden="false" customHeight="false" outlineLevel="0" collapsed="false">
      <c r="A2044" s="5" t="s">
        <v>2448</v>
      </c>
      <c r="B2044" s="5" t="s">
        <v>1203</v>
      </c>
      <c r="C2044" s="5" t="s">
        <v>1299</v>
      </c>
      <c r="D2044" s="5" t="s">
        <v>822</v>
      </c>
      <c r="E2044" s="6" t="s">
        <v>2355</v>
      </c>
      <c r="F2044" s="6" t="s">
        <v>1555</v>
      </c>
      <c r="G2044" s="6" t="s">
        <v>2451</v>
      </c>
      <c r="H2044" s="5"/>
      <c r="I2044" s="6" t="s">
        <v>2343</v>
      </c>
    </row>
    <row r="2045" customFormat="false" ht="46.25" hidden="false" customHeight="false" outlineLevel="0" collapsed="false">
      <c r="A2045" s="5" t="s">
        <v>2452</v>
      </c>
      <c r="B2045" s="5" t="s">
        <v>1203</v>
      </c>
      <c r="C2045" s="5" t="s">
        <v>1304</v>
      </c>
      <c r="D2045" s="5" t="s">
        <v>806</v>
      </c>
      <c r="E2045" s="6" t="s">
        <v>2340</v>
      </c>
      <c r="F2045" s="6" t="s">
        <v>2341</v>
      </c>
      <c r="G2045" s="6" t="s">
        <v>2453</v>
      </c>
      <c r="H2045" s="5"/>
      <c r="I2045" s="6" t="s">
        <v>2343</v>
      </c>
    </row>
    <row r="2046" customFormat="false" ht="46.25" hidden="false" customHeight="false" outlineLevel="0" collapsed="false">
      <c r="A2046" s="5" t="s">
        <v>2452</v>
      </c>
      <c r="B2046" s="5" t="s">
        <v>1203</v>
      </c>
      <c r="C2046" s="5" t="s">
        <v>1304</v>
      </c>
      <c r="D2046" s="5" t="s">
        <v>806</v>
      </c>
      <c r="E2046" s="6" t="s">
        <v>2344</v>
      </c>
      <c r="F2046" s="6" t="s">
        <v>1555</v>
      </c>
      <c r="G2046" s="6" t="s">
        <v>2454</v>
      </c>
      <c r="H2046" s="5"/>
      <c r="I2046" s="6" t="s">
        <v>2343</v>
      </c>
    </row>
    <row r="2047" customFormat="false" ht="46.25" hidden="false" customHeight="false" outlineLevel="0" collapsed="false">
      <c r="A2047" s="5" t="s">
        <v>2452</v>
      </c>
      <c r="B2047" s="5" t="s">
        <v>1203</v>
      </c>
      <c r="C2047" s="5" t="s">
        <v>1304</v>
      </c>
      <c r="D2047" s="5" t="s">
        <v>806</v>
      </c>
      <c r="E2047" s="6" t="s">
        <v>2346</v>
      </c>
      <c r="F2047" s="6" t="s">
        <v>1555</v>
      </c>
      <c r="G2047" s="6" t="s">
        <v>2064</v>
      </c>
      <c r="H2047" s="5"/>
      <c r="I2047" s="6" t="s">
        <v>2343</v>
      </c>
    </row>
    <row r="2048" customFormat="false" ht="46.25" hidden="false" customHeight="false" outlineLevel="0" collapsed="false">
      <c r="A2048" s="5" t="s">
        <v>2452</v>
      </c>
      <c r="B2048" s="5" t="s">
        <v>1203</v>
      </c>
      <c r="C2048" s="5" t="s">
        <v>1304</v>
      </c>
      <c r="D2048" s="5" t="s">
        <v>806</v>
      </c>
      <c r="E2048" s="6" t="s">
        <v>2347</v>
      </c>
      <c r="F2048" s="6" t="s">
        <v>2348</v>
      </c>
      <c r="G2048" s="6" t="s">
        <v>2064</v>
      </c>
      <c r="H2048" s="5"/>
      <c r="I2048" s="6" t="s">
        <v>2343</v>
      </c>
    </row>
    <row r="2049" customFormat="false" ht="46.25" hidden="false" customHeight="false" outlineLevel="0" collapsed="false">
      <c r="A2049" s="5" t="s">
        <v>2452</v>
      </c>
      <c r="B2049" s="5" t="s">
        <v>1203</v>
      </c>
      <c r="C2049" s="5" t="s">
        <v>1304</v>
      </c>
      <c r="D2049" s="5" t="s">
        <v>806</v>
      </c>
      <c r="E2049" s="6" t="s">
        <v>2349</v>
      </c>
      <c r="F2049" s="6" t="s">
        <v>1555</v>
      </c>
      <c r="G2049" s="6" t="s">
        <v>2455</v>
      </c>
      <c r="H2049" s="5"/>
      <c r="I2049" s="6" t="s">
        <v>2343</v>
      </c>
    </row>
    <row r="2050" customFormat="false" ht="46.25" hidden="false" customHeight="false" outlineLevel="0" collapsed="false">
      <c r="A2050" s="5" t="s">
        <v>2452</v>
      </c>
      <c r="B2050" s="5" t="s">
        <v>1203</v>
      </c>
      <c r="C2050" s="5" t="s">
        <v>1304</v>
      </c>
      <c r="D2050" s="5" t="s">
        <v>806</v>
      </c>
      <c r="E2050" s="6" t="s">
        <v>2351</v>
      </c>
      <c r="F2050" s="6" t="s">
        <v>1555</v>
      </c>
      <c r="G2050" s="6" t="s">
        <v>2456</v>
      </c>
      <c r="H2050" s="5"/>
      <c r="I2050" s="6" t="s">
        <v>2343</v>
      </c>
    </row>
    <row r="2051" customFormat="false" ht="46.25" hidden="false" customHeight="false" outlineLevel="0" collapsed="false">
      <c r="A2051" s="5" t="s">
        <v>2452</v>
      </c>
      <c r="B2051" s="5" t="s">
        <v>1203</v>
      </c>
      <c r="C2051" s="5" t="s">
        <v>1304</v>
      </c>
      <c r="D2051" s="5" t="s">
        <v>806</v>
      </c>
      <c r="E2051" s="6" t="s">
        <v>2353</v>
      </c>
      <c r="F2051" s="6" t="s">
        <v>1555</v>
      </c>
      <c r="G2051" s="6" t="s">
        <v>2457</v>
      </c>
      <c r="H2051" s="5"/>
      <c r="I2051" s="6" t="s">
        <v>2343</v>
      </c>
    </row>
    <row r="2052" customFormat="false" ht="46.25" hidden="false" customHeight="false" outlineLevel="0" collapsed="false">
      <c r="A2052" s="5" t="s">
        <v>2452</v>
      </c>
      <c r="B2052" s="5" t="s">
        <v>1203</v>
      </c>
      <c r="C2052" s="5" t="s">
        <v>1304</v>
      </c>
      <c r="D2052" s="5" t="s">
        <v>806</v>
      </c>
      <c r="E2052" s="6" t="s">
        <v>2355</v>
      </c>
      <c r="F2052" s="6" t="s">
        <v>1555</v>
      </c>
      <c r="G2052" s="6" t="s">
        <v>2458</v>
      </c>
      <c r="H2052" s="5"/>
      <c r="I2052" s="6" t="s">
        <v>2343</v>
      </c>
    </row>
    <row r="2053" customFormat="false" ht="46.25" hidden="false" customHeight="false" outlineLevel="0" collapsed="false">
      <c r="A2053" s="5" t="s">
        <v>2459</v>
      </c>
      <c r="B2053" s="5" t="s">
        <v>1203</v>
      </c>
      <c r="C2053" s="5" t="s">
        <v>1307</v>
      </c>
      <c r="D2053" s="5" t="s">
        <v>826</v>
      </c>
      <c r="E2053" s="6" t="s">
        <v>2340</v>
      </c>
      <c r="F2053" s="6" t="s">
        <v>2341</v>
      </c>
      <c r="G2053" s="6" t="s">
        <v>2460</v>
      </c>
      <c r="H2053" s="5"/>
      <c r="I2053" s="6" t="s">
        <v>2343</v>
      </c>
    </row>
    <row r="2054" customFormat="false" ht="46.25" hidden="false" customHeight="false" outlineLevel="0" collapsed="false">
      <c r="A2054" s="5" t="s">
        <v>2459</v>
      </c>
      <c r="B2054" s="5" t="s">
        <v>1203</v>
      </c>
      <c r="C2054" s="5" t="s">
        <v>1307</v>
      </c>
      <c r="D2054" s="5" t="s">
        <v>826</v>
      </c>
      <c r="E2054" s="6" t="s">
        <v>2344</v>
      </c>
      <c r="F2054" s="6" t="s">
        <v>1555</v>
      </c>
      <c r="G2054" s="6" t="s">
        <v>2354</v>
      </c>
      <c r="H2054" s="5"/>
      <c r="I2054" s="6" t="s">
        <v>2343</v>
      </c>
    </row>
    <row r="2055" customFormat="false" ht="46.25" hidden="false" customHeight="false" outlineLevel="0" collapsed="false">
      <c r="A2055" s="5" t="s">
        <v>2459</v>
      </c>
      <c r="B2055" s="5" t="s">
        <v>1203</v>
      </c>
      <c r="C2055" s="5" t="s">
        <v>1307</v>
      </c>
      <c r="D2055" s="5" t="s">
        <v>826</v>
      </c>
      <c r="E2055" s="6" t="s">
        <v>2346</v>
      </c>
      <c r="F2055" s="6" t="s">
        <v>1555</v>
      </c>
      <c r="G2055" s="6" t="s">
        <v>1618</v>
      </c>
      <c r="H2055" s="5"/>
      <c r="I2055" s="6" t="s">
        <v>2343</v>
      </c>
    </row>
    <row r="2056" customFormat="false" ht="46.25" hidden="false" customHeight="false" outlineLevel="0" collapsed="false">
      <c r="A2056" s="5" t="s">
        <v>2459</v>
      </c>
      <c r="B2056" s="5" t="s">
        <v>1203</v>
      </c>
      <c r="C2056" s="5" t="s">
        <v>1307</v>
      </c>
      <c r="D2056" s="5" t="s">
        <v>826</v>
      </c>
      <c r="E2056" s="6" t="s">
        <v>2347</v>
      </c>
      <c r="F2056" s="6" t="s">
        <v>2348</v>
      </c>
      <c r="G2056" s="6" t="s">
        <v>2064</v>
      </c>
      <c r="H2056" s="5"/>
      <c r="I2056" s="6" t="s">
        <v>2343</v>
      </c>
    </row>
    <row r="2057" customFormat="false" ht="46.25" hidden="false" customHeight="false" outlineLevel="0" collapsed="false">
      <c r="A2057" s="5" t="s">
        <v>2459</v>
      </c>
      <c r="B2057" s="5" t="s">
        <v>1203</v>
      </c>
      <c r="C2057" s="5" t="s">
        <v>1307</v>
      </c>
      <c r="D2057" s="5" t="s">
        <v>826</v>
      </c>
      <c r="E2057" s="6" t="s">
        <v>2349</v>
      </c>
      <c r="F2057" s="6" t="s">
        <v>1555</v>
      </c>
      <c r="G2057" s="6" t="s">
        <v>2461</v>
      </c>
      <c r="H2057" s="5"/>
      <c r="I2057" s="6" t="s">
        <v>2343</v>
      </c>
    </row>
    <row r="2058" customFormat="false" ht="46.25" hidden="false" customHeight="false" outlineLevel="0" collapsed="false">
      <c r="A2058" s="5" t="s">
        <v>2459</v>
      </c>
      <c r="B2058" s="5" t="s">
        <v>1203</v>
      </c>
      <c r="C2058" s="5" t="s">
        <v>1307</v>
      </c>
      <c r="D2058" s="5" t="s">
        <v>826</v>
      </c>
      <c r="E2058" s="6" t="s">
        <v>2351</v>
      </c>
      <c r="F2058" s="6" t="s">
        <v>1555</v>
      </c>
      <c r="G2058" s="6" t="s">
        <v>2462</v>
      </c>
      <c r="H2058" s="5"/>
      <c r="I2058" s="6" t="s">
        <v>2343</v>
      </c>
    </row>
    <row r="2059" customFormat="false" ht="46.25" hidden="false" customHeight="false" outlineLevel="0" collapsed="false">
      <c r="A2059" s="5" t="s">
        <v>2459</v>
      </c>
      <c r="B2059" s="5" t="s">
        <v>1203</v>
      </c>
      <c r="C2059" s="5" t="s">
        <v>1307</v>
      </c>
      <c r="D2059" s="5" t="s">
        <v>826</v>
      </c>
      <c r="E2059" s="6" t="s">
        <v>2353</v>
      </c>
      <c r="F2059" s="6" t="s">
        <v>1555</v>
      </c>
      <c r="G2059" s="6" t="s">
        <v>2407</v>
      </c>
      <c r="H2059" s="5"/>
      <c r="I2059" s="6" t="s">
        <v>2343</v>
      </c>
    </row>
    <row r="2060" customFormat="false" ht="46.25" hidden="false" customHeight="false" outlineLevel="0" collapsed="false">
      <c r="A2060" s="5" t="s">
        <v>2459</v>
      </c>
      <c r="B2060" s="5" t="s">
        <v>1203</v>
      </c>
      <c r="C2060" s="5" t="s">
        <v>1307</v>
      </c>
      <c r="D2060" s="5" t="s">
        <v>826</v>
      </c>
      <c r="E2060" s="6" t="s">
        <v>2355</v>
      </c>
      <c r="F2060" s="6" t="s">
        <v>1555</v>
      </c>
      <c r="G2060" s="6" t="s">
        <v>2463</v>
      </c>
      <c r="H2060" s="5"/>
      <c r="I2060" s="6" t="s">
        <v>2343</v>
      </c>
    </row>
    <row r="2061" customFormat="false" ht="46.25" hidden="false" customHeight="false" outlineLevel="0" collapsed="false">
      <c r="A2061" s="5" t="s">
        <v>2464</v>
      </c>
      <c r="B2061" s="5" t="s">
        <v>1203</v>
      </c>
      <c r="C2061" s="5" t="s">
        <v>1311</v>
      </c>
      <c r="D2061" s="5" t="s">
        <v>683</v>
      </c>
      <c r="E2061" s="6" t="s">
        <v>2340</v>
      </c>
      <c r="F2061" s="6" t="s">
        <v>2341</v>
      </c>
      <c r="G2061" s="6" t="s">
        <v>2465</v>
      </c>
      <c r="H2061" s="5"/>
      <c r="I2061" s="6" t="s">
        <v>2343</v>
      </c>
    </row>
    <row r="2062" customFormat="false" ht="46.25" hidden="false" customHeight="false" outlineLevel="0" collapsed="false">
      <c r="A2062" s="5" t="s">
        <v>2464</v>
      </c>
      <c r="B2062" s="5" t="s">
        <v>1203</v>
      </c>
      <c r="C2062" s="5" t="s">
        <v>1311</v>
      </c>
      <c r="D2062" s="5" t="s">
        <v>683</v>
      </c>
      <c r="E2062" s="6" t="s">
        <v>2344</v>
      </c>
      <c r="F2062" s="6" t="s">
        <v>1555</v>
      </c>
      <c r="G2062" s="6" t="s">
        <v>2359</v>
      </c>
      <c r="H2062" s="5"/>
      <c r="I2062" s="6" t="s">
        <v>2343</v>
      </c>
    </row>
    <row r="2063" customFormat="false" ht="46.25" hidden="false" customHeight="false" outlineLevel="0" collapsed="false">
      <c r="A2063" s="5" t="s">
        <v>2464</v>
      </c>
      <c r="B2063" s="5" t="s">
        <v>1203</v>
      </c>
      <c r="C2063" s="5" t="s">
        <v>1311</v>
      </c>
      <c r="D2063" s="5" t="s">
        <v>683</v>
      </c>
      <c r="E2063" s="6" t="s">
        <v>2346</v>
      </c>
      <c r="F2063" s="6" t="s">
        <v>1555</v>
      </c>
      <c r="G2063" s="6" t="s">
        <v>1618</v>
      </c>
      <c r="H2063" s="5"/>
      <c r="I2063" s="6" t="s">
        <v>2343</v>
      </c>
    </row>
    <row r="2064" customFormat="false" ht="46.25" hidden="false" customHeight="false" outlineLevel="0" collapsed="false">
      <c r="A2064" s="5" t="s">
        <v>2464</v>
      </c>
      <c r="B2064" s="5" t="s">
        <v>1203</v>
      </c>
      <c r="C2064" s="5" t="s">
        <v>1311</v>
      </c>
      <c r="D2064" s="5" t="s">
        <v>683</v>
      </c>
      <c r="E2064" s="6" t="s">
        <v>2347</v>
      </c>
      <c r="F2064" s="6" t="s">
        <v>2348</v>
      </c>
      <c r="G2064" s="6" t="s">
        <v>1618</v>
      </c>
      <c r="H2064" s="5"/>
      <c r="I2064" s="6" t="s">
        <v>2343</v>
      </c>
    </row>
    <row r="2065" customFormat="false" ht="46.25" hidden="false" customHeight="false" outlineLevel="0" collapsed="false">
      <c r="A2065" s="5" t="s">
        <v>2464</v>
      </c>
      <c r="B2065" s="5" t="s">
        <v>1203</v>
      </c>
      <c r="C2065" s="5" t="s">
        <v>1311</v>
      </c>
      <c r="D2065" s="5" t="s">
        <v>683</v>
      </c>
      <c r="E2065" s="6" t="s">
        <v>2349</v>
      </c>
      <c r="F2065" s="6" t="s">
        <v>1555</v>
      </c>
      <c r="G2065" s="6" t="s">
        <v>2396</v>
      </c>
      <c r="H2065" s="5"/>
      <c r="I2065" s="6" t="s">
        <v>2343</v>
      </c>
    </row>
    <row r="2066" customFormat="false" ht="46.25" hidden="false" customHeight="false" outlineLevel="0" collapsed="false">
      <c r="A2066" s="5" t="s">
        <v>2464</v>
      </c>
      <c r="B2066" s="5" t="s">
        <v>1203</v>
      </c>
      <c r="C2066" s="5" t="s">
        <v>1311</v>
      </c>
      <c r="D2066" s="5" t="s">
        <v>683</v>
      </c>
      <c r="E2066" s="6" t="s">
        <v>2351</v>
      </c>
      <c r="F2066" s="6" t="s">
        <v>1555</v>
      </c>
      <c r="G2066" s="6" t="s">
        <v>2466</v>
      </c>
      <c r="H2066" s="5"/>
      <c r="I2066" s="6" t="s">
        <v>2343</v>
      </c>
    </row>
    <row r="2067" customFormat="false" ht="46.25" hidden="false" customHeight="false" outlineLevel="0" collapsed="false">
      <c r="A2067" s="5" t="s">
        <v>2464</v>
      </c>
      <c r="B2067" s="5" t="s">
        <v>1203</v>
      </c>
      <c r="C2067" s="5" t="s">
        <v>1311</v>
      </c>
      <c r="D2067" s="5" t="s">
        <v>683</v>
      </c>
      <c r="E2067" s="6" t="s">
        <v>2353</v>
      </c>
      <c r="F2067" s="6" t="s">
        <v>1555</v>
      </c>
      <c r="G2067" s="6" t="s">
        <v>2362</v>
      </c>
      <c r="H2067" s="5"/>
      <c r="I2067" s="6" t="s">
        <v>2343</v>
      </c>
    </row>
    <row r="2068" customFormat="false" ht="46.25" hidden="false" customHeight="false" outlineLevel="0" collapsed="false">
      <c r="A2068" s="5" t="s">
        <v>2464</v>
      </c>
      <c r="B2068" s="5" t="s">
        <v>1203</v>
      </c>
      <c r="C2068" s="5" t="s">
        <v>1311</v>
      </c>
      <c r="D2068" s="5" t="s">
        <v>683</v>
      </c>
      <c r="E2068" s="6" t="s">
        <v>2355</v>
      </c>
      <c r="F2068" s="6" t="s">
        <v>1555</v>
      </c>
      <c r="G2068" s="6" t="s">
        <v>2467</v>
      </c>
      <c r="H2068" s="5"/>
      <c r="I2068" s="6" t="s">
        <v>2343</v>
      </c>
    </row>
    <row r="2069" customFormat="false" ht="46.25" hidden="false" customHeight="false" outlineLevel="0" collapsed="false">
      <c r="A2069" s="5" t="s">
        <v>2468</v>
      </c>
      <c r="B2069" s="5" t="s">
        <v>1203</v>
      </c>
      <c r="C2069" s="5" t="s">
        <v>1314</v>
      </c>
      <c r="D2069" s="5" t="s">
        <v>688</v>
      </c>
      <c r="E2069" s="6" t="s">
        <v>2340</v>
      </c>
      <c r="F2069" s="6" t="s">
        <v>2341</v>
      </c>
      <c r="G2069" s="6" t="s">
        <v>2469</v>
      </c>
      <c r="H2069" s="5"/>
      <c r="I2069" s="6" t="s">
        <v>2343</v>
      </c>
    </row>
    <row r="2070" customFormat="false" ht="46.25" hidden="false" customHeight="false" outlineLevel="0" collapsed="false">
      <c r="A2070" s="5" t="s">
        <v>2468</v>
      </c>
      <c r="B2070" s="5" t="s">
        <v>1203</v>
      </c>
      <c r="C2070" s="5" t="s">
        <v>1314</v>
      </c>
      <c r="D2070" s="5" t="s">
        <v>688</v>
      </c>
      <c r="E2070" s="6" t="s">
        <v>2344</v>
      </c>
      <c r="F2070" s="6" t="s">
        <v>1555</v>
      </c>
      <c r="G2070" s="6" t="s">
        <v>2370</v>
      </c>
      <c r="H2070" s="5"/>
      <c r="I2070" s="6" t="s">
        <v>2343</v>
      </c>
    </row>
    <row r="2071" customFormat="false" ht="46.25" hidden="false" customHeight="false" outlineLevel="0" collapsed="false">
      <c r="A2071" s="5" t="s">
        <v>2468</v>
      </c>
      <c r="B2071" s="5" t="s">
        <v>1203</v>
      </c>
      <c r="C2071" s="5" t="s">
        <v>1314</v>
      </c>
      <c r="D2071" s="5" t="s">
        <v>688</v>
      </c>
      <c r="E2071" s="6" t="s">
        <v>2346</v>
      </c>
      <c r="F2071" s="6" t="s">
        <v>1555</v>
      </c>
      <c r="G2071" s="6" t="s">
        <v>1618</v>
      </c>
      <c r="H2071" s="5"/>
      <c r="I2071" s="6" t="s">
        <v>2343</v>
      </c>
    </row>
    <row r="2072" customFormat="false" ht="46.25" hidden="false" customHeight="false" outlineLevel="0" collapsed="false">
      <c r="A2072" s="5" t="s">
        <v>2468</v>
      </c>
      <c r="B2072" s="5" t="s">
        <v>1203</v>
      </c>
      <c r="C2072" s="5" t="s">
        <v>1314</v>
      </c>
      <c r="D2072" s="5" t="s">
        <v>688</v>
      </c>
      <c r="E2072" s="6" t="s">
        <v>2347</v>
      </c>
      <c r="F2072" s="6" t="s">
        <v>2348</v>
      </c>
      <c r="G2072" s="6" t="s">
        <v>1635</v>
      </c>
      <c r="H2072" s="5"/>
      <c r="I2072" s="6" t="s">
        <v>2343</v>
      </c>
    </row>
    <row r="2073" customFormat="false" ht="46.25" hidden="false" customHeight="false" outlineLevel="0" collapsed="false">
      <c r="A2073" s="5" t="s">
        <v>2468</v>
      </c>
      <c r="B2073" s="5" t="s">
        <v>1203</v>
      </c>
      <c r="C2073" s="5" t="s">
        <v>1314</v>
      </c>
      <c r="D2073" s="5" t="s">
        <v>688</v>
      </c>
      <c r="E2073" s="6" t="s">
        <v>2349</v>
      </c>
      <c r="F2073" s="6" t="s">
        <v>1555</v>
      </c>
      <c r="G2073" s="6" t="s">
        <v>2470</v>
      </c>
      <c r="H2073" s="5"/>
      <c r="I2073" s="6" t="s">
        <v>2343</v>
      </c>
    </row>
    <row r="2074" customFormat="false" ht="46.25" hidden="false" customHeight="false" outlineLevel="0" collapsed="false">
      <c r="A2074" s="5" t="s">
        <v>2468</v>
      </c>
      <c r="B2074" s="5" t="s">
        <v>1203</v>
      </c>
      <c r="C2074" s="5" t="s">
        <v>1314</v>
      </c>
      <c r="D2074" s="5" t="s">
        <v>688</v>
      </c>
      <c r="E2074" s="6" t="s">
        <v>2351</v>
      </c>
      <c r="F2074" s="6" t="s">
        <v>1555</v>
      </c>
      <c r="G2074" s="6" t="s">
        <v>2471</v>
      </c>
      <c r="H2074" s="5"/>
      <c r="I2074" s="6" t="s">
        <v>2343</v>
      </c>
    </row>
    <row r="2075" customFormat="false" ht="46.25" hidden="false" customHeight="false" outlineLevel="0" collapsed="false">
      <c r="A2075" s="5" t="s">
        <v>2468</v>
      </c>
      <c r="B2075" s="5" t="s">
        <v>1203</v>
      </c>
      <c r="C2075" s="5" t="s">
        <v>1314</v>
      </c>
      <c r="D2075" s="5" t="s">
        <v>688</v>
      </c>
      <c r="E2075" s="6" t="s">
        <v>2353</v>
      </c>
      <c r="F2075" s="6" t="s">
        <v>1555</v>
      </c>
      <c r="G2075" s="6" t="s">
        <v>2370</v>
      </c>
      <c r="H2075" s="5"/>
      <c r="I2075" s="6" t="s">
        <v>2343</v>
      </c>
    </row>
    <row r="2076" customFormat="false" ht="46.25" hidden="false" customHeight="false" outlineLevel="0" collapsed="false">
      <c r="A2076" s="5" t="s">
        <v>2468</v>
      </c>
      <c r="B2076" s="5" t="s">
        <v>1203</v>
      </c>
      <c r="C2076" s="5" t="s">
        <v>1314</v>
      </c>
      <c r="D2076" s="5" t="s">
        <v>688</v>
      </c>
      <c r="E2076" s="6" t="s">
        <v>2355</v>
      </c>
      <c r="F2076" s="6" t="s">
        <v>1555</v>
      </c>
      <c r="G2076" s="6" t="s">
        <v>2472</v>
      </c>
      <c r="H2076" s="5"/>
      <c r="I2076" s="6" t="s">
        <v>2343</v>
      </c>
    </row>
    <row r="2077" customFormat="false" ht="46.25" hidden="false" customHeight="false" outlineLevel="0" collapsed="false">
      <c r="A2077" s="5" t="s">
        <v>2473</v>
      </c>
      <c r="B2077" s="5" t="s">
        <v>1203</v>
      </c>
      <c r="C2077" s="5" t="s">
        <v>1317</v>
      </c>
      <c r="D2077" s="5" t="s">
        <v>693</v>
      </c>
      <c r="E2077" s="6" t="s">
        <v>2340</v>
      </c>
      <c r="F2077" s="6" t="s">
        <v>2341</v>
      </c>
      <c r="G2077" s="6" t="s">
        <v>2474</v>
      </c>
      <c r="H2077" s="5"/>
      <c r="I2077" s="6" t="s">
        <v>2343</v>
      </c>
    </row>
    <row r="2078" customFormat="false" ht="46.25" hidden="false" customHeight="false" outlineLevel="0" collapsed="false">
      <c r="A2078" s="5" t="s">
        <v>2473</v>
      </c>
      <c r="B2078" s="5" t="s">
        <v>1203</v>
      </c>
      <c r="C2078" s="5" t="s">
        <v>1317</v>
      </c>
      <c r="D2078" s="5" t="s">
        <v>693</v>
      </c>
      <c r="E2078" s="6" t="s">
        <v>2344</v>
      </c>
      <c r="F2078" s="6" t="s">
        <v>1555</v>
      </c>
      <c r="G2078" s="6" t="s">
        <v>2362</v>
      </c>
      <c r="H2078" s="5"/>
      <c r="I2078" s="6" t="s">
        <v>2343</v>
      </c>
    </row>
    <row r="2079" customFormat="false" ht="46.25" hidden="false" customHeight="false" outlineLevel="0" collapsed="false">
      <c r="A2079" s="5" t="s">
        <v>2473</v>
      </c>
      <c r="B2079" s="5" t="s">
        <v>1203</v>
      </c>
      <c r="C2079" s="5" t="s">
        <v>1317</v>
      </c>
      <c r="D2079" s="5" t="s">
        <v>693</v>
      </c>
      <c r="E2079" s="6" t="s">
        <v>2346</v>
      </c>
      <c r="F2079" s="6" t="s">
        <v>1555</v>
      </c>
      <c r="G2079" s="6" t="s">
        <v>1618</v>
      </c>
      <c r="H2079" s="5"/>
      <c r="I2079" s="6" t="s">
        <v>2343</v>
      </c>
    </row>
    <row r="2080" customFormat="false" ht="46.25" hidden="false" customHeight="false" outlineLevel="0" collapsed="false">
      <c r="A2080" s="5" t="s">
        <v>2473</v>
      </c>
      <c r="B2080" s="5" t="s">
        <v>1203</v>
      </c>
      <c r="C2080" s="5" t="s">
        <v>1317</v>
      </c>
      <c r="D2080" s="5" t="s">
        <v>693</v>
      </c>
      <c r="E2080" s="6" t="s">
        <v>2347</v>
      </c>
      <c r="F2080" s="6" t="s">
        <v>2348</v>
      </c>
      <c r="G2080" s="6" t="s">
        <v>2064</v>
      </c>
      <c r="H2080" s="5"/>
      <c r="I2080" s="6" t="s">
        <v>2343</v>
      </c>
    </row>
    <row r="2081" customFormat="false" ht="46.25" hidden="false" customHeight="false" outlineLevel="0" collapsed="false">
      <c r="A2081" s="5" t="s">
        <v>2473</v>
      </c>
      <c r="B2081" s="5" t="s">
        <v>1203</v>
      </c>
      <c r="C2081" s="5" t="s">
        <v>1317</v>
      </c>
      <c r="D2081" s="5" t="s">
        <v>693</v>
      </c>
      <c r="E2081" s="6" t="s">
        <v>2349</v>
      </c>
      <c r="F2081" s="6" t="s">
        <v>1555</v>
      </c>
      <c r="G2081" s="6" t="s">
        <v>2475</v>
      </c>
      <c r="H2081" s="5"/>
      <c r="I2081" s="6" t="s">
        <v>2343</v>
      </c>
    </row>
    <row r="2082" customFormat="false" ht="46.25" hidden="false" customHeight="false" outlineLevel="0" collapsed="false">
      <c r="A2082" s="5" t="s">
        <v>2473</v>
      </c>
      <c r="B2082" s="5" t="s">
        <v>1203</v>
      </c>
      <c r="C2082" s="5" t="s">
        <v>1317</v>
      </c>
      <c r="D2082" s="5" t="s">
        <v>693</v>
      </c>
      <c r="E2082" s="6" t="s">
        <v>2351</v>
      </c>
      <c r="F2082" s="6" t="s">
        <v>1555</v>
      </c>
      <c r="G2082" s="6" t="s">
        <v>2476</v>
      </c>
      <c r="H2082" s="5"/>
      <c r="I2082" s="6" t="s">
        <v>2343</v>
      </c>
    </row>
    <row r="2083" customFormat="false" ht="46.25" hidden="false" customHeight="false" outlineLevel="0" collapsed="false">
      <c r="A2083" s="5" t="s">
        <v>2473</v>
      </c>
      <c r="B2083" s="5" t="s">
        <v>1203</v>
      </c>
      <c r="C2083" s="5" t="s">
        <v>1317</v>
      </c>
      <c r="D2083" s="5" t="s">
        <v>693</v>
      </c>
      <c r="E2083" s="6" t="s">
        <v>2353</v>
      </c>
      <c r="F2083" s="6" t="s">
        <v>1555</v>
      </c>
      <c r="G2083" s="6" t="s">
        <v>2362</v>
      </c>
      <c r="H2083" s="5"/>
      <c r="I2083" s="6" t="s">
        <v>2343</v>
      </c>
    </row>
    <row r="2084" customFormat="false" ht="46.25" hidden="false" customHeight="false" outlineLevel="0" collapsed="false">
      <c r="A2084" s="5" t="s">
        <v>2473</v>
      </c>
      <c r="B2084" s="5" t="s">
        <v>1203</v>
      </c>
      <c r="C2084" s="5" t="s">
        <v>1317</v>
      </c>
      <c r="D2084" s="5" t="s">
        <v>693</v>
      </c>
      <c r="E2084" s="6" t="s">
        <v>2355</v>
      </c>
      <c r="F2084" s="6" t="s">
        <v>1555</v>
      </c>
      <c r="G2084" s="6" t="s">
        <v>2477</v>
      </c>
      <c r="H2084" s="5"/>
      <c r="I2084" s="6" t="s">
        <v>2343</v>
      </c>
    </row>
    <row r="2085" customFormat="false" ht="57.45" hidden="false" customHeight="false" outlineLevel="0" collapsed="false">
      <c r="A2085" s="5" t="s">
        <v>2478</v>
      </c>
      <c r="B2085" s="5" t="s">
        <v>1203</v>
      </c>
      <c r="C2085" s="5" t="s">
        <v>1321</v>
      </c>
      <c r="D2085" s="5" t="s">
        <v>849</v>
      </c>
      <c r="E2085" s="6" t="s">
        <v>2340</v>
      </c>
      <c r="F2085" s="6" t="s">
        <v>2479</v>
      </c>
      <c r="G2085" s="6" t="s">
        <v>2480</v>
      </c>
      <c r="H2085" s="5"/>
      <c r="I2085" s="6" t="s">
        <v>2481</v>
      </c>
    </row>
    <row r="2086" customFormat="false" ht="57.45" hidden="false" customHeight="false" outlineLevel="0" collapsed="false">
      <c r="A2086" s="5" t="s">
        <v>2478</v>
      </c>
      <c r="B2086" s="5" t="s">
        <v>1203</v>
      </c>
      <c r="C2086" s="5" t="s">
        <v>1321</v>
      </c>
      <c r="D2086" s="5" t="s">
        <v>849</v>
      </c>
      <c r="E2086" s="6" t="s">
        <v>2344</v>
      </c>
      <c r="F2086" s="6" t="s">
        <v>1555</v>
      </c>
      <c r="G2086" s="6" t="s">
        <v>2482</v>
      </c>
      <c r="H2086" s="5"/>
      <c r="I2086" s="6" t="s">
        <v>2481</v>
      </c>
    </row>
    <row r="2087" customFormat="false" ht="57.45" hidden="false" customHeight="false" outlineLevel="0" collapsed="false">
      <c r="A2087" s="5" t="s">
        <v>2478</v>
      </c>
      <c r="B2087" s="5" t="s">
        <v>1203</v>
      </c>
      <c r="C2087" s="5" t="s">
        <v>1321</v>
      </c>
      <c r="D2087" s="5" t="s">
        <v>849</v>
      </c>
      <c r="E2087" s="6" t="s">
        <v>2346</v>
      </c>
      <c r="F2087" s="6" t="s">
        <v>1555</v>
      </c>
      <c r="G2087" s="6" t="s">
        <v>2064</v>
      </c>
      <c r="H2087" s="5"/>
      <c r="I2087" s="6" t="s">
        <v>2481</v>
      </c>
    </row>
    <row r="2088" customFormat="false" ht="57.45" hidden="false" customHeight="false" outlineLevel="0" collapsed="false">
      <c r="A2088" s="5" t="s">
        <v>2478</v>
      </c>
      <c r="B2088" s="5" t="s">
        <v>1203</v>
      </c>
      <c r="C2088" s="5" t="s">
        <v>1321</v>
      </c>
      <c r="D2088" s="5" t="s">
        <v>849</v>
      </c>
      <c r="E2088" s="6" t="s">
        <v>2347</v>
      </c>
      <c r="F2088" s="6" t="s">
        <v>2483</v>
      </c>
      <c r="G2088" s="6" t="s">
        <v>2484</v>
      </c>
      <c r="H2088" s="5"/>
      <c r="I2088" s="6" t="s">
        <v>2481</v>
      </c>
    </row>
    <row r="2089" customFormat="false" ht="57.45" hidden="false" customHeight="false" outlineLevel="0" collapsed="false">
      <c r="A2089" s="5" t="s">
        <v>2478</v>
      </c>
      <c r="B2089" s="5" t="s">
        <v>1203</v>
      </c>
      <c r="C2089" s="5" t="s">
        <v>1321</v>
      </c>
      <c r="D2089" s="5" t="s">
        <v>849</v>
      </c>
      <c r="E2089" s="6" t="s">
        <v>2349</v>
      </c>
      <c r="F2089" s="6" t="s">
        <v>1555</v>
      </c>
      <c r="G2089" s="6" t="s">
        <v>2485</v>
      </c>
      <c r="H2089" s="5"/>
      <c r="I2089" s="6" t="s">
        <v>2481</v>
      </c>
    </row>
    <row r="2090" customFormat="false" ht="57.45" hidden="false" customHeight="false" outlineLevel="0" collapsed="false">
      <c r="A2090" s="5" t="s">
        <v>2478</v>
      </c>
      <c r="B2090" s="5" t="s">
        <v>1203</v>
      </c>
      <c r="C2090" s="5" t="s">
        <v>1321</v>
      </c>
      <c r="D2090" s="5" t="s">
        <v>849</v>
      </c>
      <c r="E2090" s="6" t="s">
        <v>2351</v>
      </c>
      <c r="F2090" s="6" t="s">
        <v>1555</v>
      </c>
      <c r="G2090" s="6" t="s">
        <v>2486</v>
      </c>
      <c r="H2090" s="5"/>
      <c r="I2090" s="6" t="s">
        <v>2481</v>
      </c>
    </row>
    <row r="2091" customFormat="false" ht="57.45" hidden="false" customHeight="false" outlineLevel="0" collapsed="false">
      <c r="A2091" s="5" t="s">
        <v>2478</v>
      </c>
      <c r="B2091" s="5" t="s">
        <v>1203</v>
      </c>
      <c r="C2091" s="5" t="s">
        <v>1321</v>
      </c>
      <c r="D2091" s="5" t="s">
        <v>849</v>
      </c>
      <c r="E2091" s="6" t="s">
        <v>2487</v>
      </c>
      <c r="F2091" s="6" t="s">
        <v>1555</v>
      </c>
      <c r="G2091" s="6" t="s">
        <v>2488</v>
      </c>
      <c r="H2091" s="5"/>
      <c r="I2091" s="6" t="s">
        <v>2481</v>
      </c>
    </row>
    <row r="2092" customFormat="false" ht="57.45" hidden="false" customHeight="false" outlineLevel="0" collapsed="false">
      <c r="A2092" s="5" t="s">
        <v>2478</v>
      </c>
      <c r="B2092" s="5" t="s">
        <v>1203</v>
      </c>
      <c r="C2092" s="5" t="s">
        <v>1321</v>
      </c>
      <c r="D2092" s="5" t="s">
        <v>849</v>
      </c>
      <c r="E2092" s="6" t="s">
        <v>2489</v>
      </c>
      <c r="F2092" s="6" t="s">
        <v>1555</v>
      </c>
      <c r="G2092" s="6" t="s">
        <v>2490</v>
      </c>
      <c r="H2092" s="5"/>
      <c r="I2092" s="6" t="s">
        <v>2481</v>
      </c>
    </row>
    <row r="2093" customFormat="false" ht="57.45" hidden="false" customHeight="false" outlineLevel="0" collapsed="false">
      <c r="A2093" s="5" t="s">
        <v>2491</v>
      </c>
      <c r="B2093" s="5" t="s">
        <v>1203</v>
      </c>
      <c r="C2093" s="5" t="s">
        <v>1326</v>
      </c>
      <c r="D2093" s="5" t="s">
        <v>853</v>
      </c>
      <c r="E2093" s="6" t="s">
        <v>2340</v>
      </c>
      <c r="F2093" s="6" t="s">
        <v>2479</v>
      </c>
      <c r="G2093" s="6" t="s">
        <v>2492</v>
      </c>
      <c r="H2093" s="5"/>
      <c r="I2093" s="6" t="s">
        <v>2481</v>
      </c>
    </row>
    <row r="2094" customFormat="false" ht="57.45" hidden="false" customHeight="false" outlineLevel="0" collapsed="false">
      <c r="A2094" s="5" t="s">
        <v>2491</v>
      </c>
      <c r="B2094" s="5" t="s">
        <v>1203</v>
      </c>
      <c r="C2094" s="5" t="s">
        <v>1326</v>
      </c>
      <c r="D2094" s="5" t="s">
        <v>853</v>
      </c>
      <c r="E2094" s="6" t="s">
        <v>2344</v>
      </c>
      <c r="F2094" s="6" t="s">
        <v>1555</v>
      </c>
      <c r="G2094" s="6" t="s">
        <v>2488</v>
      </c>
      <c r="H2094" s="5"/>
      <c r="I2094" s="6" t="s">
        <v>2481</v>
      </c>
    </row>
    <row r="2095" customFormat="false" ht="57.45" hidden="false" customHeight="false" outlineLevel="0" collapsed="false">
      <c r="A2095" s="5" t="s">
        <v>2491</v>
      </c>
      <c r="B2095" s="5" t="s">
        <v>1203</v>
      </c>
      <c r="C2095" s="5" t="s">
        <v>1326</v>
      </c>
      <c r="D2095" s="5" t="s">
        <v>853</v>
      </c>
      <c r="E2095" s="6" t="s">
        <v>2346</v>
      </c>
      <c r="F2095" s="6" t="s">
        <v>1555</v>
      </c>
      <c r="G2095" s="6" t="s">
        <v>2064</v>
      </c>
      <c r="H2095" s="5"/>
      <c r="I2095" s="6" t="s">
        <v>2481</v>
      </c>
    </row>
    <row r="2096" customFormat="false" ht="57.45" hidden="false" customHeight="false" outlineLevel="0" collapsed="false">
      <c r="A2096" s="5" t="s">
        <v>2491</v>
      </c>
      <c r="B2096" s="5" t="s">
        <v>1203</v>
      </c>
      <c r="C2096" s="5" t="s">
        <v>1326</v>
      </c>
      <c r="D2096" s="5" t="s">
        <v>853</v>
      </c>
      <c r="E2096" s="6" t="s">
        <v>2347</v>
      </c>
      <c r="F2096" s="6" t="s">
        <v>2483</v>
      </c>
      <c r="G2096" s="6" t="s">
        <v>2493</v>
      </c>
      <c r="H2096" s="5"/>
      <c r="I2096" s="6" t="s">
        <v>2481</v>
      </c>
    </row>
    <row r="2097" customFormat="false" ht="57.45" hidden="false" customHeight="false" outlineLevel="0" collapsed="false">
      <c r="A2097" s="5" t="s">
        <v>2491</v>
      </c>
      <c r="B2097" s="5" t="s">
        <v>1203</v>
      </c>
      <c r="C2097" s="5" t="s">
        <v>1326</v>
      </c>
      <c r="D2097" s="5" t="s">
        <v>853</v>
      </c>
      <c r="E2097" s="6" t="s">
        <v>2349</v>
      </c>
      <c r="F2097" s="6" t="s">
        <v>1555</v>
      </c>
      <c r="G2097" s="6" t="s">
        <v>2494</v>
      </c>
      <c r="H2097" s="5"/>
      <c r="I2097" s="6" t="s">
        <v>2481</v>
      </c>
    </row>
    <row r="2098" customFormat="false" ht="57.45" hidden="false" customHeight="false" outlineLevel="0" collapsed="false">
      <c r="A2098" s="5" t="s">
        <v>2491</v>
      </c>
      <c r="B2098" s="5" t="s">
        <v>1203</v>
      </c>
      <c r="C2098" s="5" t="s">
        <v>1326</v>
      </c>
      <c r="D2098" s="5" t="s">
        <v>853</v>
      </c>
      <c r="E2098" s="6" t="s">
        <v>2351</v>
      </c>
      <c r="F2098" s="6" t="s">
        <v>1555</v>
      </c>
      <c r="G2098" s="6" t="s">
        <v>2495</v>
      </c>
      <c r="H2098" s="5"/>
      <c r="I2098" s="6" t="s">
        <v>2481</v>
      </c>
    </row>
    <row r="2099" customFormat="false" ht="57.45" hidden="false" customHeight="false" outlineLevel="0" collapsed="false">
      <c r="A2099" s="5" t="s">
        <v>2491</v>
      </c>
      <c r="B2099" s="5" t="s">
        <v>1203</v>
      </c>
      <c r="C2099" s="5" t="s">
        <v>1326</v>
      </c>
      <c r="D2099" s="5" t="s">
        <v>853</v>
      </c>
      <c r="E2099" s="6" t="s">
        <v>2487</v>
      </c>
      <c r="F2099" s="6" t="s">
        <v>1555</v>
      </c>
      <c r="G2099" s="6" t="s">
        <v>2496</v>
      </c>
      <c r="H2099" s="5"/>
      <c r="I2099" s="6" t="s">
        <v>2481</v>
      </c>
    </row>
    <row r="2100" customFormat="false" ht="57.45" hidden="false" customHeight="false" outlineLevel="0" collapsed="false">
      <c r="A2100" s="5" t="s">
        <v>2491</v>
      </c>
      <c r="B2100" s="5" t="s">
        <v>1203</v>
      </c>
      <c r="C2100" s="5" t="s">
        <v>1326</v>
      </c>
      <c r="D2100" s="5" t="s">
        <v>853</v>
      </c>
      <c r="E2100" s="6" t="s">
        <v>2489</v>
      </c>
      <c r="F2100" s="6" t="s">
        <v>1555</v>
      </c>
      <c r="G2100" s="6" t="s">
        <v>2497</v>
      </c>
      <c r="H2100" s="5"/>
      <c r="I2100" s="6" t="s">
        <v>2481</v>
      </c>
    </row>
    <row r="2101" customFormat="false" ht="57.45" hidden="false" customHeight="false" outlineLevel="0" collapsed="false">
      <c r="A2101" s="5" t="s">
        <v>2498</v>
      </c>
      <c r="B2101" s="5" t="s">
        <v>1203</v>
      </c>
      <c r="C2101" s="5" t="s">
        <v>1329</v>
      </c>
      <c r="D2101" s="5" t="s">
        <v>841</v>
      </c>
      <c r="E2101" s="6" t="s">
        <v>2340</v>
      </c>
      <c r="F2101" s="6" t="s">
        <v>2479</v>
      </c>
      <c r="G2101" s="6" t="s">
        <v>2499</v>
      </c>
      <c r="H2101" s="5"/>
      <c r="I2101" s="6" t="s">
        <v>2481</v>
      </c>
    </row>
    <row r="2102" customFormat="false" ht="57.45" hidden="false" customHeight="false" outlineLevel="0" collapsed="false">
      <c r="A2102" s="5" t="s">
        <v>2498</v>
      </c>
      <c r="B2102" s="5" t="s">
        <v>1203</v>
      </c>
      <c r="C2102" s="5" t="s">
        <v>1329</v>
      </c>
      <c r="D2102" s="5" t="s">
        <v>841</v>
      </c>
      <c r="E2102" s="6" t="s">
        <v>2344</v>
      </c>
      <c r="F2102" s="6" t="s">
        <v>1555</v>
      </c>
      <c r="G2102" s="6" t="s">
        <v>2500</v>
      </c>
      <c r="H2102" s="5"/>
      <c r="I2102" s="6" t="s">
        <v>2481</v>
      </c>
    </row>
    <row r="2103" customFormat="false" ht="57.45" hidden="false" customHeight="false" outlineLevel="0" collapsed="false">
      <c r="A2103" s="5" t="s">
        <v>2498</v>
      </c>
      <c r="B2103" s="5" t="s">
        <v>1203</v>
      </c>
      <c r="C2103" s="5" t="s">
        <v>1329</v>
      </c>
      <c r="D2103" s="5" t="s">
        <v>841</v>
      </c>
      <c r="E2103" s="6" t="s">
        <v>2346</v>
      </c>
      <c r="F2103" s="6" t="s">
        <v>1555</v>
      </c>
      <c r="G2103" s="6" t="s">
        <v>2064</v>
      </c>
      <c r="H2103" s="5"/>
      <c r="I2103" s="6" t="s">
        <v>2481</v>
      </c>
    </row>
    <row r="2104" customFormat="false" ht="57.45" hidden="false" customHeight="false" outlineLevel="0" collapsed="false">
      <c r="A2104" s="5" t="s">
        <v>2498</v>
      </c>
      <c r="B2104" s="5" t="s">
        <v>1203</v>
      </c>
      <c r="C2104" s="5" t="s">
        <v>1329</v>
      </c>
      <c r="D2104" s="5" t="s">
        <v>841</v>
      </c>
      <c r="E2104" s="6" t="s">
        <v>2347</v>
      </c>
      <c r="F2104" s="6" t="s">
        <v>2483</v>
      </c>
      <c r="G2104" s="6" t="s">
        <v>2493</v>
      </c>
      <c r="H2104" s="5"/>
      <c r="I2104" s="6" t="s">
        <v>2481</v>
      </c>
    </row>
    <row r="2105" customFormat="false" ht="57.45" hidden="false" customHeight="false" outlineLevel="0" collapsed="false">
      <c r="A2105" s="5" t="s">
        <v>2498</v>
      </c>
      <c r="B2105" s="5" t="s">
        <v>1203</v>
      </c>
      <c r="C2105" s="5" t="s">
        <v>1329</v>
      </c>
      <c r="D2105" s="5" t="s">
        <v>841</v>
      </c>
      <c r="E2105" s="6" t="s">
        <v>2349</v>
      </c>
      <c r="F2105" s="6" t="s">
        <v>1555</v>
      </c>
      <c r="G2105" s="6" t="s">
        <v>2501</v>
      </c>
      <c r="H2105" s="5"/>
      <c r="I2105" s="6" t="s">
        <v>2481</v>
      </c>
    </row>
    <row r="2106" customFormat="false" ht="57.45" hidden="false" customHeight="false" outlineLevel="0" collapsed="false">
      <c r="A2106" s="5" t="s">
        <v>2498</v>
      </c>
      <c r="B2106" s="5" t="s">
        <v>1203</v>
      </c>
      <c r="C2106" s="5" t="s">
        <v>1329</v>
      </c>
      <c r="D2106" s="5" t="s">
        <v>841</v>
      </c>
      <c r="E2106" s="6" t="s">
        <v>2351</v>
      </c>
      <c r="F2106" s="6" t="s">
        <v>1555</v>
      </c>
      <c r="G2106" s="6" t="s">
        <v>2502</v>
      </c>
      <c r="H2106" s="5"/>
      <c r="I2106" s="6" t="s">
        <v>2481</v>
      </c>
    </row>
    <row r="2107" customFormat="false" ht="57.45" hidden="false" customHeight="false" outlineLevel="0" collapsed="false">
      <c r="A2107" s="5" t="s">
        <v>2498</v>
      </c>
      <c r="B2107" s="5" t="s">
        <v>1203</v>
      </c>
      <c r="C2107" s="5" t="s">
        <v>1329</v>
      </c>
      <c r="D2107" s="5" t="s">
        <v>841</v>
      </c>
      <c r="E2107" s="6" t="s">
        <v>2487</v>
      </c>
      <c r="F2107" s="6" t="s">
        <v>1555</v>
      </c>
      <c r="G2107" s="6" t="s">
        <v>2503</v>
      </c>
      <c r="H2107" s="5"/>
      <c r="I2107" s="6" t="s">
        <v>2481</v>
      </c>
    </row>
    <row r="2108" customFormat="false" ht="57.45" hidden="false" customHeight="false" outlineLevel="0" collapsed="false">
      <c r="A2108" s="5" t="s">
        <v>2498</v>
      </c>
      <c r="B2108" s="5" t="s">
        <v>1203</v>
      </c>
      <c r="C2108" s="5" t="s">
        <v>1329</v>
      </c>
      <c r="D2108" s="5" t="s">
        <v>841</v>
      </c>
      <c r="E2108" s="6" t="s">
        <v>2489</v>
      </c>
      <c r="F2108" s="6" t="s">
        <v>1555</v>
      </c>
      <c r="G2108" s="6" t="s">
        <v>2504</v>
      </c>
      <c r="H2108" s="5"/>
      <c r="I2108" s="6" t="s">
        <v>2481</v>
      </c>
    </row>
    <row r="2109" customFormat="false" ht="57.45" hidden="false" customHeight="false" outlineLevel="0" collapsed="false">
      <c r="A2109" s="5" t="s">
        <v>2505</v>
      </c>
      <c r="B2109" s="5" t="s">
        <v>1203</v>
      </c>
      <c r="C2109" s="5" t="s">
        <v>1332</v>
      </c>
      <c r="D2109" s="5" t="s">
        <v>845</v>
      </c>
      <c r="E2109" s="6" t="s">
        <v>2340</v>
      </c>
      <c r="F2109" s="6" t="s">
        <v>2479</v>
      </c>
      <c r="G2109" s="6" t="s">
        <v>2506</v>
      </c>
      <c r="H2109" s="5"/>
      <c r="I2109" s="6" t="s">
        <v>2481</v>
      </c>
    </row>
    <row r="2110" customFormat="false" ht="57.45" hidden="false" customHeight="false" outlineLevel="0" collapsed="false">
      <c r="A2110" s="5" t="s">
        <v>2505</v>
      </c>
      <c r="B2110" s="5" t="s">
        <v>1203</v>
      </c>
      <c r="C2110" s="5" t="s">
        <v>1332</v>
      </c>
      <c r="D2110" s="5" t="s">
        <v>845</v>
      </c>
      <c r="E2110" s="6" t="s">
        <v>2344</v>
      </c>
      <c r="F2110" s="6" t="s">
        <v>1555</v>
      </c>
      <c r="G2110" s="6" t="s">
        <v>2482</v>
      </c>
      <c r="H2110" s="5"/>
      <c r="I2110" s="6" t="s">
        <v>2481</v>
      </c>
    </row>
    <row r="2111" customFormat="false" ht="57.45" hidden="false" customHeight="false" outlineLevel="0" collapsed="false">
      <c r="A2111" s="5" t="s">
        <v>2505</v>
      </c>
      <c r="B2111" s="5" t="s">
        <v>1203</v>
      </c>
      <c r="C2111" s="5" t="s">
        <v>1332</v>
      </c>
      <c r="D2111" s="5" t="s">
        <v>845</v>
      </c>
      <c r="E2111" s="6" t="s">
        <v>2346</v>
      </c>
      <c r="F2111" s="6" t="s">
        <v>1555</v>
      </c>
      <c r="G2111" s="6" t="s">
        <v>2064</v>
      </c>
      <c r="H2111" s="5"/>
      <c r="I2111" s="6" t="s">
        <v>2481</v>
      </c>
    </row>
    <row r="2112" customFormat="false" ht="57.45" hidden="false" customHeight="false" outlineLevel="0" collapsed="false">
      <c r="A2112" s="5" t="s">
        <v>2505</v>
      </c>
      <c r="B2112" s="5" t="s">
        <v>1203</v>
      </c>
      <c r="C2112" s="5" t="s">
        <v>1332</v>
      </c>
      <c r="D2112" s="5" t="s">
        <v>845</v>
      </c>
      <c r="E2112" s="6" t="s">
        <v>2347</v>
      </c>
      <c r="F2112" s="6" t="s">
        <v>2483</v>
      </c>
      <c r="G2112" s="6" t="s">
        <v>2484</v>
      </c>
      <c r="H2112" s="5"/>
      <c r="I2112" s="6" t="s">
        <v>2481</v>
      </c>
    </row>
    <row r="2113" customFormat="false" ht="57.45" hidden="false" customHeight="false" outlineLevel="0" collapsed="false">
      <c r="A2113" s="5" t="s">
        <v>2505</v>
      </c>
      <c r="B2113" s="5" t="s">
        <v>1203</v>
      </c>
      <c r="C2113" s="5" t="s">
        <v>1332</v>
      </c>
      <c r="D2113" s="5" t="s">
        <v>845</v>
      </c>
      <c r="E2113" s="6" t="s">
        <v>2349</v>
      </c>
      <c r="F2113" s="6" t="s">
        <v>1555</v>
      </c>
      <c r="G2113" s="6" t="s">
        <v>2507</v>
      </c>
      <c r="H2113" s="5"/>
      <c r="I2113" s="6" t="s">
        <v>2481</v>
      </c>
    </row>
    <row r="2114" customFormat="false" ht="57.45" hidden="false" customHeight="false" outlineLevel="0" collapsed="false">
      <c r="A2114" s="5" t="s">
        <v>2505</v>
      </c>
      <c r="B2114" s="5" t="s">
        <v>1203</v>
      </c>
      <c r="C2114" s="5" t="s">
        <v>1332</v>
      </c>
      <c r="D2114" s="5" t="s">
        <v>845</v>
      </c>
      <c r="E2114" s="6" t="s">
        <v>2351</v>
      </c>
      <c r="F2114" s="6" t="s">
        <v>1555</v>
      </c>
      <c r="G2114" s="6" t="s">
        <v>2508</v>
      </c>
      <c r="H2114" s="5"/>
      <c r="I2114" s="6" t="s">
        <v>2481</v>
      </c>
    </row>
    <row r="2115" customFormat="false" ht="57.45" hidden="false" customHeight="false" outlineLevel="0" collapsed="false">
      <c r="A2115" s="5" t="s">
        <v>2505</v>
      </c>
      <c r="B2115" s="5" t="s">
        <v>1203</v>
      </c>
      <c r="C2115" s="5" t="s">
        <v>1332</v>
      </c>
      <c r="D2115" s="5" t="s">
        <v>845</v>
      </c>
      <c r="E2115" s="6" t="s">
        <v>2487</v>
      </c>
      <c r="F2115" s="6" t="s">
        <v>1555</v>
      </c>
      <c r="G2115" s="6" t="s">
        <v>2488</v>
      </c>
      <c r="H2115" s="5"/>
      <c r="I2115" s="6" t="s">
        <v>2481</v>
      </c>
    </row>
    <row r="2116" customFormat="false" ht="57.45" hidden="false" customHeight="false" outlineLevel="0" collapsed="false">
      <c r="A2116" s="5" t="s">
        <v>2505</v>
      </c>
      <c r="B2116" s="5" t="s">
        <v>1203</v>
      </c>
      <c r="C2116" s="5" t="s">
        <v>1332</v>
      </c>
      <c r="D2116" s="5" t="s">
        <v>845</v>
      </c>
      <c r="E2116" s="6" t="s">
        <v>2489</v>
      </c>
      <c r="F2116" s="6" t="s">
        <v>1555</v>
      </c>
      <c r="G2116" s="6" t="s">
        <v>2509</v>
      </c>
      <c r="H2116" s="5"/>
      <c r="I2116" s="6" t="s">
        <v>2481</v>
      </c>
    </row>
    <row r="2117" customFormat="false" ht="46.25" hidden="false" customHeight="false" outlineLevel="0" collapsed="false">
      <c r="A2117" s="5" t="s">
        <v>2510</v>
      </c>
      <c r="B2117" s="5" t="s">
        <v>1203</v>
      </c>
      <c r="C2117" s="5" t="s">
        <v>1335</v>
      </c>
      <c r="D2117" s="5" t="s">
        <v>740</v>
      </c>
      <c r="E2117" s="6" t="s">
        <v>2340</v>
      </c>
      <c r="F2117" s="6" t="s">
        <v>2479</v>
      </c>
      <c r="G2117" s="6" t="s">
        <v>2511</v>
      </c>
      <c r="H2117" s="5"/>
      <c r="I2117" s="6" t="s">
        <v>2512</v>
      </c>
    </row>
    <row r="2118" customFormat="false" ht="46.25" hidden="false" customHeight="false" outlineLevel="0" collapsed="false">
      <c r="A2118" s="5" t="s">
        <v>2510</v>
      </c>
      <c r="B2118" s="5" t="s">
        <v>1203</v>
      </c>
      <c r="C2118" s="5" t="s">
        <v>1335</v>
      </c>
      <c r="D2118" s="5" t="s">
        <v>740</v>
      </c>
      <c r="E2118" s="6" t="s">
        <v>2344</v>
      </c>
      <c r="F2118" s="6" t="s">
        <v>1555</v>
      </c>
      <c r="G2118" s="6" t="s">
        <v>2500</v>
      </c>
      <c r="H2118" s="5"/>
      <c r="I2118" s="6" t="s">
        <v>2512</v>
      </c>
    </row>
    <row r="2119" customFormat="false" ht="46.25" hidden="false" customHeight="false" outlineLevel="0" collapsed="false">
      <c r="A2119" s="5" t="s">
        <v>2510</v>
      </c>
      <c r="B2119" s="5" t="s">
        <v>1203</v>
      </c>
      <c r="C2119" s="5" t="s">
        <v>1335</v>
      </c>
      <c r="D2119" s="5" t="s">
        <v>740</v>
      </c>
      <c r="E2119" s="6" t="s">
        <v>2346</v>
      </c>
      <c r="F2119" s="6" t="s">
        <v>1555</v>
      </c>
      <c r="G2119" s="6" t="s">
        <v>2064</v>
      </c>
      <c r="H2119" s="5"/>
      <c r="I2119" s="6" t="s">
        <v>2512</v>
      </c>
    </row>
    <row r="2120" customFormat="false" ht="46.25" hidden="false" customHeight="false" outlineLevel="0" collapsed="false">
      <c r="A2120" s="5" t="s">
        <v>2510</v>
      </c>
      <c r="B2120" s="5" t="s">
        <v>1203</v>
      </c>
      <c r="C2120" s="5" t="s">
        <v>1335</v>
      </c>
      <c r="D2120" s="5" t="s">
        <v>740</v>
      </c>
      <c r="E2120" s="6" t="s">
        <v>2347</v>
      </c>
      <c r="F2120" s="6" t="s">
        <v>2483</v>
      </c>
      <c r="G2120" s="6" t="s">
        <v>2484</v>
      </c>
      <c r="H2120" s="5"/>
      <c r="I2120" s="6" t="s">
        <v>2512</v>
      </c>
    </row>
    <row r="2121" customFormat="false" ht="46.25" hidden="false" customHeight="false" outlineLevel="0" collapsed="false">
      <c r="A2121" s="5" t="s">
        <v>2510</v>
      </c>
      <c r="B2121" s="5" t="s">
        <v>1203</v>
      </c>
      <c r="C2121" s="5" t="s">
        <v>1335</v>
      </c>
      <c r="D2121" s="5" t="s">
        <v>740</v>
      </c>
      <c r="E2121" s="6" t="s">
        <v>2349</v>
      </c>
      <c r="F2121" s="6" t="s">
        <v>1555</v>
      </c>
      <c r="G2121" s="6" t="s">
        <v>2513</v>
      </c>
      <c r="H2121" s="5"/>
      <c r="I2121" s="6" t="s">
        <v>2512</v>
      </c>
    </row>
    <row r="2122" customFormat="false" ht="46.25" hidden="false" customHeight="false" outlineLevel="0" collapsed="false">
      <c r="A2122" s="5" t="s">
        <v>2510</v>
      </c>
      <c r="B2122" s="5" t="s">
        <v>1203</v>
      </c>
      <c r="C2122" s="5" t="s">
        <v>1335</v>
      </c>
      <c r="D2122" s="5" t="s">
        <v>740</v>
      </c>
      <c r="E2122" s="6" t="s">
        <v>2351</v>
      </c>
      <c r="F2122" s="6" t="s">
        <v>1555</v>
      </c>
      <c r="G2122" s="6" t="s">
        <v>2514</v>
      </c>
      <c r="H2122" s="5"/>
      <c r="I2122" s="6" t="s">
        <v>2512</v>
      </c>
    </row>
    <row r="2123" customFormat="false" ht="46.25" hidden="false" customHeight="false" outlineLevel="0" collapsed="false">
      <c r="A2123" s="5" t="s">
        <v>2510</v>
      </c>
      <c r="B2123" s="5" t="s">
        <v>1203</v>
      </c>
      <c r="C2123" s="5" t="s">
        <v>1335</v>
      </c>
      <c r="D2123" s="5" t="s">
        <v>740</v>
      </c>
      <c r="E2123" s="6" t="s">
        <v>2487</v>
      </c>
      <c r="F2123" s="6" t="s">
        <v>1555</v>
      </c>
      <c r="G2123" s="6" t="s">
        <v>2503</v>
      </c>
      <c r="H2123" s="5"/>
      <c r="I2123" s="6" t="s">
        <v>2512</v>
      </c>
    </row>
    <row r="2124" customFormat="false" ht="46.25" hidden="false" customHeight="false" outlineLevel="0" collapsed="false">
      <c r="A2124" s="5" t="s">
        <v>2510</v>
      </c>
      <c r="B2124" s="5" t="s">
        <v>1203</v>
      </c>
      <c r="C2124" s="5" t="s">
        <v>1335</v>
      </c>
      <c r="D2124" s="5" t="s">
        <v>740</v>
      </c>
      <c r="E2124" s="6" t="s">
        <v>2489</v>
      </c>
      <c r="F2124" s="6" t="s">
        <v>1555</v>
      </c>
      <c r="G2124" s="6" t="s">
        <v>2515</v>
      </c>
      <c r="H2124" s="5"/>
      <c r="I2124" s="6" t="s">
        <v>2512</v>
      </c>
    </row>
    <row r="2125" customFormat="false" ht="46.25" hidden="false" customHeight="false" outlineLevel="0" collapsed="false">
      <c r="A2125" s="5" t="s">
        <v>2516</v>
      </c>
      <c r="B2125" s="5" t="s">
        <v>1203</v>
      </c>
      <c r="C2125" s="5" t="s">
        <v>1340</v>
      </c>
      <c r="D2125" s="5" t="s">
        <v>745</v>
      </c>
      <c r="E2125" s="6" t="s">
        <v>2340</v>
      </c>
      <c r="F2125" s="6" t="s">
        <v>2479</v>
      </c>
      <c r="G2125" s="6" t="s">
        <v>2517</v>
      </c>
      <c r="H2125" s="5"/>
      <c r="I2125" s="6" t="s">
        <v>2512</v>
      </c>
    </row>
    <row r="2126" customFormat="false" ht="46.25" hidden="false" customHeight="false" outlineLevel="0" collapsed="false">
      <c r="A2126" s="5" t="s">
        <v>2516</v>
      </c>
      <c r="B2126" s="5" t="s">
        <v>1203</v>
      </c>
      <c r="C2126" s="5" t="s">
        <v>1340</v>
      </c>
      <c r="D2126" s="5" t="s">
        <v>745</v>
      </c>
      <c r="E2126" s="6" t="s">
        <v>2344</v>
      </c>
      <c r="F2126" s="6" t="s">
        <v>1555</v>
      </c>
      <c r="G2126" s="6" t="s">
        <v>2488</v>
      </c>
      <c r="H2126" s="5"/>
      <c r="I2126" s="6" t="s">
        <v>2512</v>
      </c>
    </row>
    <row r="2127" customFormat="false" ht="46.25" hidden="false" customHeight="false" outlineLevel="0" collapsed="false">
      <c r="A2127" s="5" t="s">
        <v>2516</v>
      </c>
      <c r="B2127" s="5" t="s">
        <v>1203</v>
      </c>
      <c r="C2127" s="5" t="s">
        <v>1340</v>
      </c>
      <c r="D2127" s="5" t="s">
        <v>745</v>
      </c>
      <c r="E2127" s="6" t="s">
        <v>2346</v>
      </c>
      <c r="F2127" s="6" t="s">
        <v>1555</v>
      </c>
      <c r="G2127" s="6" t="s">
        <v>1618</v>
      </c>
      <c r="H2127" s="5"/>
      <c r="I2127" s="6" t="s">
        <v>2512</v>
      </c>
    </row>
    <row r="2128" customFormat="false" ht="46.25" hidden="false" customHeight="false" outlineLevel="0" collapsed="false">
      <c r="A2128" s="5" t="s">
        <v>2516</v>
      </c>
      <c r="B2128" s="5" t="s">
        <v>1203</v>
      </c>
      <c r="C2128" s="5" t="s">
        <v>1340</v>
      </c>
      <c r="D2128" s="5" t="s">
        <v>745</v>
      </c>
      <c r="E2128" s="6" t="s">
        <v>2347</v>
      </c>
      <c r="F2128" s="6" t="s">
        <v>2483</v>
      </c>
      <c r="G2128" s="6" t="s">
        <v>2484</v>
      </c>
      <c r="H2128" s="5"/>
      <c r="I2128" s="6" t="s">
        <v>2512</v>
      </c>
    </row>
    <row r="2129" customFormat="false" ht="46.25" hidden="false" customHeight="false" outlineLevel="0" collapsed="false">
      <c r="A2129" s="5" t="s">
        <v>2516</v>
      </c>
      <c r="B2129" s="5" t="s">
        <v>1203</v>
      </c>
      <c r="C2129" s="5" t="s">
        <v>1340</v>
      </c>
      <c r="D2129" s="5" t="s">
        <v>745</v>
      </c>
      <c r="E2129" s="6" t="s">
        <v>2349</v>
      </c>
      <c r="F2129" s="6" t="s">
        <v>1555</v>
      </c>
      <c r="G2129" s="6" t="s">
        <v>2518</v>
      </c>
      <c r="H2129" s="5"/>
      <c r="I2129" s="6" t="s">
        <v>2512</v>
      </c>
    </row>
    <row r="2130" customFormat="false" ht="46.25" hidden="false" customHeight="false" outlineLevel="0" collapsed="false">
      <c r="A2130" s="5" t="s">
        <v>2516</v>
      </c>
      <c r="B2130" s="5" t="s">
        <v>1203</v>
      </c>
      <c r="C2130" s="5" t="s">
        <v>1340</v>
      </c>
      <c r="D2130" s="5" t="s">
        <v>745</v>
      </c>
      <c r="E2130" s="6" t="s">
        <v>2351</v>
      </c>
      <c r="F2130" s="6" t="s">
        <v>1555</v>
      </c>
      <c r="G2130" s="6" t="s">
        <v>2519</v>
      </c>
      <c r="H2130" s="5"/>
      <c r="I2130" s="6" t="s">
        <v>2512</v>
      </c>
    </row>
    <row r="2131" customFormat="false" ht="46.25" hidden="false" customHeight="false" outlineLevel="0" collapsed="false">
      <c r="A2131" s="5" t="s">
        <v>2516</v>
      </c>
      <c r="B2131" s="5" t="s">
        <v>1203</v>
      </c>
      <c r="C2131" s="5" t="s">
        <v>1340</v>
      </c>
      <c r="D2131" s="5" t="s">
        <v>745</v>
      </c>
      <c r="E2131" s="6" t="s">
        <v>2487</v>
      </c>
      <c r="F2131" s="6" t="s">
        <v>1555</v>
      </c>
      <c r="G2131" s="6" t="s">
        <v>2500</v>
      </c>
      <c r="H2131" s="5"/>
      <c r="I2131" s="6" t="s">
        <v>2512</v>
      </c>
    </row>
    <row r="2132" customFormat="false" ht="46.25" hidden="false" customHeight="false" outlineLevel="0" collapsed="false">
      <c r="A2132" s="5" t="s">
        <v>2516</v>
      </c>
      <c r="B2132" s="5" t="s">
        <v>1203</v>
      </c>
      <c r="C2132" s="5" t="s">
        <v>1340</v>
      </c>
      <c r="D2132" s="5" t="s">
        <v>745</v>
      </c>
      <c r="E2132" s="6" t="s">
        <v>2489</v>
      </c>
      <c r="F2132" s="6" t="s">
        <v>1555</v>
      </c>
      <c r="G2132" s="6" t="s">
        <v>2520</v>
      </c>
      <c r="H2132" s="5"/>
      <c r="I2132" s="6" t="s">
        <v>2512</v>
      </c>
    </row>
    <row r="2133" customFormat="false" ht="46.25" hidden="false" customHeight="false" outlineLevel="0" collapsed="false">
      <c r="A2133" s="5" t="s">
        <v>2521</v>
      </c>
      <c r="B2133" s="5" t="s">
        <v>1203</v>
      </c>
      <c r="C2133" s="5" t="s">
        <v>1345</v>
      </c>
      <c r="D2133" s="5" t="s">
        <v>750</v>
      </c>
      <c r="E2133" s="6" t="s">
        <v>2340</v>
      </c>
      <c r="F2133" s="6" t="s">
        <v>2479</v>
      </c>
      <c r="G2133" s="6" t="s">
        <v>2522</v>
      </c>
      <c r="H2133" s="5"/>
      <c r="I2133" s="6" t="s">
        <v>2512</v>
      </c>
    </row>
    <row r="2134" customFormat="false" ht="46.25" hidden="false" customHeight="false" outlineLevel="0" collapsed="false">
      <c r="A2134" s="5" t="s">
        <v>2521</v>
      </c>
      <c r="B2134" s="5" t="s">
        <v>1203</v>
      </c>
      <c r="C2134" s="5" t="s">
        <v>1345</v>
      </c>
      <c r="D2134" s="5" t="s">
        <v>750</v>
      </c>
      <c r="E2134" s="6" t="s">
        <v>2344</v>
      </c>
      <c r="F2134" s="6" t="s">
        <v>1555</v>
      </c>
      <c r="G2134" s="6" t="s">
        <v>2500</v>
      </c>
      <c r="H2134" s="5"/>
      <c r="I2134" s="6" t="s">
        <v>2512</v>
      </c>
    </row>
    <row r="2135" customFormat="false" ht="46.25" hidden="false" customHeight="false" outlineLevel="0" collapsed="false">
      <c r="A2135" s="5" t="s">
        <v>2521</v>
      </c>
      <c r="B2135" s="5" t="s">
        <v>1203</v>
      </c>
      <c r="C2135" s="5" t="s">
        <v>1345</v>
      </c>
      <c r="D2135" s="5" t="s">
        <v>750</v>
      </c>
      <c r="E2135" s="6" t="s">
        <v>2346</v>
      </c>
      <c r="F2135" s="6" t="s">
        <v>1555</v>
      </c>
      <c r="G2135" s="6" t="s">
        <v>1618</v>
      </c>
      <c r="H2135" s="5"/>
      <c r="I2135" s="6" t="s">
        <v>2512</v>
      </c>
    </row>
    <row r="2136" customFormat="false" ht="46.25" hidden="false" customHeight="false" outlineLevel="0" collapsed="false">
      <c r="A2136" s="5" t="s">
        <v>2521</v>
      </c>
      <c r="B2136" s="5" t="s">
        <v>1203</v>
      </c>
      <c r="C2136" s="5" t="s">
        <v>1345</v>
      </c>
      <c r="D2136" s="5" t="s">
        <v>750</v>
      </c>
      <c r="E2136" s="6" t="s">
        <v>2347</v>
      </c>
      <c r="F2136" s="6" t="s">
        <v>2483</v>
      </c>
      <c r="G2136" s="6" t="s">
        <v>1618</v>
      </c>
      <c r="H2136" s="5"/>
      <c r="I2136" s="6" t="s">
        <v>2512</v>
      </c>
    </row>
    <row r="2137" customFormat="false" ht="46.25" hidden="false" customHeight="false" outlineLevel="0" collapsed="false">
      <c r="A2137" s="5" t="s">
        <v>2521</v>
      </c>
      <c r="B2137" s="5" t="s">
        <v>1203</v>
      </c>
      <c r="C2137" s="5" t="s">
        <v>1345</v>
      </c>
      <c r="D2137" s="5" t="s">
        <v>750</v>
      </c>
      <c r="E2137" s="6" t="s">
        <v>2349</v>
      </c>
      <c r="F2137" s="6" t="s">
        <v>1555</v>
      </c>
      <c r="G2137" s="6" t="s">
        <v>2523</v>
      </c>
      <c r="H2137" s="5"/>
      <c r="I2137" s="6" t="s">
        <v>2512</v>
      </c>
    </row>
    <row r="2138" customFormat="false" ht="46.25" hidden="false" customHeight="false" outlineLevel="0" collapsed="false">
      <c r="A2138" s="5" t="s">
        <v>2521</v>
      </c>
      <c r="B2138" s="5" t="s">
        <v>1203</v>
      </c>
      <c r="C2138" s="5" t="s">
        <v>1345</v>
      </c>
      <c r="D2138" s="5" t="s">
        <v>750</v>
      </c>
      <c r="E2138" s="6" t="s">
        <v>2351</v>
      </c>
      <c r="F2138" s="6" t="s">
        <v>1555</v>
      </c>
      <c r="G2138" s="6" t="s">
        <v>2524</v>
      </c>
      <c r="H2138" s="5"/>
      <c r="I2138" s="6" t="s">
        <v>2512</v>
      </c>
    </row>
    <row r="2139" customFormat="false" ht="46.25" hidden="false" customHeight="false" outlineLevel="0" collapsed="false">
      <c r="A2139" s="5" t="s">
        <v>2521</v>
      </c>
      <c r="B2139" s="5" t="s">
        <v>1203</v>
      </c>
      <c r="C2139" s="5" t="s">
        <v>1345</v>
      </c>
      <c r="D2139" s="5" t="s">
        <v>750</v>
      </c>
      <c r="E2139" s="6" t="s">
        <v>2487</v>
      </c>
      <c r="F2139" s="6" t="s">
        <v>1555</v>
      </c>
      <c r="G2139" s="6" t="s">
        <v>2503</v>
      </c>
      <c r="H2139" s="5"/>
      <c r="I2139" s="6" t="s">
        <v>2512</v>
      </c>
    </row>
    <row r="2140" customFormat="false" ht="46.25" hidden="false" customHeight="false" outlineLevel="0" collapsed="false">
      <c r="A2140" s="5" t="s">
        <v>2521</v>
      </c>
      <c r="B2140" s="5" t="s">
        <v>1203</v>
      </c>
      <c r="C2140" s="5" t="s">
        <v>1345</v>
      </c>
      <c r="D2140" s="5" t="s">
        <v>750</v>
      </c>
      <c r="E2140" s="6" t="s">
        <v>2489</v>
      </c>
      <c r="F2140" s="6" t="s">
        <v>1555</v>
      </c>
      <c r="G2140" s="6" t="s">
        <v>2525</v>
      </c>
      <c r="H2140" s="5"/>
      <c r="I2140" s="6" t="s">
        <v>2512</v>
      </c>
    </row>
    <row r="2141" customFormat="false" ht="46.25" hidden="false" customHeight="false" outlineLevel="0" collapsed="false">
      <c r="A2141" s="5" t="s">
        <v>2526</v>
      </c>
      <c r="B2141" s="5" t="s">
        <v>1203</v>
      </c>
      <c r="C2141" s="5" t="s">
        <v>1348</v>
      </c>
      <c r="D2141" s="5" t="s">
        <v>755</v>
      </c>
      <c r="E2141" s="6" t="s">
        <v>2340</v>
      </c>
      <c r="F2141" s="6" t="s">
        <v>2479</v>
      </c>
      <c r="G2141" s="6" t="s">
        <v>2527</v>
      </c>
      <c r="H2141" s="5"/>
      <c r="I2141" s="6" t="s">
        <v>2512</v>
      </c>
    </row>
    <row r="2142" customFormat="false" ht="46.25" hidden="false" customHeight="false" outlineLevel="0" collapsed="false">
      <c r="A2142" s="5" t="s">
        <v>2526</v>
      </c>
      <c r="B2142" s="5" t="s">
        <v>1203</v>
      </c>
      <c r="C2142" s="5" t="s">
        <v>1348</v>
      </c>
      <c r="D2142" s="5" t="s">
        <v>755</v>
      </c>
      <c r="E2142" s="6" t="s">
        <v>2344</v>
      </c>
      <c r="F2142" s="6" t="s">
        <v>1555</v>
      </c>
      <c r="G2142" s="6" t="s">
        <v>2528</v>
      </c>
      <c r="H2142" s="5"/>
      <c r="I2142" s="6" t="s">
        <v>2512</v>
      </c>
    </row>
    <row r="2143" customFormat="false" ht="46.25" hidden="false" customHeight="false" outlineLevel="0" collapsed="false">
      <c r="A2143" s="5" t="s">
        <v>2526</v>
      </c>
      <c r="B2143" s="5" t="s">
        <v>1203</v>
      </c>
      <c r="C2143" s="5" t="s">
        <v>1348</v>
      </c>
      <c r="D2143" s="5" t="s">
        <v>755</v>
      </c>
      <c r="E2143" s="6" t="s">
        <v>2346</v>
      </c>
      <c r="F2143" s="6" t="s">
        <v>1555</v>
      </c>
      <c r="G2143" s="6" t="s">
        <v>2064</v>
      </c>
      <c r="H2143" s="5"/>
      <c r="I2143" s="6" t="s">
        <v>2512</v>
      </c>
    </row>
    <row r="2144" customFormat="false" ht="46.25" hidden="false" customHeight="false" outlineLevel="0" collapsed="false">
      <c r="A2144" s="5" t="s">
        <v>2526</v>
      </c>
      <c r="B2144" s="5" t="s">
        <v>1203</v>
      </c>
      <c r="C2144" s="5" t="s">
        <v>1348</v>
      </c>
      <c r="D2144" s="5" t="s">
        <v>755</v>
      </c>
      <c r="E2144" s="6" t="s">
        <v>2347</v>
      </c>
      <c r="F2144" s="6" t="s">
        <v>2483</v>
      </c>
      <c r="G2144" s="6" t="s">
        <v>2064</v>
      </c>
      <c r="H2144" s="5"/>
      <c r="I2144" s="6" t="s">
        <v>2512</v>
      </c>
    </row>
    <row r="2145" customFormat="false" ht="46.25" hidden="false" customHeight="false" outlineLevel="0" collapsed="false">
      <c r="A2145" s="5" t="s">
        <v>2526</v>
      </c>
      <c r="B2145" s="5" t="s">
        <v>1203</v>
      </c>
      <c r="C2145" s="5" t="s">
        <v>1348</v>
      </c>
      <c r="D2145" s="5" t="s">
        <v>755</v>
      </c>
      <c r="E2145" s="6" t="s">
        <v>2349</v>
      </c>
      <c r="F2145" s="6" t="s">
        <v>1555</v>
      </c>
      <c r="G2145" s="6" t="s">
        <v>2529</v>
      </c>
      <c r="H2145" s="5"/>
      <c r="I2145" s="6" t="s">
        <v>2512</v>
      </c>
    </row>
    <row r="2146" customFormat="false" ht="46.25" hidden="false" customHeight="false" outlineLevel="0" collapsed="false">
      <c r="A2146" s="5" t="s">
        <v>2526</v>
      </c>
      <c r="B2146" s="5" t="s">
        <v>1203</v>
      </c>
      <c r="C2146" s="5" t="s">
        <v>1348</v>
      </c>
      <c r="D2146" s="5" t="s">
        <v>755</v>
      </c>
      <c r="E2146" s="6" t="s">
        <v>2351</v>
      </c>
      <c r="F2146" s="6" t="s">
        <v>1555</v>
      </c>
      <c r="G2146" s="6" t="s">
        <v>2530</v>
      </c>
      <c r="H2146" s="5"/>
      <c r="I2146" s="6" t="s">
        <v>2512</v>
      </c>
    </row>
    <row r="2147" customFormat="false" ht="46.25" hidden="false" customHeight="false" outlineLevel="0" collapsed="false">
      <c r="A2147" s="5" t="s">
        <v>2526</v>
      </c>
      <c r="B2147" s="5" t="s">
        <v>1203</v>
      </c>
      <c r="C2147" s="5" t="s">
        <v>1348</v>
      </c>
      <c r="D2147" s="5" t="s">
        <v>755</v>
      </c>
      <c r="E2147" s="6" t="s">
        <v>2487</v>
      </c>
      <c r="F2147" s="6" t="s">
        <v>1555</v>
      </c>
      <c r="G2147" s="6" t="s">
        <v>2531</v>
      </c>
      <c r="H2147" s="5"/>
      <c r="I2147" s="6" t="s">
        <v>2512</v>
      </c>
    </row>
    <row r="2148" customFormat="false" ht="46.25" hidden="false" customHeight="false" outlineLevel="0" collapsed="false">
      <c r="A2148" s="5" t="s">
        <v>2526</v>
      </c>
      <c r="B2148" s="5" t="s">
        <v>1203</v>
      </c>
      <c r="C2148" s="5" t="s">
        <v>1348</v>
      </c>
      <c r="D2148" s="5" t="s">
        <v>755</v>
      </c>
      <c r="E2148" s="6" t="s">
        <v>2489</v>
      </c>
      <c r="F2148" s="6" t="s">
        <v>1555</v>
      </c>
      <c r="G2148" s="6" t="s">
        <v>2532</v>
      </c>
      <c r="H2148" s="5"/>
      <c r="I2148" s="6" t="s">
        <v>2512</v>
      </c>
    </row>
    <row r="2149" customFormat="false" ht="46.25" hidden="false" customHeight="false" outlineLevel="0" collapsed="false">
      <c r="A2149" s="5" t="s">
        <v>2533</v>
      </c>
      <c r="B2149" s="5" t="s">
        <v>1203</v>
      </c>
      <c r="C2149" s="5" t="s">
        <v>1352</v>
      </c>
      <c r="D2149" s="5" t="s">
        <v>760</v>
      </c>
      <c r="E2149" s="6" t="s">
        <v>2340</v>
      </c>
      <c r="F2149" s="6" t="s">
        <v>2479</v>
      </c>
      <c r="G2149" s="6" t="s">
        <v>2534</v>
      </c>
      <c r="H2149" s="5"/>
      <c r="I2149" s="6" t="s">
        <v>2512</v>
      </c>
    </row>
    <row r="2150" customFormat="false" ht="46.25" hidden="false" customHeight="false" outlineLevel="0" collapsed="false">
      <c r="A2150" s="5" t="s">
        <v>2533</v>
      </c>
      <c r="B2150" s="5" t="s">
        <v>1203</v>
      </c>
      <c r="C2150" s="5" t="s">
        <v>1352</v>
      </c>
      <c r="D2150" s="5" t="s">
        <v>760</v>
      </c>
      <c r="E2150" s="6" t="s">
        <v>2344</v>
      </c>
      <c r="F2150" s="6" t="s">
        <v>1555</v>
      </c>
      <c r="G2150" s="6" t="s">
        <v>2503</v>
      </c>
      <c r="H2150" s="5"/>
      <c r="I2150" s="6" t="s">
        <v>2512</v>
      </c>
    </row>
    <row r="2151" customFormat="false" ht="46.25" hidden="false" customHeight="false" outlineLevel="0" collapsed="false">
      <c r="A2151" s="5" t="s">
        <v>2533</v>
      </c>
      <c r="B2151" s="5" t="s">
        <v>1203</v>
      </c>
      <c r="C2151" s="5" t="s">
        <v>1352</v>
      </c>
      <c r="D2151" s="5" t="s">
        <v>760</v>
      </c>
      <c r="E2151" s="6" t="s">
        <v>2346</v>
      </c>
      <c r="F2151" s="6" t="s">
        <v>1555</v>
      </c>
      <c r="G2151" s="6" t="s">
        <v>2064</v>
      </c>
      <c r="H2151" s="5"/>
      <c r="I2151" s="6" t="s">
        <v>2512</v>
      </c>
    </row>
    <row r="2152" customFormat="false" ht="46.25" hidden="false" customHeight="false" outlineLevel="0" collapsed="false">
      <c r="A2152" s="5" t="s">
        <v>2533</v>
      </c>
      <c r="B2152" s="5" t="s">
        <v>1203</v>
      </c>
      <c r="C2152" s="5" t="s">
        <v>1352</v>
      </c>
      <c r="D2152" s="5" t="s">
        <v>760</v>
      </c>
      <c r="E2152" s="6" t="s">
        <v>2347</v>
      </c>
      <c r="F2152" s="6" t="s">
        <v>2483</v>
      </c>
      <c r="G2152" s="6" t="s">
        <v>1618</v>
      </c>
      <c r="H2152" s="5"/>
      <c r="I2152" s="6" t="s">
        <v>2512</v>
      </c>
    </row>
    <row r="2153" customFormat="false" ht="46.25" hidden="false" customHeight="false" outlineLevel="0" collapsed="false">
      <c r="A2153" s="5" t="s">
        <v>2533</v>
      </c>
      <c r="B2153" s="5" t="s">
        <v>1203</v>
      </c>
      <c r="C2153" s="5" t="s">
        <v>1352</v>
      </c>
      <c r="D2153" s="5" t="s">
        <v>760</v>
      </c>
      <c r="E2153" s="6" t="s">
        <v>2349</v>
      </c>
      <c r="F2153" s="6" t="s">
        <v>1555</v>
      </c>
      <c r="G2153" s="6" t="s">
        <v>2535</v>
      </c>
      <c r="H2153" s="5"/>
      <c r="I2153" s="6" t="s">
        <v>2512</v>
      </c>
    </row>
    <row r="2154" customFormat="false" ht="46.25" hidden="false" customHeight="false" outlineLevel="0" collapsed="false">
      <c r="A2154" s="5" t="s">
        <v>2533</v>
      </c>
      <c r="B2154" s="5" t="s">
        <v>1203</v>
      </c>
      <c r="C2154" s="5" t="s">
        <v>1352</v>
      </c>
      <c r="D2154" s="5" t="s">
        <v>760</v>
      </c>
      <c r="E2154" s="6" t="s">
        <v>2351</v>
      </c>
      <c r="F2154" s="6" t="s">
        <v>1555</v>
      </c>
      <c r="G2154" s="6" t="s">
        <v>2536</v>
      </c>
      <c r="H2154" s="5"/>
      <c r="I2154" s="6" t="s">
        <v>2512</v>
      </c>
    </row>
    <row r="2155" customFormat="false" ht="46.25" hidden="false" customHeight="false" outlineLevel="0" collapsed="false">
      <c r="A2155" s="5" t="s">
        <v>2533</v>
      </c>
      <c r="B2155" s="5" t="s">
        <v>1203</v>
      </c>
      <c r="C2155" s="5" t="s">
        <v>1352</v>
      </c>
      <c r="D2155" s="5" t="s">
        <v>760</v>
      </c>
      <c r="E2155" s="6" t="s">
        <v>2487</v>
      </c>
      <c r="F2155" s="6" t="s">
        <v>1555</v>
      </c>
      <c r="G2155" s="6" t="s">
        <v>2537</v>
      </c>
      <c r="H2155" s="5"/>
      <c r="I2155" s="6" t="s">
        <v>2512</v>
      </c>
    </row>
    <row r="2156" customFormat="false" ht="46.25" hidden="false" customHeight="false" outlineLevel="0" collapsed="false">
      <c r="A2156" s="5" t="s">
        <v>2533</v>
      </c>
      <c r="B2156" s="5" t="s">
        <v>1203</v>
      </c>
      <c r="C2156" s="5" t="s">
        <v>1352</v>
      </c>
      <c r="D2156" s="5" t="s">
        <v>760</v>
      </c>
      <c r="E2156" s="6" t="s">
        <v>2489</v>
      </c>
      <c r="F2156" s="6" t="s">
        <v>1555</v>
      </c>
      <c r="G2156" s="6" t="s">
        <v>2538</v>
      </c>
      <c r="H2156" s="5"/>
      <c r="I2156" s="6" t="s">
        <v>2512</v>
      </c>
    </row>
    <row r="2157" customFormat="false" ht="46.25" hidden="false" customHeight="false" outlineLevel="0" collapsed="false">
      <c r="A2157" s="5" t="s">
        <v>2539</v>
      </c>
      <c r="B2157" s="5" t="s">
        <v>1203</v>
      </c>
      <c r="C2157" s="5" t="s">
        <v>1355</v>
      </c>
      <c r="D2157" s="5" t="s">
        <v>765</v>
      </c>
      <c r="E2157" s="6" t="s">
        <v>2340</v>
      </c>
      <c r="F2157" s="6" t="s">
        <v>2479</v>
      </c>
      <c r="G2157" s="6" t="s">
        <v>2540</v>
      </c>
      <c r="H2157" s="5"/>
      <c r="I2157" s="6" t="s">
        <v>2512</v>
      </c>
    </row>
    <row r="2158" customFormat="false" ht="46.25" hidden="false" customHeight="false" outlineLevel="0" collapsed="false">
      <c r="A2158" s="5" t="s">
        <v>2539</v>
      </c>
      <c r="B2158" s="5" t="s">
        <v>1203</v>
      </c>
      <c r="C2158" s="5" t="s">
        <v>1355</v>
      </c>
      <c r="D2158" s="5" t="s">
        <v>765</v>
      </c>
      <c r="E2158" s="6" t="s">
        <v>2344</v>
      </c>
      <c r="F2158" s="6" t="s">
        <v>1555</v>
      </c>
      <c r="G2158" s="6" t="s">
        <v>2503</v>
      </c>
      <c r="H2158" s="5"/>
      <c r="I2158" s="6" t="s">
        <v>2512</v>
      </c>
    </row>
    <row r="2159" customFormat="false" ht="46.25" hidden="false" customHeight="false" outlineLevel="0" collapsed="false">
      <c r="A2159" s="5" t="s">
        <v>2539</v>
      </c>
      <c r="B2159" s="5" t="s">
        <v>1203</v>
      </c>
      <c r="C2159" s="5" t="s">
        <v>1355</v>
      </c>
      <c r="D2159" s="5" t="s">
        <v>765</v>
      </c>
      <c r="E2159" s="6" t="s">
        <v>2346</v>
      </c>
      <c r="F2159" s="6" t="s">
        <v>1555</v>
      </c>
      <c r="G2159" s="6" t="s">
        <v>2064</v>
      </c>
      <c r="H2159" s="5"/>
      <c r="I2159" s="6" t="s">
        <v>2512</v>
      </c>
    </row>
    <row r="2160" customFormat="false" ht="46.25" hidden="false" customHeight="false" outlineLevel="0" collapsed="false">
      <c r="A2160" s="5" t="s">
        <v>2539</v>
      </c>
      <c r="B2160" s="5" t="s">
        <v>1203</v>
      </c>
      <c r="C2160" s="5" t="s">
        <v>1355</v>
      </c>
      <c r="D2160" s="5" t="s">
        <v>765</v>
      </c>
      <c r="E2160" s="6" t="s">
        <v>2347</v>
      </c>
      <c r="F2160" s="6" t="s">
        <v>2483</v>
      </c>
      <c r="G2160" s="6" t="s">
        <v>2064</v>
      </c>
      <c r="H2160" s="5"/>
      <c r="I2160" s="6" t="s">
        <v>2512</v>
      </c>
    </row>
    <row r="2161" customFormat="false" ht="46.25" hidden="false" customHeight="false" outlineLevel="0" collapsed="false">
      <c r="A2161" s="5" t="s">
        <v>2539</v>
      </c>
      <c r="B2161" s="5" t="s">
        <v>1203</v>
      </c>
      <c r="C2161" s="5" t="s">
        <v>1355</v>
      </c>
      <c r="D2161" s="5" t="s">
        <v>765</v>
      </c>
      <c r="E2161" s="6" t="s">
        <v>2349</v>
      </c>
      <c r="F2161" s="6" t="s">
        <v>1555</v>
      </c>
      <c r="G2161" s="6" t="s">
        <v>2541</v>
      </c>
      <c r="H2161" s="5"/>
      <c r="I2161" s="6" t="s">
        <v>2512</v>
      </c>
    </row>
    <row r="2162" customFormat="false" ht="46.25" hidden="false" customHeight="false" outlineLevel="0" collapsed="false">
      <c r="A2162" s="5" t="s">
        <v>2539</v>
      </c>
      <c r="B2162" s="5" t="s">
        <v>1203</v>
      </c>
      <c r="C2162" s="5" t="s">
        <v>1355</v>
      </c>
      <c r="D2162" s="5" t="s">
        <v>765</v>
      </c>
      <c r="E2162" s="6" t="s">
        <v>2351</v>
      </c>
      <c r="F2162" s="6" t="s">
        <v>1555</v>
      </c>
      <c r="G2162" s="6" t="s">
        <v>2542</v>
      </c>
      <c r="H2162" s="5"/>
      <c r="I2162" s="6" t="s">
        <v>2512</v>
      </c>
    </row>
    <row r="2163" customFormat="false" ht="46.25" hidden="false" customHeight="false" outlineLevel="0" collapsed="false">
      <c r="A2163" s="5" t="s">
        <v>2539</v>
      </c>
      <c r="B2163" s="5" t="s">
        <v>1203</v>
      </c>
      <c r="C2163" s="5" t="s">
        <v>1355</v>
      </c>
      <c r="D2163" s="5" t="s">
        <v>765</v>
      </c>
      <c r="E2163" s="6" t="s">
        <v>2487</v>
      </c>
      <c r="F2163" s="6" t="s">
        <v>1555</v>
      </c>
      <c r="G2163" s="6" t="s">
        <v>2537</v>
      </c>
      <c r="H2163" s="5"/>
      <c r="I2163" s="6" t="s">
        <v>2512</v>
      </c>
    </row>
    <row r="2164" customFormat="false" ht="46.25" hidden="false" customHeight="false" outlineLevel="0" collapsed="false">
      <c r="A2164" s="5" t="s">
        <v>2539</v>
      </c>
      <c r="B2164" s="5" t="s">
        <v>1203</v>
      </c>
      <c r="C2164" s="5" t="s">
        <v>1355</v>
      </c>
      <c r="D2164" s="5" t="s">
        <v>765</v>
      </c>
      <c r="E2164" s="6" t="s">
        <v>2489</v>
      </c>
      <c r="F2164" s="6" t="s">
        <v>1555</v>
      </c>
      <c r="G2164" s="6" t="s">
        <v>2543</v>
      </c>
      <c r="H2164" s="5"/>
      <c r="I2164" s="6" t="s">
        <v>2512</v>
      </c>
    </row>
    <row r="2165" customFormat="false" ht="46.25" hidden="false" customHeight="false" outlineLevel="0" collapsed="false">
      <c r="A2165" s="5" t="s">
        <v>2544</v>
      </c>
      <c r="B2165" s="5" t="s">
        <v>1203</v>
      </c>
      <c r="C2165" s="5" t="s">
        <v>1358</v>
      </c>
      <c r="D2165" s="5" t="s">
        <v>770</v>
      </c>
      <c r="E2165" s="6" t="s">
        <v>2340</v>
      </c>
      <c r="F2165" s="6" t="s">
        <v>2479</v>
      </c>
      <c r="G2165" s="6" t="s">
        <v>2545</v>
      </c>
      <c r="H2165" s="5"/>
      <c r="I2165" s="6" t="s">
        <v>2512</v>
      </c>
    </row>
    <row r="2166" customFormat="false" ht="46.25" hidden="false" customHeight="false" outlineLevel="0" collapsed="false">
      <c r="A2166" s="5" t="s">
        <v>2544</v>
      </c>
      <c r="B2166" s="5" t="s">
        <v>1203</v>
      </c>
      <c r="C2166" s="5" t="s">
        <v>1358</v>
      </c>
      <c r="D2166" s="5" t="s">
        <v>770</v>
      </c>
      <c r="E2166" s="6" t="s">
        <v>2344</v>
      </c>
      <c r="F2166" s="6" t="s">
        <v>1555</v>
      </c>
      <c r="G2166" s="6" t="s">
        <v>2482</v>
      </c>
      <c r="H2166" s="5"/>
      <c r="I2166" s="6" t="s">
        <v>2512</v>
      </c>
    </row>
    <row r="2167" customFormat="false" ht="46.25" hidden="false" customHeight="false" outlineLevel="0" collapsed="false">
      <c r="A2167" s="5" t="s">
        <v>2544</v>
      </c>
      <c r="B2167" s="5" t="s">
        <v>1203</v>
      </c>
      <c r="C2167" s="5" t="s">
        <v>1358</v>
      </c>
      <c r="D2167" s="5" t="s">
        <v>770</v>
      </c>
      <c r="E2167" s="6" t="s">
        <v>2346</v>
      </c>
      <c r="F2167" s="6" t="s">
        <v>1555</v>
      </c>
      <c r="G2167" s="6" t="s">
        <v>2064</v>
      </c>
      <c r="H2167" s="5"/>
      <c r="I2167" s="6" t="s">
        <v>2512</v>
      </c>
    </row>
    <row r="2168" customFormat="false" ht="46.25" hidden="false" customHeight="false" outlineLevel="0" collapsed="false">
      <c r="A2168" s="5" t="s">
        <v>2544</v>
      </c>
      <c r="B2168" s="5" t="s">
        <v>1203</v>
      </c>
      <c r="C2168" s="5" t="s">
        <v>1358</v>
      </c>
      <c r="D2168" s="5" t="s">
        <v>770</v>
      </c>
      <c r="E2168" s="6" t="s">
        <v>2347</v>
      </c>
      <c r="F2168" s="6" t="s">
        <v>2483</v>
      </c>
      <c r="G2168" s="6" t="s">
        <v>1618</v>
      </c>
      <c r="H2168" s="5"/>
      <c r="I2168" s="6" t="s">
        <v>2512</v>
      </c>
    </row>
    <row r="2169" customFormat="false" ht="46.25" hidden="false" customHeight="false" outlineLevel="0" collapsed="false">
      <c r="A2169" s="5" t="s">
        <v>2544</v>
      </c>
      <c r="B2169" s="5" t="s">
        <v>1203</v>
      </c>
      <c r="C2169" s="5" t="s">
        <v>1358</v>
      </c>
      <c r="D2169" s="5" t="s">
        <v>770</v>
      </c>
      <c r="E2169" s="6" t="s">
        <v>2349</v>
      </c>
      <c r="F2169" s="6" t="s">
        <v>1555</v>
      </c>
      <c r="G2169" s="6" t="s">
        <v>2546</v>
      </c>
      <c r="H2169" s="5"/>
      <c r="I2169" s="6" t="s">
        <v>2512</v>
      </c>
    </row>
    <row r="2170" customFormat="false" ht="46.25" hidden="false" customHeight="false" outlineLevel="0" collapsed="false">
      <c r="A2170" s="5" t="s">
        <v>2544</v>
      </c>
      <c r="B2170" s="5" t="s">
        <v>1203</v>
      </c>
      <c r="C2170" s="5" t="s">
        <v>1358</v>
      </c>
      <c r="D2170" s="5" t="s">
        <v>770</v>
      </c>
      <c r="E2170" s="6" t="s">
        <v>2351</v>
      </c>
      <c r="F2170" s="6" t="s">
        <v>1555</v>
      </c>
      <c r="G2170" s="6" t="s">
        <v>2547</v>
      </c>
      <c r="H2170" s="5"/>
      <c r="I2170" s="6" t="s">
        <v>2512</v>
      </c>
    </row>
    <row r="2171" customFormat="false" ht="46.25" hidden="false" customHeight="false" outlineLevel="0" collapsed="false">
      <c r="A2171" s="5" t="s">
        <v>2544</v>
      </c>
      <c r="B2171" s="5" t="s">
        <v>1203</v>
      </c>
      <c r="C2171" s="5" t="s">
        <v>1358</v>
      </c>
      <c r="D2171" s="5" t="s">
        <v>770</v>
      </c>
      <c r="E2171" s="6" t="s">
        <v>2487</v>
      </c>
      <c r="F2171" s="6" t="s">
        <v>1555</v>
      </c>
      <c r="G2171" s="6" t="s">
        <v>2496</v>
      </c>
      <c r="H2171" s="5"/>
      <c r="I2171" s="6" t="s">
        <v>2512</v>
      </c>
    </row>
    <row r="2172" customFormat="false" ht="46.25" hidden="false" customHeight="false" outlineLevel="0" collapsed="false">
      <c r="A2172" s="5" t="s">
        <v>2544</v>
      </c>
      <c r="B2172" s="5" t="s">
        <v>1203</v>
      </c>
      <c r="C2172" s="5" t="s">
        <v>1358</v>
      </c>
      <c r="D2172" s="5" t="s">
        <v>770</v>
      </c>
      <c r="E2172" s="6" t="s">
        <v>2489</v>
      </c>
      <c r="F2172" s="6" t="s">
        <v>1555</v>
      </c>
      <c r="G2172" s="6" t="s">
        <v>2548</v>
      </c>
      <c r="H2172" s="5"/>
      <c r="I2172" s="6" t="s">
        <v>2512</v>
      </c>
    </row>
    <row r="2173" customFormat="false" ht="46.25" hidden="false" customHeight="false" outlineLevel="0" collapsed="false">
      <c r="A2173" s="5" t="s">
        <v>2549</v>
      </c>
      <c r="B2173" s="5" t="s">
        <v>1203</v>
      </c>
      <c r="C2173" s="5" t="s">
        <v>1360</v>
      </c>
      <c r="D2173" s="5" t="s">
        <v>776</v>
      </c>
      <c r="E2173" s="6" t="s">
        <v>2340</v>
      </c>
      <c r="F2173" s="6" t="s">
        <v>2479</v>
      </c>
      <c r="G2173" s="6" t="s">
        <v>2550</v>
      </c>
      <c r="H2173" s="5"/>
      <c r="I2173" s="6" t="s">
        <v>2512</v>
      </c>
    </row>
    <row r="2174" customFormat="false" ht="46.25" hidden="false" customHeight="false" outlineLevel="0" collapsed="false">
      <c r="A2174" s="5" t="s">
        <v>2549</v>
      </c>
      <c r="B2174" s="5" t="s">
        <v>1203</v>
      </c>
      <c r="C2174" s="5" t="s">
        <v>1360</v>
      </c>
      <c r="D2174" s="5" t="s">
        <v>776</v>
      </c>
      <c r="E2174" s="6" t="s">
        <v>2344</v>
      </c>
      <c r="F2174" s="6" t="s">
        <v>1555</v>
      </c>
      <c r="G2174" s="6" t="s">
        <v>2531</v>
      </c>
      <c r="H2174" s="5"/>
      <c r="I2174" s="6" t="s">
        <v>2512</v>
      </c>
    </row>
    <row r="2175" customFormat="false" ht="46.25" hidden="false" customHeight="false" outlineLevel="0" collapsed="false">
      <c r="A2175" s="5" t="s">
        <v>2549</v>
      </c>
      <c r="B2175" s="5" t="s">
        <v>1203</v>
      </c>
      <c r="C2175" s="5" t="s">
        <v>1360</v>
      </c>
      <c r="D2175" s="5" t="s">
        <v>776</v>
      </c>
      <c r="E2175" s="6" t="s">
        <v>2346</v>
      </c>
      <c r="F2175" s="6" t="s">
        <v>1555</v>
      </c>
      <c r="G2175" s="6" t="s">
        <v>2064</v>
      </c>
      <c r="H2175" s="5"/>
      <c r="I2175" s="6" t="s">
        <v>2512</v>
      </c>
    </row>
    <row r="2176" customFormat="false" ht="46.25" hidden="false" customHeight="false" outlineLevel="0" collapsed="false">
      <c r="A2176" s="5" t="s">
        <v>2549</v>
      </c>
      <c r="B2176" s="5" t="s">
        <v>1203</v>
      </c>
      <c r="C2176" s="5" t="s">
        <v>1360</v>
      </c>
      <c r="D2176" s="5" t="s">
        <v>776</v>
      </c>
      <c r="E2176" s="6" t="s">
        <v>2347</v>
      </c>
      <c r="F2176" s="6" t="s">
        <v>2483</v>
      </c>
      <c r="G2176" s="6" t="s">
        <v>1618</v>
      </c>
      <c r="H2176" s="5"/>
      <c r="I2176" s="6" t="s">
        <v>2512</v>
      </c>
    </row>
    <row r="2177" customFormat="false" ht="46.25" hidden="false" customHeight="false" outlineLevel="0" collapsed="false">
      <c r="A2177" s="5" t="s">
        <v>2549</v>
      </c>
      <c r="B2177" s="5" t="s">
        <v>1203</v>
      </c>
      <c r="C2177" s="5" t="s">
        <v>1360</v>
      </c>
      <c r="D2177" s="5" t="s">
        <v>776</v>
      </c>
      <c r="E2177" s="6" t="s">
        <v>2349</v>
      </c>
      <c r="F2177" s="6" t="s">
        <v>1555</v>
      </c>
      <c r="G2177" s="6" t="s">
        <v>2551</v>
      </c>
      <c r="H2177" s="5"/>
      <c r="I2177" s="6" t="s">
        <v>2512</v>
      </c>
    </row>
    <row r="2178" customFormat="false" ht="46.25" hidden="false" customHeight="false" outlineLevel="0" collapsed="false">
      <c r="A2178" s="5" t="s">
        <v>2549</v>
      </c>
      <c r="B2178" s="5" t="s">
        <v>1203</v>
      </c>
      <c r="C2178" s="5" t="s">
        <v>1360</v>
      </c>
      <c r="D2178" s="5" t="s">
        <v>776</v>
      </c>
      <c r="E2178" s="6" t="s">
        <v>2351</v>
      </c>
      <c r="F2178" s="6" t="s">
        <v>1555</v>
      </c>
      <c r="G2178" s="6" t="s">
        <v>2552</v>
      </c>
      <c r="H2178" s="5"/>
      <c r="I2178" s="6" t="s">
        <v>2512</v>
      </c>
    </row>
    <row r="2179" customFormat="false" ht="46.25" hidden="false" customHeight="false" outlineLevel="0" collapsed="false">
      <c r="A2179" s="5" t="s">
        <v>2549</v>
      </c>
      <c r="B2179" s="5" t="s">
        <v>1203</v>
      </c>
      <c r="C2179" s="5" t="s">
        <v>1360</v>
      </c>
      <c r="D2179" s="5" t="s">
        <v>776</v>
      </c>
      <c r="E2179" s="6" t="s">
        <v>2487</v>
      </c>
      <c r="F2179" s="6" t="s">
        <v>1555</v>
      </c>
      <c r="G2179" s="6" t="s">
        <v>2553</v>
      </c>
      <c r="H2179" s="5"/>
      <c r="I2179" s="6" t="s">
        <v>2512</v>
      </c>
    </row>
    <row r="2180" customFormat="false" ht="46.25" hidden="false" customHeight="false" outlineLevel="0" collapsed="false">
      <c r="A2180" s="5" t="s">
        <v>2549</v>
      </c>
      <c r="B2180" s="5" t="s">
        <v>1203</v>
      </c>
      <c r="C2180" s="5" t="s">
        <v>1360</v>
      </c>
      <c r="D2180" s="5" t="s">
        <v>776</v>
      </c>
      <c r="E2180" s="6" t="s">
        <v>2489</v>
      </c>
      <c r="F2180" s="6" t="s">
        <v>1555</v>
      </c>
      <c r="G2180" s="6" t="s">
        <v>2554</v>
      </c>
      <c r="H2180" s="5"/>
      <c r="I2180" s="6" t="s">
        <v>2512</v>
      </c>
    </row>
    <row r="2181" customFormat="false" ht="46.25" hidden="false" customHeight="false" outlineLevel="0" collapsed="false">
      <c r="A2181" s="5" t="s">
        <v>2555</v>
      </c>
      <c r="B2181" s="5" t="s">
        <v>1203</v>
      </c>
      <c r="C2181" s="5" t="s">
        <v>1363</v>
      </c>
      <c r="D2181" s="5" t="s">
        <v>781</v>
      </c>
      <c r="E2181" s="6" t="s">
        <v>2340</v>
      </c>
      <c r="F2181" s="6" t="s">
        <v>2479</v>
      </c>
      <c r="G2181" s="6" t="s">
        <v>2556</v>
      </c>
      <c r="H2181" s="5"/>
      <c r="I2181" s="6" t="s">
        <v>2512</v>
      </c>
    </row>
    <row r="2182" customFormat="false" ht="46.25" hidden="false" customHeight="false" outlineLevel="0" collapsed="false">
      <c r="A2182" s="5" t="s">
        <v>2555</v>
      </c>
      <c r="B2182" s="5" t="s">
        <v>1203</v>
      </c>
      <c r="C2182" s="5" t="s">
        <v>1363</v>
      </c>
      <c r="D2182" s="5" t="s">
        <v>781</v>
      </c>
      <c r="E2182" s="6" t="s">
        <v>2344</v>
      </c>
      <c r="F2182" s="6" t="s">
        <v>1555</v>
      </c>
      <c r="G2182" s="6" t="s">
        <v>2482</v>
      </c>
      <c r="H2182" s="5"/>
      <c r="I2182" s="6" t="s">
        <v>2512</v>
      </c>
    </row>
    <row r="2183" customFormat="false" ht="46.25" hidden="false" customHeight="false" outlineLevel="0" collapsed="false">
      <c r="A2183" s="5" t="s">
        <v>2555</v>
      </c>
      <c r="B2183" s="5" t="s">
        <v>1203</v>
      </c>
      <c r="C2183" s="5" t="s">
        <v>1363</v>
      </c>
      <c r="D2183" s="5" t="s">
        <v>781</v>
      </c>
      <c r="E2183" s="6" t="s">
        <v>2346</v>
      </c>
      <c r="F2183" s="6" t="s">
        <v>1555</v>
      </c>
      <c r="G2183" s="6" t="s">
        <v>1618</v>
      </c>
      <c r="H2183" s="5"/>
      <c r="I2183" s="6" t="s">
        <v>2512</v>
      </c>
    </row>
    <row r="2184" customFormat="false" ht="46.25" hidden="false" customHeight="false" outlineLevel="0" collapsed="false">
      <c r="A2184" s="5" t="s">
        <v>2555</v>
      </c>
      <c r="B2184" s="5" t="s">
        <v>1203</v>
      </c>
      <c r="C2184" s="5" t="s">
        <v>1363</v>
      </c>
      <c r="D2184" s="5" t="s">
        <v>781</v>
      </c>
      <c r="E2184" s="6" t="s">
        <v>2347</v>
      </c>
      <c r="F2184" s="6" t="s">
        <v>2483</v>
      </c>
      <c r="G2184" s="6" t="s">
        <v>2484</v>
      </c>
      <c r="H2184" s="5"/>
      <c r="I2184" s="6" t="s">
        <v>2512</v>
      </c>
    </row>
    <row r="2185" customFormat="false" ht="46.25" hidden="false" customHeight="false" outlineLevel="0" collapsed="false">
      <c r="A2185" s="5" t="s">
        <v>2555</v>
      </c>
      <c r="B2185" s="5" t="s">
        <v>1203</v>
      </c>
      <c r="C2185" s="5" t="s">
        <v>1363</v>
      </c>
      <c r="D2185" s="5" t="s">
        <v>781</v>
      </c>
      <c r="E2185" s="6" t="s">
        <v>2349</v>
      </c>
      <c r="F2185" s="6" t="s">
        <v>1555</v>
      </c>
      <c r="G2185" s="6" t="s">
        <v>2557</v>
      </c>
      <c r="H2185" s="5"/>
      <c r="I2185" s="6" t="s">
        <v>2512</v>
      </c>
    </row>
    <row r="2186" customFormat="false" ht="46.25" hidden="false" customHeight="false" outlineLevel="0" collapsed="false">
      <c r="A2186" s="5" t="s">
        <v>2555</v>
      </c>
      <c r="B2186" s="5" t="s">
        <v>1203</v>
      </c>
      <c r="C2186" s="5" t="s">
        <v>1363</v>
      </c>
      <c r="D2186" s="5" t="s">
        <v>781</v>
      </c>
      <c r="E2186" s="6" t="s">
        <v>2351</v>
      </c>
      <c r="F2186" s="6" t="s">
        <v>1555</v>
      </c>
      <c r="G2186" s="6" t="s">
        <v>2558</v>
      </c>
      <c r="H2186" s="5"/>
      <c r="I2186" s="6" t="s">
        <v>2512</v>
      </c>
    </row>
    <row r="2187" customFormat="false" ht="46.25" hidden="false" customHeight="false" outlineLevel="0" collapsed="false">
      <c r="A2187" s="5" t="s">
        <v>2555</v>
      </c>
      <c r="B2187" s="5" t="s">
        <v>1203</v>
      </c>
      <c r="C2187" s="5" t="s">
        <v>1363</v>
      </c>
      <c r="D2187" s="5" t="s">
        <v>781</v>
      </c>
      <c r="E2187" s="6" t="s">
        <v>2487</v>
      </c>
      <c r="F2187" s="6" t="s">
        <v>1555</v>
      </c>
      <c r="G2187" s="6" t="s">
        <v>2488</v>
      </c>
      <c r="H2187" s="5"/>
      <c r="I2187" s="6" t="s">
        <v>2512</v>
      </c>
    </row>
    <row r="2188" customFormat="false" ht="46.25" hidden="false" customHeight="false" outlineLevel="0" collapsed="false">
      <c r="A2188" s="5" t="s">
        <v>2555</v>
      </c>
      <c r="B2188" s="5" t="s">
        <v>1203</v>
      </c>
      <c r="C2188" s="5" t="s">
        <v>1363</v>
      </c>
      <c r="D2188" s="5" t="s">
        <v>781</v>
      </c>
      <c r="E2188" s="6" t="s">
        <v>2489</v>
      </c>
      <c r="F2188" s="6" t="s">
        <v>1555</v>
      </c>
      <c r="G2188" s="6" t="s">
        <v>2559</v>
      </c>
      <c r="H2188" s="5"/>
      <c r="I2188" s="6" t="s">
        <v>2512</v>
      </c>
    </row>
    <row r="2189" customFormat="false" ht="46.25" hidden="false" customHeight="false" outlineLevel="0" collapsed="false">
      <c r="A2189" s="5" t="s">
        <v>2560</v>
      </c>
      <c r="B2189" s="5" t="s">
        <v>1203</v>
      </c>
      <c r="C2189" s="5" t="s">
        <v>1366</v>
      </c>
      <c r="D2189" s="5" t="s">
        <v>1368</v>
      </c>
      <c r="E2189" s="6" t="s">
        <v>2340</v>
      </c>
      <c r="F2189" s="6" t="s">
        <v>2479</v>
      </c>
      <c r="G2189" s="6" t="s">
        <v>2561</v>
      </c>
      <c r="H2189" s="5"/>
      <c r="I2189" s="6" t="s">
        <v>2512</v>
      </c>
    </row>
    <row r="2190" customFormat="false" ht="46.25" hidden="false" customHeight="false" outlineLevel="0" collapsed="false">
      <c r="A2190" s="5" t="s">
        <v>2560</v>
      </c>
      <c r="B2190" s="5" t="s">
        <v>1203</v>
      </c>
      <c r="C2190" s="5" t="s">
        <v>1366</v>
      </c>
      <c r="D2190" s="5" t="s">
        <v>1368</v>
      </c>
      <c r="E2190" s="6" t="s">
        <v>2344</v>
      </c>
      <c r="F2190" s="6" t="s">
        <v>1555</v>
      </c>
      <c r="G2190" s="6" t="s">
        <v>2493</v>
      </c>
      <c r="H2190" s="5"/>
      <c r="I2190" s="6" t="s">
        <v>2512</v>
      </c>
    </row>
    <row r="2191" customFormat="false" ht="46.25" hidden="false" customHeight="false" outlineLevel="0" collapsed="false">
      <c r="A2191" s="5" t="s">
        <v>2560</v>
      </c>
      <c r="B2191" s="5" t="s">
        <v>1203</v>
      </c>
      <c r="C2191" s="5" t="s">
        <v>1366</v>
      </c>
      <c r="D2191" s="5" t="s">
        <v>1368</v>
      </c>
      <c r="E2191" s="6" t="s">
        <v>2346</v>
      </c>
      <c r="F2191" s="6" t="s">
        <v>1555</v>
      </c>
      <c r="G2191" s="6" t="s">
        <v>2064</v>
      </c>
      <c r="H2191" s="5"/>
      <c r="I2191" s="6" t="s">
        <v>2512</v>
      </c>
    </row>
    <row r="2192" customFormat="false" ht="46.25" hidden="false" customHeight="false" outlineLevel="0" collapsed="false">
      <c r="A2192" s="5" t="s">
        <v>2560</v>
      </c>
      <c r="B2192" s="5" t="s">
        <v>1203</v>
      </c>
      <c r="C2192" s="5" t="s">
        <v>1366</v>
      </c>
      <c r="D2192" s="5" t="s">
        <v>1368</v>
      </c>
      <c r="E2192" s="6" t="s">
        <v>2347</v>
      </c>
      <c r="F2192" s="6" t="s">
        <v>2483</v>
      </c>
      <c r="G2192" s="6" t="s">
        <v>2562</v>
      </c>
      <c r="H2192" s="5"/>
      <c r="I2192" s="6" t="s">
        <v>2512</v>
      </c>
    </row>
    <row r="2193" customFormat="false" ht="46.25" hidden="false" customHeight="false" outlineLevel="0" collapsed="false">
      <c r="A2193" s="5" t="s">
        <v>2560</v>
      </c>
      <c r="B2193" s="5" t="s">
        <v>1203</v>
      </c>
      <c r="C2193" s="5" t="s">
        <v>1366</v>
      </c>
      <c r="D2193" s="5" t="s">
        <v>1368</v>
      </c>
      <c r="E2193" s="6" t="s">
        <v>2349</v>
      </c>
      <c r="F2193" s="6" t="s">
        <v>1555</v>
      </c>
      <c r="G2193" s="6" t="s">
        <v>2563</v>
      </c>
      <c r="H2193" s="5"/>
      <c r="I2193" s="6" t="s">
        <v>2512</v>
      </c>
    </row>
    <row r="2194" customFormat="false" ht="46.25" hidden="false" customHeight="false" outlineLevel="0" collapsed="false">
      <c r="A2194" s="5" t="s">
        <v>2560</v>
      </c>
      <c r="B2194" s="5" t="s">
        <v>1203</v>
      </c>
      <c r="C2194" s="5" t="s">
        <v>1366</v>
      </c>
      <c r="D2194" s="5" t="s">
        <v>1368</v>
      </c>
      <c r="E2194" s="6" t="s">
        <v>2351</v>
      </c>
      <c r="F2194" s="6" t="s">
        <v>1555</v>
      </c>
      <c r="G2194" s="6" t="s">
        <v>2564</v>
      </c>
      <c r="H2194" s="5"/>
      <c r="I2194" s="6" t="s">
        <v>2512</v>
      </c>
    </row>
    <row r="2195" customFormat="false" ht="46.25" hidden="false" customHeight="false" outlineLevel="0" collapsed="false">
      <c r="A2195" s="5" t="s">
        <v>2560</v>
      </c>
      <c r="B2195" s="5" t="s">
        <v>1203</v>
      </c>
      <c r="C2195" s="5" t="s">
        <v>1366</v>
      </c>
      <c r="D2195" s="5" t="s">
        <v>1368</v>
      </c>
      <c r="E2195" s="6" t="s">
        <v>2487</v>
      </c>
      <c r="F2195" s="6" t="s">
        <v>1555</v>
      </c>
      <c r="G2195" s="6" t="s">
        <v>2493</v>
      </c>
      <c r="H2195" s="5"/>
      <c r="I2195" s="6" t="s">
        <v>2512</v>
      </c>
    </row>
    <row r="2196" customFormat="false" ht="46.25" hidden="false" customHeight="false" outlineLevel="0" collapsed="false">
      <c r="A2196" s="5" t="s">
        <v>2560</v>
      </c>
      <c r="B2196" s="5" t="s">
        <v>1203</v>
      </c>
      <c r="C2196" s="5" t="s">
        <v>1366</v>
      </c>
      <c r="D2196" s="5" t="s">
        <v>1368</v>
      </c>
      <c r="E2196" s="6" t="s">
        <v>2489</v>
      </c>
      <c r="F2196" s="6" t="s">
        <v>1555</v>
      </c>
      <c r="G2196" s="6" t="s">
        <v>2565</v>
      </c>
      <c r="H2196" s="5"/>
      <c r="I2196" s="6" t="s">
        <v>2512</v>
      </c>
    </row>
    <row r="2197" customFormat="false" ht="46.25" hidden="false" customHeight="false" outlineLevel="0" collapsed="false">
      <c r="A2197" s="5" t="s">
        <v>2566</v>
      </c>
      <c r="B2197" s="5" t="s">
        <v>1203</v>
      </c>
      <c r="C2197" s="5" t="s">
        <v>1371</v>
      </c>
      <c r="D2197" s="5" t="s">
        <v>1372</v>
      </c>
      <c r="E2197" s="6" t="s">
        <v>2340</v>
      </c>
      <c r="F2197" s="6" t="s">
        <v>2479</v>
      </c>
      <c r="G2197" s="6" t="s">
        <v>2567</v>
      </c>
      <c r="H2197" s="5"/>
      <c r="I2197" s="6" t="s">
        <v>2512</v>
      </c>
    </row>
    <row r="2198" customFormat="false" ht="46.25" hidden="false" customHeight="false" outlineLevel="0" collapsed="false">
      <c r="A2198" s="5" t="s">
        <v>2566</v>
      </c>
      <c r="B2198" s="5" t="s">
        <v>1203</v>
      </c>
      <c r="C2198" s="5" t="s">
        <v>1371</v>
      </c>
      <c r="D2198" s="5" t="s">
        <v>1372</v>
      </c>
      <c r="E2198" s="6" t="s">
        <v>2344</v>
      </c>
      <c r="F2198" s="6" t="s">
        <v>1555</v>
      </c>
      <c r="G2198" s="6" t="s">
        <v>2484</v>
      </c>
      <c r="H2198" s="5"/>
      <c r="I2198" s="6" t="s">
        <v>2512</v>
      </c>
    </row>
    <row r="2199" customFormat="false" ht="46.25" hidden="false" customHeight="false" outlineLevel="0" collapsed="false">
      <c r="A2199" s="5" t="s">
        <v>2566</v>
      </c>
      <c r="B2199" s="5" t="s">
        <v>1203</v>
      </c>
      <c r="C2199" s="5" t="s">
        <v>1371</v>
      </c>
      <c r="D2199" s="5" t="s">
        <v>1372</v>
      </c>
      <c r="E2199" s="6" t="s">
        <v>2346</v>
      </c>
      <c r="F2199" s="6" t="s">
        <v>1555</v>
      </c>
      <c r="G2199" s="6" t="s">
        <v>2064</v>
      </c>
      <c r="H2199" s="5"/>
      <c r="I2199" s="6" t="s">
        <v>2512</v>
      </c>
    </row>
    <row r="2200" customFormat="false" ht="46.25" hidden="false" customHeight="false" outlineLevel="0" collapsed="false">
      <c r="A2200" s="5" t="s">
        <v>2566</v>
      </c>
      <c r="B2200" s="5" t="s">
        <v>1203</v>
      </c>
      <c r="C2200" s="5" t="s">
        <v>1371</v>
      </c>
      <c r="D2200" s="5" t="s">
        <v>1372</v>
      </c>
      <c r="E2200" s="6" t="s">
        <v>2347</v>
      </c>
      <c r="F2200" s="6" t="s">
        <v>2483</v>
      </c>
      <c r="G2200" s="6" t="s">
        <v>2562</v>
      </c>
      <c r="H2200" s="5"/>
      <c r="I2200" s="6" t="s">
        <v>2512</v>
      </c>
    </row>
    <row r="2201" customFormat="false" ht="46.25" hidden="false" customHeight="false" outlineLevel="0" collapsed="false">
      <c r="A2201" s="5" t="s">
        <v>2566</v>
      </c>
      <c r="B2201" s="5" t="s">
        <v>1203</v>
      </c>
      <c r="C2201" s="5" t="s">
        <v>1371</v>
      </c>
      <c r="D2201" s="5" t="s">
        <v>1372</v>
      </c>
      <c r="E2201" s="6" t="s">
        <v>2349</v>
      </c>
      <c r="F2201" s="6" t="s">
        <v>1555</v>
      </c>
      <c r="G2201" s="6" t="s">
        <v>2568</v>
      </c>
      <c r="H2201" s="5"/>
      <c r="I2201" s="6" t="s">
        <v>2512</v>
      </c>
    </row>
    <row r="2202" customFormat="false" ht="46.25" hidden="false" customHeight="false" outlineLevel="0" collapsed="false">
      <c r="A2202" s="5" t="s">
        <v>2566</v>
      </c>
      <c r="B2202" s="5" t="s">
        <v>1203</v>
      </c>
      <c r="C2202" s="5" t="s">
        <v>1371</v>
      </c>
      <c r="D2202" s="5" t="s">
        <v>1372</v>
      </c>
      <c r="E2202" s="6" t="s">
        <v>2351</v>
      </c>
      <c r="F2202" s="6" t="s">
        <v>1555</v>
      </c>
      <c r="G2202" s="6" t="s">
        <v>2569</v>
      </c>
      <c r="H2202" s="5"/>
      <c r="I2202" s="6" t="s">
        <v>2512</v>
      </c>
    </row>
    <row r="2203" customFormat="false" ht="46.25" hidden="false" customHeight="false" outlineLevel="0" collapsed="false">
      <c r="A2203" s="5" t="s">
        <v>2566</v>
      </c>
      <c r="B2203" s="5" t="s">
        <v>1203</v>
      </c>
      <c r="C2203" s="5" t="s">
        <v>1371</v>
      </c>
      <c r="D2203" s="5" t="s">
        <v>1372</v>
      </c>
      <c r="E2203" s="6" t="s">
        <v>2487</v>
      </c>
      <c r="F2203" s="6" t="s">
        <v>1555</v>
      </c>
      <c r="G2203" s="6" t="s">
        <v>2484</v>
      </c>
      <c r="H2203" s="5"/>
      <c r="I2203" s="6" t="s">
        <v>2512</v>
      </c>
    </row>
    <row r="2204" customFormat="false" ht="46.25" hidden="false" customHeight="false" outlineLevel="0" collapsed="false">
      <c r="A2204" s="5" t="s">
        <v>2566</v>
      </c>
      <c r="B2204" s="5" t="s">
        <v>1203</v>
      </c>
      <c r="C2204" s="5" t="s">
        <v>1371</v>
      </c>
      <c r="D2204" s="5" t="s">
        <v>1372</v>
      </c>
      <c r="E2204" s="6" t="s">
        <v>2489</v>
      </c>
      <c r="F2204" s="6" t="s">
        <v>1555</v>
      </c>
      <c r="G2204" s="6" t="s">
        <v>2570</v>
      </c>
      <c r="H2204" s="5"/>
      <c r="I2204" s="6" t="s">
        <v>2512</v>
      </c>
    </row>
    <row r="2205" customFormat="false" ht="46.25" hidden="false" customHeight="false" outlineLevel="0" collapsed="false">
      <c r="A2205" s="5" t="s">
        <v>2571</v>
      </c>
      <c r="B2205" s="5" t="s">
        <v>1203</v>
      </c>
      <c r="C2205" s="5" t="s">
        <v>1375</v>
      </c>
      <c r="D2205" s="5" t="s">
        <v>1026</v>
      </c>
      <c r="E2205" s="6" t="s">
        <v>2340</v>
      </c>
      <c r="F2205" s="6" t="s">
        <v>2479</v>
      </c>
      <c r="G2205" s="6" t="s">
        <v>2572</v>
      </c>
      <c r="H2205" s="5"/>
      <c r="I2205" s="6" t="s">
        <v>2512</v>
      </c>
    </row>
    <row r="2206" customFormat="false" ht="46.25" hidden="false" customHeight="false" outlineLevel="0" collapsed="false">
      <c r="A2206" s="5" t="s">
        <v>2571</v>
      </c>
      <c r="B2206" s="5" t="s">
        <v>1203</v>
      </c>
      <c r="C2206" s="5" t="s">
        <v>1375</v>
      </c>
      <c r="D2206" s="5" t="s">
        <v>1026</v>
      </c>
      <c r="E2206" s="6" t="s">
        <v>2344</v>
      </c>
      <c r="F2206" s="6" t="s">
        <v>1555</v>
      </c>
      <c r="G2206" s="6" t="s">
        <v>2553</v>
      </c>
      <c r="H2206" s="5"/>
      <c r="I2206" s="6" t="s">
        <v>2512</v>
      </c>
    </row>
    <row r="2207" customFormat="false" ht="46.25" hidden="false" customHeight="false" outlineLevel="0" collapsed="false">
      <c r="A2207" s="5" t="s">
        <v>2571</v>
      </c>
      <c r="B2207" s="5" t="s">
        <v>1203</v>
      </c>
      <c r="C2207" s="5" t="s">
        <v>1375</v>
      </c>
      <c r="D2207" s="5" t="s">
        <v>1026</v>
      </c>
      <c r="E2207" s="6" t="s">
        <v>2346</v>
      </c>
      <c r="F2207" s="6" t="s">
        <v>1555</v>
      </c>
      <c r="G2207" s="6" t="s">
        <v>2064</v>
      </c>
      <c r="H2207" s="5"/>
      <c r="I2207" s="6" t="s">
        <v>2512</v>
      </c>
    </row>
    <row r="2208" customFormat="false" ht="46.25" hidden="false" customHeight="false" outlineLevel="0" collapsed="false">
      <c r="A2208" s="5" t="s">
        <v>2571</v>
      </c>
      <c r="B2208" s="5" t="s">
        <v>1203</v>
      </c>
      <c r="C2208" s="5" t="s">
        <v>1375</v>
      </c>
      <c r="D2208" s="5" t="s">
        <v>1026</v>
      </c>
      <c r="E2208" s="6" t="s">
        <v>2347</v>
      </c>
      <c r="F2208" s="6" t="s">
        <v>2483</v>
      </c>
      <c r="G2208" s="6" t="s">
        <v>2573</v>
      </c>
      <c r="H2208" s="5"/>
      <c r="I2208" s="6" t="s">
        <v>2512</v>
      </c>
    </row>
    <row r="2209" customFormat="false" ht="46.25" hidden="false" customHeight="false" outlineLevel="0" collapsed="false">
      <c r="A2209" s="5" t="s">
        <v>2571</v>
      </c>
      <c r="B2209" s="5" t="s">
        <v>1203</v>
      </c>
      <c r="C2209" s="5" t="s">
        <v>1375</v>
      </c>
      <c r="D2209" s="5" t="s">
        <v>1026</v>
      </c>
      <c r="E2209" s="6" t="s">
        <v>2349</v>
      </c>
      <c r="F2209" s="6" t="s">
        <v>1555</v>
      </c>
      <c r="G2209" s="6" t="s">
        <v>2574</v>
      </c>
      <c r="H2209" s="5"/>
      <c r="I2209" s="6" t="s">
        <v>2512</v>
      </c>
    </row>
    <row r="2210" customFormat="false" ht="46.25" hidden="false" customHeight="false" outlineLevel="0" collapsed="false">
      <c r="A2210" s="5" t="s">
        <v>2571</v>
      </c>
      <c r="B2210" s="5" t="s">
        <v>1203</v>
      </c>
      <c r="C2210" s="5" t="s">
        <v>1375</v>
      </c>
      <c r="D2210" s="5" t="s">
        <v>1026</v>
      </c>
      <c r="E2210" s="6" t="s">
        <v>2351</v>
      </c>
      <c r="F2210" s="6" t="s">
        <v>1555</v>
      </c>
      <c r="G2210" s="6" t="s">
        <v>2575</v>
      </c>
      <c r="H2210" s="5"/>
      <c r="I2210" s="6" t="s">
        <v>2512</v>
      </c>
    </row>
    <row r="2211" customFormat="false" ht="46.25" hidden="false" customHeight="false" outlineLevel="0" collapsed="false">
      <c r="A2211" s="5" t="s">
        <v>2571</v>
      </c>
      <c r="B2211" s="5" t="s">
        <v>1203</v>
      </c>
      <c r="C2211" s="5" t="s">
        <v>1375</v>
      </c>
      <c r="D2211" s="5" t="s">
        <v>1026</v>
      </c>
      <c r="E2211" s="6" t="s">
        <v>2487</v>
      </c>
      <c r="F2211" s="6" t="s">
        <v>1555</v>
      </c>
      <c r="G2211" s="6" t="s">
        <v>2493</v>
      </c>
      <c r="H2211" s="5"/>
      <c r="I2211" s="6" t="s">
        <v>2512</v>
      </c>
    </row>
    <row r="2212" customFormat="false" ht="46.25" hidden="false" customHeight="false" outlineLevel="0" collapsed="false">
      <c r="A2212" s="5" t="s">
        <v>2571</v>
      </c>
      <c r="B2212" s="5" t="s">
        <v>1203</v>
      </c>
      <c r="C2212" s="5" t="s">
        <v>1375</v>
      </c>
      <c r="D2212" s="5" t="s">
        <v>1026</v>
      </c>
      <c r="E2212" s="6" t="s">
        <v>2489</v>
      </c>
      <c r="F2212" s="6" t="s">
        <v>1555</v>
      </c>
      <c r="G2212" s="6" t="s">
        <v>2576</v>
      </c>
      <c r="H2212" s="5"/>
      <c r="I2212" s="6" t="s">
        <v>2512</v>
      </c>
    </row>
    <row r="2213" customFormat="false" ht="46.25" hidden="false" customHeight="false" outlineLevel="0" collapsed="false">
      <c r="A2213" s="5" t="s">
        <v>2577</v>
      </c>
      <c r="B2213" s="5" t="s">
        <v>1203</v>
      </c>
      <c r="C2213" s="5" t="s">
        <v>1379</v>
      </c>
      <c r="D2213" s="5" t="s">
        <v>1026</v>
      </c>
      <c r="E2213" s="6" t="s">
        <v>2340</v>
      </c>
      <c r="F2213" s="6" t="s">
        <v>2479</v>
      </c>
      <c r="G2213" s="6" t="s">
        <v>2578</v>
      </c>
      <c r="H2213" s="5"/>
      <c r="I2213" s="6" t="s">
        <v>2512</v>
      </c>
    </row>
    <row r="2214" customFormat="false" ht="46.25" hidden="false" customHeight="false" outlineLevel="0" collapsed="false">
      <c r="A2214" s="5" t="s">
        <v>2577</v>
      </c>
      <c r="B2214" s="5" t="s">
        <v>1203</v>
      </c>
      <c r="C2214" s="5" t="s">
        <v>1379</v>
      </c>
      <c r="D2214" s="5" t="s">
        <v>1026</v>
      </c>
      <c r="E2214" s="6" t="s">
        <v>2344</v>
      </c>
      <c r="F2214" s="6" t="s">
        <v>1555</v>
      </c>
      <c r="G2214" s="6" t="s">
        <v>2493</v>
      </c>
      <c r="H2214" s="5"/>
      <c r="I2214" s="6" t="s">
        <v>2512</v>
      </c>
    </row>
    <row r="2215" customFormat="false" ht="46.25" hidden="false" customHeight="false" outlineLevel="0" collapsed="false">
      <c r="A2215" s="5" t="s">
        <v>2577</v>
      </c>
      <c r="B2215" s="5" t="s">
        <v>1203</v>
      </c>
      <c r="C2215" s="5" t="s">
        <v>1379</v>
      </c>
      <c r="D2215" s="5" t="s">
        <v>1026</v>
      </c>
      <c r="E2215" s="6" t="s">
        <v>2346</v>
      </c>
      <c r="F2215" s="6" t="s">
        <v>1555</v>
      </c>
      <c r="G2215" s="6" t="s">
        <v>2493</v>
      </c>
      <c r="H2215" s="5"/>
      <c r="I2215" s="6" t="s">
        <v>2512</v>
      </c>
    </row>
    <row r="2216" customFormat="false" ht="46.25" hidden="false" customHeight="false" outlineLevel="0" collapsed="false">
      <c r="A2216" s="5" t="s">
        <v>2577</v>
      </c>
      <c r="B2216" s="5" t="s">
        <v>1203</v>
      </c>
      <c r="C2216" s="5" t="s">
        <v>1379</v>
      </c>
      <c r="D2216" s="5" t="s">
        <v>1026</v>
      </c>
      <c r="E2216" s="6" t="s">
        <v>2347</v>
      </c>
      <c r="F2216" s="6" t="s">
        <v>2483</v>
      </c>
      <c r="G2216" s="6" t="s">
        <v>2579</v>
      </c>
      <c r="H2216" s="5"/>
      <c r="I2216" s="6" t="s">
        <v>2512</v>
      </c>
    </row>
    <row r="2217" customFormat="false" ht="46.25" hidden="false" customHeight="false" outlineLevel="0" collapsed="false">
      <c r="A2217" s="5" t="s">
        <v>2577</v>
      </c>
      <c r="B2217" s="5" t="s">
        <v>1203</v>
      </c>
      <c r="C2217" s="5" t="s">
        <v>1379</v>
      </c>
      <c r="D2217" s="5" t="s">
        <v>1026</v>
      </c>
      <c r="E2217" s="6" t="s">
        <v>2349</v>
      </c>
      <c r="F2217" s="6" t="s">
        <v>1555</v>
      </c>
      <c r="G2217" s="6" t="s">
        <v>2580</v>
      </c>
      <c r="H2217" s="5"/>
      <c r="I2217" s="6" t="s">
        <v>2512</v>
      </c>
    </row>
    <row r="2218" customFormat="false" ht="46.25" hidden="false" customHeight="false" outlineLevel="0" collapsed="false">
      <c r="A2218" s="5" t="s">
        <v>2577</v>
      </c>
      <c r="B2218" s="5" t="s">
        <v>1203</v>
      </c>
      <c r="C2218" s="5" t="s">
        <v>1379</v>
      </c>
      <c r="D2218" s="5" t="s">
        <v>1026</v>
      </c>
      <c r="E2218" s="6" t="s">
        <v>2351</v>
      </c>
      <c r="F2218" s="6" t="s">
        <v>1555</v>
      </c>
      <c r="G2218" s="6" t="s">
        <v>2562</v>
      </c>
      <c r="H2218" s="5"/>
      <c r="I2218" s="6" t="s">
        <v>2512</v>
      </c>
    </row>
    <row r="2219" customFormat="false" ht="46.25" hidden="false" customHeight="false" outlineLevel="0" collapsed="false">
      <c r="A2219" s="5" t="s">
        <v>2577</v>
      </c>
      <c r="B2219" s="5" t="s">
        <v>1203</v>
      </c>
      <c r="C2219" s="5" t="s">
        <v>1379</v>
      </c>
      <c r="D2219" s="5" t="s">
        <v>1026</v>
      </c>
      <c r="E2219" s="6" t="s">
        <v>2487</v>
      </c>
      <c r="F2219" s="6" t="s">
        <v>1555</v>
      </c>
      <c r="G2219" s="6" t="s">
        <v>2531</v>
      </c>
      <c r="H2219" s="5"/>
      <c r="I2219" s="6" t="s">
        <v>2512</v>
      </c>
    </row>
    <row r="2220" customFormat="false" ht="46.25" hidden="false" customHeight="false" outlineLevel="0" collapsed="false">
      <c r="A2220" s="5" t="s">
        <v>2577</v>
      </c>
      <c r="B2220" s="5" t="s">
        <v>1203</v>
      </c>
      <c r="C2220" s="5" t="s">
        <v>1379</v>
      </c>
      <c r="D2220" s="5" t="s">
        <v>1026</v>
      </c>
      <c r="E2220" s="6" t="s">
        <v>2489</v>
      </c>
      <c r="F2220" s="6" t="s">
        <v>1555</v>
      </c>
      <c r="G2220" s="6" t="s">
        <v>2580</v>
      </c>
      <c r="H2220" s="5"/>
      <c r="I2220" s="6" t="s">
        <v>2512</v>
      </c>
    </row>
    <row r="2221" customFormat="false" ht="46.25" hidden="false" customHeight="false" outlineLevel="0" collapsed="false">
      <c r="A2221" s="5" t="s">
        <v>2581</v>
      </c>
      <c r="B2221" s="5" t="s">
        <v>1203</v>
      </c>
      <c r="C2221" s="5" t="s">
        <v>1383</v>
      </c>
      <c r="D2221" s="5" t="s">
        <v>1047</v>
      </c>
      <c r="E2221" s="6" t="s">
        <v>2340</v>
      </c>
      <c r="F2221" s="6" t="s">
        <v>2479</v>
      </c>
      <c r="G2221" s="6" t="s">
        <v>2582</v>
      </c>
      <c r="H2221" s="5"/>
      <c r="I2221" s="6" t="s">
        <v>2512</v>
      </c>
    </row>
    <row r="2222" customFormat="false" ht="46.25" hidden="false" customHeight="false" outlineLevel="0" collapsed="false">
      <c r="A2222" s="5" t="s">
        <v>2581</v>
      </c>
      <c r="B2222" s="5" t="s">
        <v>1203</v>
      </c>
      <c r="C2222" s="5" t="s">
        <v>1383</v>
      </c>
      <c r="D2222" s="5" t="s">
        <v>1047</v>
      </c>
      <c r="E2222" s="6" t="s">
        <v>2344</v>
      </c>
      <c r="F2222" s="6" t="s">
        <v>1555</v>
      </c>
      <c r="G2222" s="6" t="s">
        <v>2553</v>
      </c>
      <c r="H2222" s="5"/>
      <c r="I2222" s="6" t="s">
        <v>2512</v>
      </c>
    </row>
    <row r="2223" customFormat="false" ht="46.25" hidden="false" customHeight="false" outlineLevel="0" collapsed="false">
      <c r="A2223" s="5" t="s">
        <v>2581</v>
      </c>
      <c r="B2223" s="5" t="s">
        <v>1203</v>
      </c>
      <c r="C2223" s="5" t="s">
        <v>1383</v>
      </c>
      <c r="D2223" s="5" t="s">
        <v>1047</v>
      </c>
      <c r="E2223" s="6" t="s">
        <v>2346</v>
      </c>
      <c r="F2223" s="6" t="s">
        <v>1555</v>
      </c>
      <c r="G2223" s="6" t="s">
        <v>2064</v>
      </c>
      <c r="H2223" s="5"/>
      <c r="I2223" s="6" t="s">
        <v>2512</v>
      </c>
    </row>
    <row r="2224" customFormat="false" ht="46.25" hidden="false" customHeight="false" outlineLevel="0" collapsed="false">
      <c r="A2224" s="5" t="s">
        <v>2581</v>
      </c>
      <c r="B2224" s="5" t="s">
        <v>1203</v>
      </c>
      <c r="C2224" s="5" t="s">
        <v>1383</v>
      </c>
      <c r="D2224" s="5" t="s">
        <v>1047</v>
      </c>
      <c r="E2224" s="6" t="s">
        <v>2347</v>
      </c>
      <c r="F2224" s="6" t="s">
        <v>2483</v>
      </c>
      <c r="G2224" s="6" t="s">
        <v>2531</v>
      </c>
      <c r="H2224" s="5"/>
      <c r="I2224" s="6" t="s">
        <v>2512</v>
      </c>
    </row>
    <row r="2225" customFormat="false" ht="46.25" hidden="false" customHeight="false" outlineLevel="0" collapsed="false">
      <c r="A2225" s="5" t="s">
        <v>2581</v>
      </c>
      <c r="B2225" s="5" t="s">
        <v>1203</v>
      </c>
      <c r="C2225" s="5" t="s">
        <v>1383</v>
      </c>
      <c r="D2225" s="5" t="s">
        <v>1047</v>
      </c>
      <c r="E2225" s="6" t="s">
        <v>2349</v>
      </c>
      <c r="F2225" s="6" t="s">
        <v>1555</v>
      </c>
      <c r="G2225" s="6" t="s">
        <v>2583</v>
      </c>
      <c r="H2225" s="5"/>
      <c r="I2225" s="6" t="s">
        <v>2512</v>
      </c>
    </row>
    <row r="2226" customFormat="false" ht="46.25" hidden="false" customHeight="false" outlineLevel="0" collapsed="false">
      <c r="A2226" s="5" t="s">
        <v>2581</v>
      </c>
      <c r="B2226" s="5" t="s">
        <v>1203</v>
      </c>
      <c r="C2226" s="5" t="s">
        <v>1383</v>
      </c>
      <c r="D2226" s="5" t="s">
        <v>1047</v>
      </c>
      <c r="E2226" s="6" t="s">
        <v>2351</v>
      </c>
      <c r="F2226" s="6" t="s">
        <v>1555</v>
      </c>
      <c r="G2226" s="6" t="s">
        <v>2584</v>
      </c>
      <c r="H2226" s="5"/>
      <c r="I2226" s="6" t="s">
        <v>2512</v>
      </c>
    </row>
    <row r="2227" customFormat="false" ht="46.25" hidden="false" customHeight="false" outlineLevel="0" collapsed="false">
      <c r="A2227" s="5" t="s">
        <v>2581</v>
      </c>
      <c r="B2227" s="5" t="s">
        <v>1203</v>
      </c>
      <c r="C2227" s="5" t="s">
        <v>1383</v>
      </c>
      <c r="D2227" s="5" t="s">
        <v>1047</v>
      </c>
      <c r="E2227" s="6" t="s">
        <v>2487</v>
      </c>
      <c r="F2227" s="6" t="s">
        <v>1555</v>
      </c>
      <c r="G2227" s="6" t="s">
        <v>2553</v>
      </c>
      <c r="H2227" s="5"/>
      <c r="I2227" s="6" t="s">
        <v>2512</v>
      </c>
    </row>
    <row r="2228" customFormat="false" ht="46.25" hidden="false" customHeight="false" outlineLevel="0" collapsed="false">
      <c r="A2228" s="5" t="s">
        <v>2581</v>
      </c>
      <c r="B2228" s="5" t="s">
        <v>1203</v>
      </c>
      <c r="C2228" s="5" t="s">
        <v>1383</v>
      </c>
      <c r="D2228" s="5" t="s">
        <v>1047</v>
      </c>
      <c r="E2228" s="6" t="s">
        <v>2489</v>
      </c>
      <c r="F2228" s="6" t="s">
        <v>1555</v>
      </c>
      <c r="G2228" s="6" t="s">
        <v>2585</v>
      </c>
      <c r="H2228" s="5"/>
      <c r="I2228" s="6" t="s">
        <v>2512</v>
      </c>
    </row>
    <row r="2229" customFormat="false" ht="46.25" hidden="false" customHeight="false" outlineLevel="0" collapsed="false">
      <c r="A2229" s="5" t="s">
        <v>2586</v>
      </c>
      <c r="B2229" s="5" t="s">
        <v>1203</v>
      </c>
      <c r="C2229" s="5" t="s">
        <v>1387</v>
      </c>
      <c r="D2229" s="5" t="s">
        <v>1047</v>
      </c>
      <c r="E2229" s="6" t="s">
        <v>2340</v>
      </c>
      <c r="F2229" s="6" t="s">
        <v>2479</v>
      </c>
      <c r="G2229" s="6" t="s">
        <v>2587</v>
      </c>
      <c r="H2229" s="5"/>
      <c r="I2229" s="6" t="s">
        <v>2512</v>
      </c>
    </row>
    <row r="2230" customFormat="false" ht="46.25" hidden="false" customHeight="false" outlineLevel="0" collapsed="false">
      <c r="A2230" s="5" t="s">
        <v>2586</v>
      </c>
      <c r="B2230" s="5" t="s">
        <v>1203</v>
      </c>
      <c r="C2230" s="5" t="s">
        <v>1387</v>
      </c>
      <c r="D2230" s="5" t="s">
        <v>1047</v>
      </c>
      <c r="E2230" s="6" t="s">
        <v>2344</v>
      </c>
      <c r="F2230" s="6" t="s">
        <v>1555</v>
      </c>
      <c r="G2230" s="6" t="s">
        <v>2493</v>
      </c>
      <c r="H2230" s="5"/>
      <c r="I2230" s="6" t="s">
        <v>2512</v>
      </c>
    </row>
    <row r="2231" customFormat="false" ht="46.25" hidden="false" customHeight="false" outlineLevel="0" collapsed="false">
      <c r="A2231" s="5" t="s">
        <v>2586</v>
      </c>
      <c r="B2231" s="5" t="s">
        <v>1203</v>
      </c>
      <c r="C2231" s="5" t="s">
        <v>1387</v>
      </c>
      <c r="D2231" s="5" t="s">
        <v>1047</v>
      </c>
      <c r="E2231" s="6" t="s">
        <v>2346</v>
      </c>
      <c r="F2231" s="6" t="s">
        <v>1555</v>
      </c>
      <c r="G2231" s="6" t="s">
        <v>1618</v>
      </c>
      <c r="H2231" s="5"/>
      <c r="I2231" s="6" t="s">
        <v>2512</v>
      </c>
    </row>
    <row r="2232" customFormat="false" ht="46.25" hidden="false" customHeight="false" outlineLevel="0" collapsed="false">
      <c r="A2232" s="5" t="s">
        <v>2586</v>
      </c>
      <c r="B2232" s="5" t="s">
        <v>1203</v>
      </c>
      <c r="C2232" s="5" t="s">
        <v>1387</v>
      </c>
      <c r="D2232" s="5" t="s">
        <v>1047</v>
      </c>
      <c r="E2232" s="6" t="s">
        <v>2347</v>
      </c>
      <c r="F2232" s="6" t="s">
        <v>2483</v>
      </c>
      <c r="G2232" s="6" t="s">
        <v>2588</v>
      </c>
      <c r="H2232" s="5"/>
      <c r="I2232" s="6" t="s">
        <v>2512</v>
      </c>
    </row>
    <row r="2233" customFormat="false" ht="46.25" hidden="false" customHeight="false" outlineLevel="0" collapsed="false">
      <c r="A2233" s="5" t="s">
        <v>2586</v>
      </c>
      <c r="B2233" s="5" t="s">
        <v>1203</v>
      </c>
      <c r="C2233" s="5" t="s">
        <v>1387</v>
      </c>
      <c r="D2233" s="5" t="s">
        <v>1047</v>
      </c>
      <c r="E2233" s="6" t="s">
        <v>2349</v>
      </c>
      <c r="F2233" s="6" t="s">
        <v>1555</v>
      </c>
      <c r="G2233" s="6" t="s">
        <v>2589</v>
      </c>
      <c r="H2233" s="5"/>
      <c r="I2233" s="6" t="s">
        <v>2512</v>
      </c>
    </row>
    <row r="2234" customFormat="false" ht="46.25" hidden="false" customHeight="false" outlineLevel="0" collapsed="false">
      <c r="A2234" s="5" t="s">
        <v>2586</v>
      </c>
      <c r="B2234" s="5" t="s">
        <v>1203</v>
      </c>
      <c r="C2234" s="5" t="s">
        <v>1387</v>
      </c>
      <c r="D2234" s="5" t="s">
        <v>1047</v>
      </c>
      <c r="E2234" s="6" t="s">
        <v>2351</v>
      </c>
      <c r="F2234" s="6" t="s">
        <v>1555</v>
      </c>
      <c r="G2234" s="6" t="s">
        <v>2064</v>
      </c>
      <c r="H2234" s="5"/>
      <c r="I2234" s="6" t="s">
        <v>2512</v>
      </c>
    </row>
    <row r="2235" customFormat="false" ht="46.25" hidden="false" customHeight="false" outlineLevel="0" collapsed="false">
      <c r="A2235" s="5" t="s">
        <v>2586</v>
      </c>
      <c r="B2235" s="5" t="s">
        <v>1203</v>
      </c>
      <c r="C2235" s="5" t="s">
        <v>1387</v>
      </c>
      <c r="D2235" s="5" t="s">
        <v>1047</v>
      </c>
      <c r="E2235" s="6" t="s">
        <v>2487</v>
      </c>
      <c r="F2235" s="6" t="s">
        <v>1555</v>
      </c>
      <c r="G2235" s="6" t="s">
        <v>2484</v>
      </c>
      <c r="H2235" s="5"/>
      <c r="I2235" s="6" t="s">
        <v>2512</v>
      </c>
    </row>
    <row r="2236" customFormat="false" ht="46.25" hidden="false" customHeight="false" outlineLevel="0" collapsed="false">
      <c r="A2236" s="5" t="s">
        <v>2586</v>
      </c>
      <c r="B2236" s="5" t="s">
        <v>1203</v>
      </c>
      <c r="C2236" s="5" t="s">
        <v>1387</v>
      </c>
      <c r="D2236" s="5" t="s">
        <v>1047</v>
      </c>
      <c r="E2236" s="6" t="s">
        <v>2489</v>
      </c>
      <c r="F2236" s="6" t="s">
        <v>1555</v>
      </c>
      <c r="G2236" s="6" t="s">
        <v>2590</v>
      </c>
      <c r="H2236" s="5"/>
      <c r="I2236" s="6" t="s">
        <v>2512</v>
      </c>
    </row>
    <row r="2237" customFormat="false" ht="46.25" hidden="false" customHeight="false" outlineLevel="0" collapsed="false">
      <c r="A2237" s="5" t="s">
        <v>2591</v>
      </c>
      <c r="B2237" s="5" t="s">
        <v>1203</v>
      </c>
      <c r="C2237" s="5" t="s">
        <v>1391</v>
      </c>
      <c r="D2237" s="5" t="s">
        <v>1114</v>
      </c>
      <c r="E2237" s="6" t="s">
        <v>2340</v>
      </c>
      <c r="F2237" s="6" t="s">
        <v>2479</v>
      </c>
      <c r="G2237" s="6" t="s">
        <v>2592</v>
      </c>
      <c r="H2237" s="5"/>
      <c r="I2237" s="6" t="s">
        <v>2512</v>
      </c>
    </row>
    <row r="2238" customFormat="false" ht="46.25" hidden="false" customHeight="false" outlineLevel="0" collapsed="false">
      <c r="A2238" s="5" t="s">
        <v>2591</v>
      </c>
      <c r="B2238" s="5" t="s">
        <v>1203</v>
      </c>
      <c r="C2238" s="5" t="s">
        <v>1391</v>
      </c>
      <c r="D2238" s="5" t="s">
        <v>1114</v>
      </c>
      <c r="E2238" s="6" t="s">
        <v>2344</v>
      </c>
      <c r="F2238" s="6" t="s">
        <v>1555</v>
      </c>
      <c r="G2238" s="6" t="s">
        <v>2531</v>
      </c>
      <c r="H2238" s="5"/>
      <c r="I2238" s="6" t="s">
        <v>2512</v>
      </c>
    </row>
    <row r="2239" customFormat="false" ht="46.25" hidden="false" customHeight="false" outlineLevel="0" collapsed="false">
      <c r="A2239" s="5" t="s">
        <v>2591</v>
      </c>
      <c r="B2239" s="5" t="s">
        <v>1203</v>
      </c>
      <c r="C2239" s="5" t="s">
        <v>1391</v>
      </c>
      <c r="D2239" s="5" t="s">
        <v>1114</v>
      </c>
      <c r="E2239" s="6" t="s">
        <v>2346</v>
      </c>
      <c r="F2239" s="6" t="s">
        <v>1555</v>
      </c>
      <c r="G2239" s="6" t="s">
        <v>2064</v>
      </c>
      <c r="H2239" s="5"/>
      <c r="I2239" s="6" t="s">
        <v>2512</v>
      </c>
    </row>
    <row r="2240" customFormat="false" ht="46.25" hidden="false" customHeight="false" outlineLevel="0" collapsed="false">
      <c r="A2240" s="5" t="s">
        <v>2591</v>
      </c>
      <c r="B2240" s="5" t="s">
        <v>1203</v>
      </c>
      <c r="C2240" s="5" t="s">
        <v>1391</v>
      </c>
      <c r="D2240" s="5" t="s">
        <v>1114</v>
      </c>
      <c r="E2240" s="6" t="s">
        <v>2347</v>
      </c>
      <c r="F2240" s="6" t="s">
        <v>2483</v>
      </c>
      <c r="G2240" s="6" t="s">
        <v>2531</v>
      </c>
      <c r="H2240" s="5"/>
      <c r="I2240" s="6" t="s">
        <v>2512</v>
      </c>
    </row>
    <row r="2241" customFormat="false" ht="46.25" hidden="false" customHeight="false" outlineLevel="0" collapsed="false">
      <c r="A2241" s="5" t="s">
        <v>2591</v>
      </c>
      <c r="B2241" s="5" t="s">
        <v>1203</v>
      </c>
      <c r="C2241" s="5" t="s">
        <v>1391</v>
      </c>
      <c r="D2241" s="5" t="s">
        <v>1114</v>
      </c>
      <c r="E2241" s="6" t="s">
        <v>2349</v>
      </c>
      <c r="F2241" s="6" t="s">
        <v>1555</v>
      </c>
      <c r="G2241" s="6" t="s">
        <v>2593</v>
      </c>
      <c r="H2241" s="5"/>
      <c r="I2241" s="6" t="s">
        <v>2512</v>
      </c>
    </row>
    <row r="2242" customFormat="false" ht="46.25" hidden="false" customHeight="false" outlineLevel="0" collapsed="false">
      <c r="A2242" s="5" t="s">
        <v>2591</v>
      </c>
      <c r="B2242" s="5" t="s">
        <v>1203</v>
      </c>
      <c r="C2242" s="5" t="s">
        <v>1391</v>
      </c>
      <c r="D2242" s="5" t="s">
        <v>1114</v>
      </c>
      <c r="E2242" s="6" t="s">
        <v>2351</v>
      </c>
      <c r="F2242" s="6" t="s">
        <v>1555</v>
      </c>
      <c r="G2242" s="6" t="s">
        <v>2594</v>
      </c>
      <c r="H2242" s="5"/>
      <c r="I2242" s="6" t="s">
        <v>2512</v>
      </c>
    </row>
    <row r="2243" customFormat="false" ht="46.25" hidden="false" customHeight="false" outlineLevel="0" collapsed="false">
      <c r="A2243" s="5" t="s">
        <v>2591</v>
      </c>
      <c r="B2243" s="5" t="s">
        <v>1203</v>
      </c>
      <c r="C2243" s="5" t="s">
        <v>1391</v>
      </c>
      <c r="D2243" s="5" t="s">
        <v>1114</v>
      </c>
      <c r="E2243" s="6" t="s">
        <v>2487</v>
      </c>
      <c r="F2243" s="6" t="s">
        <v>1555</v>
      </c>
      <c r="G2243" s="6" t="s">
        <v>2531</v>
      </c>
      <c r="H2243" s="5"/>
      <c r="I2243" s="6" t="s">
        <v>2512</v>
      </c>
    </row>
    <row r="2244" customFormat="false" ht="46.25" hidden="false" customHeight="false" outlineLevel="0" collapsed="false">
      <c r="A2244" s="5" t="s">
        <v>2591</v>
      </c>
      <c r="B2244" s="5" t="s">
        <v>1203</v>
      </c>
      <c r="C2244" s="5" t="s">
        <v>1391</v>
      </c>
      <c r="D2244" s="5" t="s">
        <v>1114</v>
      </c>
      <c r="E2244" s="6" t="s">
        <v>2489</v>
      </c>
      <c r="F2244" s="6" t="s">
        <v>1555</v>
      </c>
      <c r="G2244" s="6" t="s">
        <v>2595</v>
      </c>
      <c r="H2244" s="5"/>
      <c r="I2244" s="6" t="s">
        <v>2512</v>
      </c>
    </row>
    <row r="2245" customFormat="false" ht="46.25" hidden="false" customHeight="false" outlineLevel="0" collapsed="false">
      <c r="A2245" s="5" t="s">
        <v>2596</v>
      </c>
      <c r="B2245" s="5" t="s">
        <v>1203</v>
      </c>
      <c r="C2245" s="5" t="s">
        <v>1395</v>
      </c>
      <c r="D2245" s="5" t="s">
        <v>1114</v>
      </c>
      <c r="E2245" s="6" t="s">
        <v>2340</v>
      </c>
      <c r="F2245" s="6" t="s">
        <v>2479</v>
      </c>
      <c r="G2245" s="6" t="s">
        <v>2597</v>
      </c>
      <c r="H2245" s="5"/>
      <c r="I2245" s="6" t="s">
        <v>2512</v>
      </c>
    </row>
    <row r="2246" customFormat="false" ht="46.25" hidden="false" customHeight="false" outlineLevel="0" collapsed="false">
      <c r="A2246" s="5" t="s">
        <v>2596</v>
      </c>
      <c r="B2246" s="5" t="s">
        <v>1203</v>
      </c>
      <c r="C2246" s="5" t="s">
        <v>1395</v>
      </c>
      <c r="D2246" s="5" t="s">
        <v>1114</v>
      </c>
      <c r="E2246" s="6" t="s">
        <v>2344</v>
      </c>
      <c r="F2246" s="6" t="s">
        <v>1555</v>
      </c>
      <c r="G2246" s="6" t="s">
        <v>2484</v>
      </c>
      <c r="H2246" s="5"/>
      <c r="I2246" s="6" t="s">
        <v>2512</v>
      </c>
    </row>
    <row r="2247" customFormat="false" ht="46.25" hidden="false" customHeight="false" outlineLevel="0" collapsed="false">
      <c r="A2247" s="5" t="s">
        <v>2596</v>
      </c>
      <c r="B2247" s="5" t="s">
        <v>1203</v>
      </c>
      <c r="C2247" s="5" t="s">
        <v>1395</v>
      </c>
      <c r="D2247" s="5" t="s">
        <v>1114</v>
      </c>
      <c r="E2247" s="6" t="s">
        <v>2346</v>
      </c>
      <c r="F2247" s="6" t="s">
        <v>1555</v>
      </c>
      <c r="G2247" s="6" t="s">
        <v>2493</v>
      </c>
      <c r="H2247" s="5"/>
      <c r="I2247" s="6" t="s">
        <v>2512</v>
      </c>
    </row>
    <row r="2248" customFormat="false" ht="46.25" hidden="false" customHeight="false" outlineLevel="0" collapsed="false">
      <c r="A2248" s="5" t="s">
        <v>2596</v>
      </c>
      <c r="B2248" s="5" t="s">
        <v>1203</v>
      </c>
      <c r="C2248" s="5" t="s">
        <v>1395</v>
      </c>
      <c r="D2248" s="5" t="s">
        <v>1114</v>
      </c>
      <c r="E2248" s="6" t="s">
        <v>2347</v>
      </c>
      <c r="F2248" s="6" t="s">
        <v>2483</v>
      </c>
      <c r="G2248" s="6" t="s">
        <v>2598</v>
      </c>
      <c r="H2248" s="5"/>
      <c r="I2248" s="6" t="s">
        <v>2512</v>
      </c>
    </row>
    <row r="2249" customFormat="false" ht="46.25" hidden="false" customHeight="false" outlineLevel="0" collapsed="false">
      <c r="A2249" s="5" t="s">
        <v>2596</v>
      </c>
      <c r="B2249" s="5" t="s">
        <v>1203</v>
      </c>
      <c r="C2249" s="5" t="s">
        <v>1395</v>
      </c>
      <c r="D2249" s="5" t="s">
        <v>1114</v>
      </c>
      <c r="E2249" s="6" t="s">
        <v>2349</v>
      </c>
      <c r="F2249" s="6" t="s">
        <v>1555</v>
      </c>
      <c r="G2249" s="6" t="s">
        <v>2599</v>
      </c>
      <c r="H2249" s="5"/>
      <c r="I2249" s="6" t="s">
        <v>2512</v>
      </c>
    </row>
    <row r="2250" customFormat="false" ht="46.25" hidden="false" customHeight="false" outlineLevel="0" collapsed="false">
      <c r="A2250" s="5" t="s">
        <v>2596</v>
      </c>
      <c r="B2250" s="5" t="s">
        <v>1203</v>
      </c>
      <c r="C2250" s="5" t="s">
        <v>1395</v>
      </c>
      <c r="D2250" s="5" t="s">
        <v>1114</v>
      </c>
      <c r="E2250" s="6" t="s">
        <v>2351</v>
      </c>
      <c r="F2250" s="6" t="s">
        <v>1555</v>
      </c>
      <c r="G2250" s="6" t="s">
        <v>2600</v>
      </c>
      <c r="H2250" s="5"/>
      <c r="I2250" s="6" t="s">
        <v>2512</v>
      </c>
    </row>
    <row r="2251" customFormat="false" ht="46.25" hidden="false" customHeight="false" outlineLevel="0" collapsed="false">
      <c r="A2251" s="5" t="s">
        <v>2596</v>
      </c>
      <c r="B2251" s="5" t="s">
        <v>1203</v>
      </c>
      <c r="C2251" s="5" t="s">
        <v>1395</v>
      </c>
      <c r="D2251" s="5" t="s">
        <v>1114</v>
      </c>
      <c r="E2251" s="6" t="s">
        <v>2487</v>
      </c>
      <c r="F2251" s="6" t="s">
        <v>1555</v>
      </c>
      <c r="G2251" s="6" t="s">
        <v>2553</v>
      </c>
      <c r="H2251" s="5"/>
      <c r="I2251" s="6" t="s">
        <v>2512</v>
      </c>
    </row>
    <row r="2252" customFormat="false" ht="46.25" hidden="false" customHeight="false" outlineLevel="0" collapsed="false">
      <c r="A2252" s="5" t="s">
        <v>2596</v>
      </c>
      <c r="B2252" s="5" t="s">
        <v>1203</v>
      </c>
      <c r="C2252" s="5" t="s">
        <v>1395</v>
      </c>
      <c r="D2252" s="5" t="s">
        <v>1114</v>
      </c>
      <c r="E2252" s="6" t="s">
        <v>2489</v>
      </c>
      <c r="F2252" s="6" t="s">
        <v>1555</v>
      </c>
      <c r="G2252" s="6" t="s">
        <v>2601</v>
      </c>
      <c r="H2252" s="5"/>
      <c r="I2252" s="6" t="s">
        <v>2512</v>
      </c>
    </row>
    <row r="2253" customFormat="false" ht="46.25" hidden="false" customHeight="false" outlineLevel="0" collapsed="false">
      <c r="A2253" s="5" t="s">
        <v>2602</v>
      </c>
      <c r="B2253" s="5" t="s">
        <v>1203</v>
      </c>
      <c r="C2253" s="5" t="s">
        <v>1399</v>
      </c>
      <c r="D2253" s="5" t="s">
        <v>1403</v>
      </c>
      <c r="E2253" s="6" t="s">
        <v>2340</v>
      </c>
      <c r="F2253" s="6" t="s">
        <v>2479</v>
      </c>
      <c r="G2253" s="6" t="s">
        <v>2603</v>
      </c>
      <c r="H2253" s="5"/>
      <c r="I2253" s="6" t="s">
        <v>2512</v>
      </c>
    </row>
    <row r="2254" customFormat="false" ht="46.25" hidden="false" customHeight="false" outlineLevel="0" collapsed="false">
      <c r="A2254" s="5" t="s">
        <v>2602</v>
      </c>
      <c r="B2254" s="5" t="s">
        <v>1203</v>
      </c>
      <c r="C2254" s="5" t="s">
        <v>1399</v>
      </c>
      <c r="D2254" s="5" t="s">
        <v>1403</v>
      </c>
      <c r="E2254" s="6" t="s">
        <v>2344</v>
      </c>
      <c r="F2254" s="6" t="s">
        <v>1555</v>
      </c>
      <c r="G2254" s="6" t="s">
        <v>2531</v>
      </c>
      <c r="H2254" s="5"/>
      <c r="I2254" s="6" t="s">
        <v>2512</v>
      </c>
    </row>
    <row r="2255" customFormat="false" ht="46.25" hidden="false" customHeight="false" outlineLevel="0" collapsed="false">
      <c r="A2255" s="5" t="s">
        <v>2602</v>
      </c>
      <c r="B2255" s="5" t="s">
        <v>1203</v>
      </c>
      <c r="C2255" s="5" t="s">
        <v>1399</v>
      </c>
      <c r="D2255" s="5" t="s">
        <v>1403</v>
      </c>
      <c r="E2255" s="6" t="s">
        <v>2346</v>
      </c>
      <c r="F2255" s="6" t="s">
        <v>1555</v>
      </c>
      <c r="G2255" s="6" t="s">
        <v>2562</v>
      </c>
      <c r="H2255" s="5"/>
      <c r="I2255" s="6" t="s">
        <v>2512</v>
      </c>
    </row>
    <row r="2256" customFormat="false" ht="46.25" hidden="false" customHeight="false" outlineLevel="0" collapsed="false">
      <c r="A2256" s="5" t="s">
        <v>2602</v>
      </c>
      <c r="B2256" s="5" t="s">
        <v>1203</v>
      </c>
      <c r="C2256" s="5" t="s">
        <v>1399</v>
      </c>
      <c r="D2256" s="5" t="s">
        <v>1403</v>
      </c>
      <c r="E2256" s="6" t="s">
        <v>2347</v>
      </c>
      <c r="F2256" s="6" t="s">
        <v>2483</v>
      </c>
      <c r="G2256" s="6" t="s">
        <v>2553</v>
      </c>
      <c r="H2256" s="5"/>
      <c r="I2256" s="6" t="s">
        <v>2512</v>
      </c>
    </row>
    <row r="2257" customFormat="false" ht="46.25" hidden="false" customHeight="false" outlineLevel="0" collapsed="false">
      <c r="A2257" s="5" t="s">
        <v>2602</v>
      </c>
      <c r="B2257" s="5" t="s">
        <v>1203</v>
      </c>
      <c r="C2257" s="5" t="s">
        <v>1399</v>
      </c>
      <c r="D2257" s="5" t="s">
        <v>1403</v>
      </c>
      <c r="E2257" s="6" t="s">
        <v>2349</v>
      </c>
      <c r="F2257" s="6" t="s">
        <v>1555</v>
      </c>
      <c r="G2257" s="6" t="s">
        <v>2604</v>
      </c>
      <c r="H2257" s="5"/>
      <c r="I2257" s="6" t="s">
        <v>2512</v>
      </c>
    </row>
    <row r="2258" customFormat="false" ht="46.25" hidden="false" customHeight="false" outlineLevel="0" collapsed="false">
      <c r="A2258" s="5" t="s">
        <v>2602</v>
      </c>
      <c r="B2258" s="5" t="s">
        <v>1203</v>
      </c>
      <c r="C2258" s="5" t="s">
        <v>1399</v>
      </c>
      <c r="D2258" s="5" t="s">
        <v>1403</v>
      </c>
      <c r="E2258" s="6" t="s">
        <v>2351</v>
      </c>
      <c r="F2258" s="6" t="s">
        <v>1555</v>
      </c>
      <c r="G2258" s="6" t="s">
        <v>2605</v>
      </c>
      <c r="H2258" s="5"/>
      <c r="I2258" s="6" t="s">
        <v>2512</v>
      </c>
    </row>
    <row r="2259" customFormat="false" ht="46.25" hidden="false" customHeight="false" outlineLevel="0" collapsed="false">
      <c r="A2259" s="5" t="s">
        <v>2602</v>
      </c>
      <c r="B2259" s="5" t="s">
        <v>1203</v>
      </c>
      <c r="C2259" s="5" t="s">
        <v>1399</v>
      </c>
      <c r="D2259" s="5" t="s">
        <v>1403</v>
      </c>
      <c r="E2259" s="6" t="s">
        <v>2353</v>
      </c>
      <c r="F2259" s="6" t="s">
        <v>1555</v>
      </c>
      <c r="G2259" s="6" t="s">
        <v>2531</v>
      </c>
      <c r="H2259" s="5"/>
      <c r="I2259" s="6" t="s">
        <v>2512</v>
      </c>
    </row>
    <row r="2260" customFormat="false" ht="46.25" hidden="false" customHeight="false" outlineLevel="0" collapsed="false">
      <c r="A2260" s="5" t="s">
        <v>2602</v>
      </c>
      <c r="B2260" s="5" t="s">
        <v>1203</v>
      </c>
      <c r="C2260" s="5" t="s">
        <v>1399</v>
      </c>
      <c r="D2260" s="5" t="s">
        <v>1403</v>
      </c>
      <c r="E2260" s="6" t="s">
        <v>2355</v>
      </c>
      <c r="F2260" s="6" t="s">
        <v>1555</v>
      </c>
      <c r="G2260" s="6" t="s">
        <v>2606</v>
      </c>
      <c r="H2260" s="5"/>
      <c r="I2260" s="6" t="s">
        <v>2512</v>
      </c>
    </row>
    <row r="2261" customFormat="false" ht="46.25" hidden="false" customHeight="false" outlineLevel="0" collapsed="false">
      <c r="A2261" s="5" t="s">
        <v>2607</v>
      </c>
      <c r="B2261" s="5" t="s">
        <v>1203</v>
      </c>
      <c r="C2261" s="5" t="s">
        <v>1407</v>
      </c>
      <c r="D2261" s="5" t="s">
        <v>1403</v>
      </c>
      <c r="E2261" s="6" t="s">
        <v>2340</v>
      </c>
      <c r="F2261" s="6" t="s">
        <v>2479</v>
      </c>
      <c r="G2261" s="6" t="s">
        <v>2608</v>
      </c>
      <c r="H2261" s="5"/>
      <c r="I2261" s="6" t="s">
        <v>2512</v>
      </c>
    </row>
    <row r="2262" customFormat="false" ht="46.25" hidden="false" customHeight="false" outlineLevel="0" collapsed="false">
      <c r="A2262" s="5" t="s">
        <v>2607</v>
      </c>
      <c r="B2262" s="5" t="s">
        <v>1203</v>
      </c>
      <c r="C2262" s="5" t="s">
        <v>1407</v>
      </c>
      <c r="D2262" s="5" t="s">
        <v>1403</v>
      </c>
      <c r="E2262" s="6" t="s">
        <v>2344</v>
      </c>
      <c r="F2262" s="6" t="s">
        <v>1555</v>
      </c>
      <c r="G2262" s="6" t="s">
        <v>2484</v>
      </c>
      <c r="H2262" s="5"/>
      <c r="I2262" s="6" t="s">
        <v>2512</v>
      </c>
    </row>
    <row r="2263" customFormat="false" ht="46.25" hidden="false" customHeight="false" outlineLevel="0" collapsed="false">
      <c r="A2263" s="5" t="s">
        <v>2607</v>
      </c>
      <c r="B2263" s="5" t="s">
        <v>1203</v>
      </c>
      <c r="C2263" s="5" t="s">
        <v>1407</v>
      </c>
      <c r="D2263" s="5" t="s">
        <v>1403</v>
      </c>
      <c r="E2263" s="6" t="s">
        <v>2346</v>
      </c>
      <c r="F2263" s="6" t="s">
        <v>1555</v>
      </c>
      <c r="G2263" s="6" t="s">
        <v>2562</v>
      </c>
      <c r="H2263" s="5"/>
      <c r="I2263" s="6" t="s">
        <v>2512</v>
      </c>
    </row>
    <row r="2264" customFormat="false" ht="46.25" hidden="false" customHeight="false" outlineLevel="0" collapsed="false">
      <c r="A2264" s="5" t="s">
        <v>2607</v>
      </c>
      <c r="B2264" s="5" t="s">
        <v>1203</v>
      </c>
      <c r="C2264" s="5" t="s">
        <v>1407</v>
      </c>
      <c r="D2264" s="5" t="s">
        <v>1403</v>
      </c>
      <c r="E2264" s="6" t="s">
        <v>2347</v>
      </c>
      <c r="F2264" s="6" t="s">
        <v>2483</v>
      </c>
      <c r="G2264" s="6" t="s">
        <v>2609</v>
      </c>
      <c r="H2264" s="5"/>
      <c r="I2264" s="6" t="s">
        <v>2512</v>
      </c>
    </row>
    <row r="2265" customFormat="false" ht="46.25" hidden="false" customHeight="false" outlineLevel="0" collapsed="false">
      <c r="A2265" s="5" t="s">
        <v>2607</v>
      </c>
      <c r="B2265" s="5" t="s">
        <v>1203</v>
      </c>
      <c r="C2265" s="5" t="s">
        <v>1407</v>
      </c>
      <c r="D2265" s="5" t="s">
        <v>1403</v>
      </c>
      <c r="E2265" s="6" t="s">
        <v>2349</v>
      </c>
      <c r="F2265" s="6" t="s">
        <v>1555</v>
      </c>
      <c r="G2265" s="6" t="s">
        <v>2610</v>
      </c>
      <c r="H2265" s="5"/>
      <c r="I2265" s="6" t="s">
        <v>2512</v>
      </c>
    </row>
    <row r="2266" customFormat="false" ht="46.25" hidden="false" customHeight="false" outlineLevel="0" collapsed="false">
      <c r="A2266" s="5" t="s">
        <v>2607</v>
      </c>
      <c r="B2266" s="5" t="s">
        <v>1203</v>
      </c>
      <c r="C2266" s="5" t="s">
        <v>1407</v>
      </c>
      <c r="D2266" s="5" t="s">
        <v>1403</v>
      </c>
      <c r="E2266" s="6" t="s">
        <v>2351</v>
      </c>
      <c r="F2266" s="6" t="s">
        <v>1555</v>
      </c>
      <c r="G2266" s="6" t="s">
        <v>2537</v>
      </c>
      <c r="H2266" s="5"/>
      <c r="I2266" s="6" t="s">
        <v>2512</v>
      </c>
    </row>
    <row r="2267" customFormat="false" ht="46.25" hidden="false" customHeight="false" outlineLevel="0" collapsed="false">
      <c r="A2267" s="5" t="s">
        <v>2607</v>
      </c>
      <c r="B2267" s="5" t="s">
        <v>1203</v>
      </c>
      <c r="C2267" s="5" t="s">
        <v>1407</v>
      </c>
      <c r="D2267" s="5" t="s">
        <v>1403</v>
      </c>
      <c r="E2267" s="6" t="s">
        <v>2353</v>
      </c>
      <c r="F2267" s="6" t="s">
        <v>1555</v>
      </c>
      <c r="G2267" s="6" t="s">
        <v>2493</v>
      </c>
      <c r="H2267" s="5"/>
      <c r="I2267" s="6" t="s">
        <v>2512</v>
      </c>
    </row>
    <row r="2268" customFormat="false" ht="46.25" hidden="false" customHeight="false" outlineLevel="0" collapsed="false">
      <c r="A2268" s="5" t="s">
        <v>2607</v>
      </c>
      <c r="B2268" s="5" t="s">
        <v>1203</v>
      </c>
      <c r="C2268" s="5" t="s">
        <v>1407</v>
      </c>
      <c r="D2268" s="5" t="s">
        <v>1403</v>
      </c>
      <c r="E2268" s="6" t="s">
        <v>2355</v>
      </c>
      <c r="F2268" s="6" t="s">
        <v>1555</v>
      </c>
      <c r="G2268" s="6" t="s">
        <v>2611</v>
      </c>
      <c r="H2268" s="5"/>
      <c r="I2268" s="6" t="s">
        <v>2512</v>
      </c>
    </row>
    <row r="2269" customFormat="false" ht="46.25" hidden="false" customHeight="false" outlineLevel="0" collapsed="false">
      <c r="A2269" s="5" t="s">
        <v>2612</v>
      </c>
      <c r="B2269" s="5" t="s">
        <v>1203</v>
      </c>
      <c r="C2269" s="5" t="s">
        <v>1412</v>
      </c>
      <c r="D2269" s="5" t="s">
        <v>1413</v>
      </c>
      <c r="E2269" s="6" t="s">
        <v>2340</v>
      </c>
      <c r="F2269" s="6" t="s">
        <v>2479</v>
      </c>
      <c r="G2269" s="6" t="s">
        <v>2480</v>
      </c>
      <c r="H2269" s="5"/>
      <c r="I2269" s="6" t="s">
        <v>2512</v>
      </c>
    </row>
    <row r="2270" customFormat="false" ht="46.25" hidden="false" customHeight="false" outlineLevel="0" collapsed="false">
      <c r="A2270" s="5" t="s">
        <v>2612</v>
      </c>
      <c r="B2270" s="5" t="s">
        <v>1203</v>
      </c>
      <c r="C2270" s="5" t="s">
        <v>1412</v>
      </c>
      <c r="D2270" s="5" t="s">
        <v>1413</v>
      </c>
      <c r="E2270" s="6" t="s">
        <v>2344</v>
      </c>
      <c r="F2270" s="6" t="s">
        <v>1555</v>
      </c>
      <c r="G2270" s="6" t="s">
        <v>2493</v>
      </c>
      <c r="H2270" s="5"/>
      <c r="I2270" s="6" t="s">
        <v>2512</v>
      </c>
    </row>
    <row r="2271" customFormat="false" ht="46.25" hidden="false" customHeight="false" outlineLevel="0" collapsed="false">
      <c r="A2271" s="5" t="s">
        <v>2612</v>
      </c>
      <c r="B2271" s="5" t="s">
        <v>1203</v>
      </c>
      <c r="C2271" s="5" t="s">
        <v>1412</v>
      </c>
      <c r="D2271" s="5" t="s">
        <v>1413</v>
      </c>
      <c r="E2271" s="6" t="s">
        <v>2346</v>
      </c>
      <c r="F2271" s="6" t="s">
        <v>1555</v>
      </c>
      <c r="G2271" s="6" t="s">
        <v>2562</v>
      </c>
      <c r="H2271" s="5"/>
      <c r="I2271" s="6" t="s">
        <v>2512</v>
      </c>
    </row>
    <row r="2272" customFormat="false" ht="46.25" hidden="false" customHeight="false" outlineLevel="0" collapsed="false">
      <c r="A2272" s="5" t="s">
        <v>2612</v>
      </c>
      <c r="B2272" s="5" t="s">
        <v>1203</v>
      </c>
      <c r="C2272" s="5" t="s">
        <v>1412</v>
      </c>
      <c r="D2272" s="5" t="s">
        <v>1413</v>
      </c>
      <c r="E2272" s="6" t="s">
        <v>2347</v>
      </c>
      <c r="F2272" s="6" t="s">
        <v>2483</v>
      </c>
      <c r="G2272" s="6" t="s">
        <v>2613</v>
      </c>
      <c r="H2272" s="5"/>
      <c r="I2272" s="6" t="s">
        <v>2512</v>
      </c>
    </row>
    <row r="2273" customFormat="false" ht="46.25" hidden="false" customHeight="false" outlineLevel="0" collapsed="false">
      <c r="A2273" s="5" t="s">
        <v>2612</v>
      </c>
      <c r="B2273" s="5" t="s">
        <v>1203</v>
      </c>
      <c r="C2273" s="5" t="s">
        <v>1412</v>
      </c>
      <c r="D2273" s="5" t="s">
        <v>1413</v>
      </c>
      <c r="E2273" s="6" t="s">
        <v>2349</v>
      </c>
      <c r="F2273" s="6" t="s">
        <v>1555</v>
      </c>
      <c r="G2273" s="6" t="s">
        <v>2614</v>
      </c>
      <c r="H2273" s="5"/>
      <c r="I2273" s="6" t="s">
        <v>2512</v>
      </c>
    </row>
    <row r="2274" customFormat="false" ht="46.25" hidden="false" customHeight="false" outlineLevel="0" collapsed="false">
      <c r="A2274" s="5" t="s">
        <v>2612</v>
      </c>
      <c r="B2274" s="5" t="s">
        <v>1203</v>
      </c>
      <c r="C2274" s="5" t="s">
        <v>1412</v>
      </c>
      <c r="D2274" s="5" t="s">
        <v>1413</v>
      </c>
      <c r="E2274" s="6" t="s">
        <v>2351</v>
      </c>
      <c r="F2274" s="6" t="s">
        <v>1555</v>
      </c>
      <c r="G2274" s="6" t="s">
        <v>2615</v>
      </c>
      <c r="H2274" s="5"/>
      <c r="I2274" s="6" t="s">
        <v>2512</v>
      </c>
    </row>
    <row r="2275" customFormat="false" ht="46.25" hidden="false" customHeight="false" outlineLevel="0" collapsed="false">
      <c r="A2275" s="5" t="s">
        <v>2612</v>
      </c>
      <c r="B2275" s="5" t="s">
        <v>1203</v>
      </c>
      <c r="C2275" s="5" t="s">
        <v>1412</v>
      </c>
      <c r="D2275" s="5" t="s">
        <v>1413</v>
      </c>
      <c r="E2275" s="6" t="s">
        <v>2353</v>
      </c>
      <c r="F2275" s="6" t="s">
        <v>1555</v>
      </c>
      <c r="G2275" s="6" t="s">
        <v>2493</v>
      </c>
      <c r="H2275" s="5"/>
      <c r="I2275" s="6" t="s">
        <v>2512</v>
      </c>
    </row>
    <row r="2276" customFormat="false" ht="46.25" hidden="false" customHeight="false" outlineLevel="0" collapsed="false">
      <c r="A2276" s="5" t="s">
        <v>2612</v>
      </c>
      <c r="B2276" s="5" t="s">
        <v>1203</v>
      </c>
      <c r="C2276" s="5" t="s">
        <v>1412</v>
      </c>
      <c r="D2276" s="5" t="s">
        <v>1413</v>
      </c>
      <c r="E2276" s="6" t="s">
        <v>2355</v>
      </c>
      <c r="F2276" s="6" t="s">
        <v>1555</v>
      </c>
      <c r="G2276" s="6" t="s">
        <v>2616</v>
      </c>
      <c r="H2276" s="5"/>
      <c r="I2276" s="6" t="s">
        <v>2512</v>
      </c>
    </row>
    <row r="2277" customFormat="false" ht="46.25" hidden="false" customHeight="false" outlineLevel="0" collapsed="false">
      <c r="A2277" s="5" t="s">
        <v>2617</v>
      </c>
      <c r="B2277" s="5" t="s">
        <v>1203</v>
      </c>
      <c r="C2277" s="5" t="s">
        <v>1417</v>
      </c>
      <c r="D2277" s="5" t="s">
        <v>1047</v>
      </c>
      <c r="E2277" s="6" t="s">
        <v>2618</v>
      </c>
      <c r="F2277" s="6" t="s">
        <v>2479</v>
      </c>
      <c r="G2277" s="6" t="s">
        <v>2619</v>
      </c>
      <c r="H2277" s="5"/>
      <c r="I2277" s="6" t="s">
        <v>2512</v>
      </c>
    </row>
    <row r="2278" customFormat="false" ht="46.25" hidden="false" customHeight="false" outlineLevel="0" collapsed="false">
      <c r="A2278" s="5" t="s">
        <v>2617</v>
      </c>
      <c r="B2278" s="5" t="s">
        <v>1203</v>
      </c>
      <c r="C2278" s="5" t="s">
        <v>1417</v>
      </c>
      <c r="D2278" s="5" t="s">
        <v>1047</v>
      </c>
      <c r="E2278" s="6" t="s">
        <v>2344</v>
      </c>
      <c r="F2278" s="6" t="s">
        <v>1555</v>
      </c>
      <c r="G2278" s="6" t="s">
        <v>2553</v>
      </c>
      <c r="H2278" s="5"/>
      <c r="I2278" s="6" t="s">
        <v>2512</v>
      </c>
    </row>
    <row r="2279" customFormat="false" ht="46.25" hidden="false" customHeight="false" outlineLevel="0" collapsed="false">
      <c r="A2279" s="5" t="s">
        <v>2617</v>
      </c>
      <c r="B2279" s="5" t="s">
        <v>1203</v>
      </c>
      <c r="C2279" s="5" t="s">
        <v>1417</v>
      </c>
      <c r="D2279" s="5" t="s">
        <v>1047</v>
      </c>
      <c r="E2279" s="6" t="s">
        <v>2346</v>
      </c>
      <c r="F2279" s="6" t="s">
        <v>1555</v>
      </c>
      <c r="G2279" s="6" t="s">
        <v>2562</v>
      </c>
      <c r="H2279" s="5"/>
      <c r="I2279" s="6" t="s">
        <v>2512</v>
      </c>
    </row>
    <row r="2280" customFormat="false" ht="46.25" hidden="false" customHeight="false" outlineLevel="0" collapsed="false">
      <c r="A2280" s="5" t="s">
        <v>2617</v>
      </c>
      <c r="B2280" s="5" t="s">
        <v>1203</v>
      </c>
      <c r="C2280" s="5" t="s">
        <v>1417</v>
      </c>
      <c r="D2280" s="5" t="s">
        <v>1047</v>
      </c>
      <c r="E2280" s="6" t="s">
        <v>2347</v>
      </c>
      <c r="F2280" s="6" t="s">
        <v>2483</v>
      </c>
      <c r="G2280" s="6" t="s">
        <v>2553</v>
      </c>
      <c r="H2280" s="5"/>
      <c r="I2280" s="6" t="s">
        <v>2512</v>
      </c>
    </row>
    <row r="2281" customFormat="false" ht="46.25" hidden="false" customHeight="false" outlineLevel="0" collapsed="false">
      <c r="A2281" s="5" t="s">
        <v>2617</v>
      </c>
      <c r="B2281" s="5" t="s">
        <v>1203</v>
      </c>
      <c r="C2281" s="5" t="s">
        <v>1417</v>
      </c>
      <c r="D2281" s="5" t="s">
        <v>1047</v>
      </c>
      <c r="E2281" s="6" t="s">
        <v>2349</v>
      </c>
      <c r="F2281" s="6" t="s">
        <v>1555</v>
      </c>
      <c r="G2281" s="6" t="s">
        <v>2620</v>
      </c>
      <c r="H2281" s="5"/>
      <c r="I2281" s="6" t="s">
        <v>2512</v>
      </c>
    </row>
    <row r="2282" customFormat="false" ht="46.25" hidden="false" customHeight="false" outlineLevel="0" collapsed="false">
      <c r="A2282" s="5" t="s">
        <v>2617</v>
      </c>
      <c r="B2282" s="5" t="s">
        <v>1203</v>
      </c>
      <c r="C2282" s="5" t="s">
        <v>1417</v>
      </c>
      <c r="D2282" s="5" t="s">
        <v>1047</v>
      </c>
      <c r="E2282" s="6" t="s">
        <v>2351</v>
      </c>
      <c r="F2282" s="6" t="s">
        <v>1555</v>
      </c>
      <c r="G2282" s="6" t="s">
        <v>2621</v>
      </c>
      <c r="H2282" s="5"/>
      <c r="I2282" s="6" t="s">
        <v>2512</v>
      </c>
    </row>
    <row r="2283" customFormat="false" ht="46.25" hidden="false" customHeight="false" outlineLevel="0" collapsed="false">
      <c r="A2283" s="5" t="s">
        <v>2617</v>
      </c>
      <c r="B2283" s="5" t="s">
        <v>1203</v>
      </c>
      <c r="C2283" s="5" t="s">
        <v>1417</v>
      </c>
      <c r="D2283" s="5" t="s">
        <v>1047</v>
      </c>
      <c r="E2283" s="6" t="s">
        <v>2353</v>
      </c>
      <c r="F2283" s="6" t="s">
        <v>1555</v>
      </c>
      <c r="G2283" s="6" t="s">
        <v>2553</v>
      </c>
      <c r="H2283" s="5"/>
      <c r="I2283" s="6" t="s">
        <v>2512</v>
      </c>
    </row>
    <row r="2284" customFormat="false" ht="46.25" hidden="false" customHeight="false" outlineLevel="0" collapsed="false">
      <c r="A2284" s="5" t="s">
        <v>2617</v>
      </c>
      <c r="B2284" s="5" t="s">
        <v>1203</v>
      </c>
      <c r="C2284" s="5" t="s">
        <v>1417</v>
      </c>
      <c r="D2284" s="5" t="s">
        <v>1047</v>
      </c>
      <c r="E2284" s="6" t="s">
        <v>2355</v>
      </c>
      <c r="F2284" s="6" t="s">
        <v>1555</v>
      </c>
      <c r="G2284" s="6" t="s">
        <v>2622</v>
      </c>
      <c r="H2284" s="5"/>
      <c r="I2284" s="6" t="s">
        <v>2512</v>
      </c>
    </row>
    <row r="2285" customFormat="false" ht="46.25" hidden="false" customHeight="false" outlineLevel="0" collapsed="false">
      <c r="A2285" s="5" t="s">
        <v>2623</v>
      </c>
      <c r="B2285" s="5" t="s">
        <v>1203</v>
      </c>
      <c r="C2285" s="5" t="s">
        <v>1421</v>
      </c>
      <c r="D2285" s="5" t="s">
        <v>1422</v>
      </c>
      <c r="E2285" s="6" t="s">
        <v>2618</v>
      </c>
      <c r="F2285" s="6" t="s">
        <v>2479</v>
      </c>
      <c r="G2285" s="6" t="s">
        <v>2624</v>
      </c>
      <c r="H2285" s="5"/>
      <c r="I2285" s="6" t="s">
        <v>2512</v>
      </c>
    </row>
    <row r="2286" customFormat="false" ht="46.25" hidden="false" customHeight="false" outlineLevel="0" collapsed="false">
      <c r="A2286" s="5" t="s">
        <v>2623</v>
      </c>
      <c r="B2286" s="5" t="s">
        <v>1203</v>
      </c>
      <c r="C2286" s="5" t="s">
        <v>1421</v>
      </c>
      <c r="D2286" s="5" t="s">
        <v>1422</v>
      </c>
      <c r="E2286" s="6" t="s">
        <v>2344</v>
      </c>
      <c r="F2286" s="6" t="s">
        <v>1555</v>
      </c>
      <c r="G2286" s="6" t="s">
        <v>2500</v>
      </c>
      <c r="H2286" s="5"/>
      <c r="I2286" s="6" t="s">
        <v>2512</v>
      </c>
    </row>
    <row r="2287" customFormat="false" ht="46.25" hidden="false" customHeight="false" outlineLevel="0" collapsed="false">
      <c r="A2287" s="5" t="s">
        <v>2623</v>
      </c>
      <c r="B2287" s="5" t="s">
        <v>1203</v>
      </c>
      <c r="C2287" s="5" t="s">
        <v>1421</v>
      </c>
      <c r="D2287" s="5" t="s">
        <v>1422</v>
      </c>
      <c r="E2287" s="6" t="s">
        <v>2346</v>
      </c>
      <c r="F2287" s="6" t="s">
        <v>1555</v>
      </c>
      <c r="G2287" s="6" t="s">
        <v>2064</v>
      </c>
      <c r="H2287" s="5"/>
      <c r="I2287" s="6" t="s">
        <v>2512</v>
      </c>
    </row>
    <row r="2288" customFormat="false" ht="46.25" hidden="false" customHeight="false" outlineLevel="0" collapsed="false">
      <c r="A2288" s="5" t="s">
        <v>2623</v>
      </c>
      <c r="B2288" s="5" t="s">
        <v>1203</v>
      </c>
      <c r="C2288" s="5" t="s">
        <v>1421</v>
      </c>
      <c r="D2288" s="5" t="s">
        <v>1422</v>
      </c>
      <c r="E2288" s="6" t="s">
        <v>2347</v>
      </c>
      <c r="F2288" s="6" t="s">
        <v>2483</v>
      </c>
      <c r="G2288" s="6" t="s">
        <v>2064</v>
      </c>
      <c r="H2288" s="5"/>
      <c r="I2288" s="6" t="s">
        <v>2512</v>
      </c>
    </row>
    <row r="2289" customFormat="false" ht="46.25" hidden="false" customHeight="false" outlineLevel="0" collapsed="false">
      <c r="A2289" s="5" t="s">
        <v>2623</v>
      </c>
      <c r="B2289" s="5" t="s">
        <v>1203</v>
      </c>
      <c r="C2289" s="5" t="s">
        <v>1421</v>
      </c>
      <c r="D2289" s="5" t="s">
        <v>1422</v>
      </c>
      <c r="E2289" s="6" t="s">
        <v>2349</v>
      </c>
      <c r="F2289" s="6" t="s">
        <v>1555</v>
      </c>
      <c r="G2289" s="6" t="s">
        <v>2625</v>
      </c>
      <c r="H2289" s="5"/>
      <c r="I2289" s="6" t="s">
        <v>2512</v>
      </c>
    </row>
    <row r="2290" customFormat="false" ht="46.25" hidden="false" customHeight="false" outlineLevel="0" collapsed="false">
      <c r="A2290" s="5" t="s">
        <v>2623</v>
      </c>
      <c r="B2290" s="5" t="s">
        <v>1203</v>
      </c>
      <c r="C2290" s="5" t="s">
        <v>1421</v>
      </c>
      <c r="D2290" s="5" t="s">
        <v>1422</v>
      </c>
      <c r="E2290" s="6" t="s">
        <v>2351</v>
      </c>
      <c r="F2290" s="6" t="s">
        <v>1555</v>
      </c>
      <c r="G2290" s="6" t="s">
        <v>2626</v>
      </c>
      <c r="H2290" s="5"/>
      <c r="I2290" s="6" t="s">
        <v>2512</v>
      </c>
    </row>
    <row r="2291" customFormat="false" ht="46.25" hidden="false" customHeight="false" outlineLevel="0" collapsed="false">
      <c r="A2291" s="5" t="s">
        <v>2623</v>
      </c>
      <c r="B2291" s="5" t="s">
        <v>1203</v>
      </c>
      <c r="C2291" s="5" t="s">
        <v>1421</v>
      </c>
      <c r="D2291" s="5" t="s">
        <v>1422</v>
      </c>
      <c r="E2291" s="6" t="s">
        <v>2353</v>
      </c>
      <c r="F2291" s="6" t="s">
        <v>1555</v>
      </c>
      <c r="G2291" s="6" t="s">
        <v>2503</v>
      </c>
      <c r="H2291" s="5"/>
      <c r="I2291" s="6" t="s">
        <v>2512</v>
      </c>
    </row>
    <row r="2292" customFormat="false" ht="46.25" hidden="false" customHeight="false" outlineLevel="0" collapsed="false">
      <c r="A2292" s="5" t="s">
        <v>2623</v>
      </c>
      <c r="B2292" s="5" t="s">
        <v>1203</v>
      </c>
      <c r="C2292" s="5" t="s">
        <v>1421</v>
      </c>
      <c r="D2292" s="5" t="s">
        <v>1422</v>
      </c>
      <c r="E2292" s="6" t="s">
        <v>2355</v>
      </c>
      <c r="F2292" s="6" t="s">
        <v>1555</v>
      </c>
      <c r="G2292" s="6" t="s">
        <v>2627</v>
      </c>
      <c r="H2292" s="5"/>
      <c r="I2292" s="6" t="s">
        <v>2512</v>
      </c>
    </row>
    <row r="2293" customFormat="false" ht="46.25" hidden="false" customHeight="false" outlineLevel="0" collapsed="false">
      <c r="A2293" s="5" t="s">
        <v>2628</v>
      </c>
      <c r="B2293" s="5" t="s">
        <v>1203</v>
      </c>
      <c r="C2293" s="5" t="s">
        <v>1426</v>
      </c>
      <c r="D2293" s="5" t="s">
        <v>1427</v>
      </c>
      <c r="E2293" s="6" t="s">
        <v>2618</v>
      </c>
      <c r="F2293" s="6" t="s">
        <v>2479</v>
      </c>
      <c r="G2293" s="6" t="s">
        <v>2629</v>
      </c>
      <c r="H2293" s="5"/>
      <c r="I2293" s="6" t="s">
        <v>2512</v>
      </c>
    </row>
    <row r="2294" customFormat="false" ht="46.25" hidden="false" customHeight="false" outlineLevel="0" collapsed="false">
      <c r="A2294" s="5" t="s">
        <v>2628</v>
      </c>
      <c r="B2294" s="5" t="s">
        <v>1203</v>
      </c>
      <c r="C2294" s="5" t="s">
        <v>1426</v>
      </c>
      <c r="D2294" s="5" t="s">
        <v>1427</v>
      </c>
      <c r="E2294" s="6" t="s">
        <v>2344</v>
      </c>
      <c r="F2294" s="6" t="s">
        <v>1555</v>
      </c>
      <c r="G2294" s="6" t="s">
        <v>2537</v>
      </c>
      <c r="H2294" s="5"/>
      <c r="I2294" s="6" t="s">
        <v>2512</v>
      </c>
    </row>
    <row r="2295" customFormat="false" ht="46.25" hidden="false" customHeight="false" outlineLevel="0" collapsed="false">
      <c r="A2295" s="5" t="s">
        <v>2628</v>
      </c>
      <c r="B2295" s="5" t="s">
        <v>1203</v>
      </c>
      <c r="C2295" s="5" t="s">
        <v>1426</v>
      </c>
      <c r="D2295" s="5" t="s">
        <v>1427</v>
      </c>
      <c r="E2295" s="6" t="s">
        <v>2346</v>
      </c>
      <c r="F2295" s="6" t="s">
        <v>1555</v>
      </c>
      <c r="G2295" s="6" t="s">
        <v>2064</v>
      </c>
      <c r="H2295" s="5"/>
      <c r="I2295" s="6" t="s">
        <v>2512</v>
      </c>
    </row>
    <row r="2296" customFormat="false" ht="46.25" hidden="false" customHeight="false" outlineLevel="0" collapsed="false">
      <c r="A2296" s="5" t="s">
        <v>2628</v>
      </c>
      <c r="B2296" s="5" t="s">
        <v>1203</v>
      </c>
      <c r="C2296" s="5" t="s">
        <v>1426</v>
      </c>
      <c r="D2296" s="5" t="s">
        <v>1427</v>
      </c>
      <c r="E2296" s="6" t="s">
        <v>2347</v>
      </c>
      <c r="F2296" s="6" t="s">
        <v>2483</v>
      </c>
      <c r="G2296" s="6" t="s">
        <v>2064</v>
      </c>
      <c r="H2296" s="5"/>
      <c r="I2296" s="6" t="s">
        <v>2512</v>
      </c>
    </row>
    <row r="2297" customFormat="false" ht="46.25" hidden="false" customHeight="false" outlineLevel="0" collapsed="false">
      <c r="A2297" s="5" t="s">
        <v>2628</v>
      </c>
      <c r="B2297" s="5" t="s">
        <v>1203</v>
      </c>
      <c r="C2297" s="5" t="s">
        <v>1426</v>
      </c>
      <c r="D2297" s="5" t="s">
        <v>1427</v>
      </c>
      <c r="E2297" s="6" t="s">
        <v>2349</v>
      </c>
      <c r="F2297" s="6" t="s">
        <v>1555</v>
      </c>
      <c r="G2297" s="6" t="s">
        <v>2630</v>
      </c>
      <c r="H2297" s="5"/>
      <c r="I2297" s="6" t="s">
        <v>2512</v>
      </c>
    </row>
    <row r="2298" customFormat="false" ht="46.25" hidden="false" customHeight="false" outlineLevel="0" collapsed="false">
      <c r="A2298" s="5" t="s">
        <v>2628</v>
      </c>
      <c r="B2298" s="5" t="s">
        <v>1203</v>
      </c>
      <c r="C2298" s="5" t="s">
        <v>1426</v>
      </c>
      <c r="D2298" s="5" t="s">
        <v>1427</v>
      </c>
      <c r="E2298" s="6" t="s">
        <v>2351</v>
      </c>
      <c r="F2298" s="6" t="s">
        <v>1555</v>
      </c>
      <c r="G2298" s="6" t="s">
        <v>2631</v>
      </c>
      <c r="H2298" s="5"/>
      <c r="I2298" s="6" t="s">
        <v>2512</v>
      </c>
    </row>
    <row r="2299" customFormat="false" ht="46.25" hidden="false" customHeight="false" outlineLevel="0" collapsed="false">
      <c r="A2299" s="5" t="s">
        <v>2628</v>
      </c>
      <c r="B2299" s="5" t="s">
        <v>1203</v>
      </c>
      <c r="C2299" s="5" t="s">
        <v>1426</v>
      </c>
      <c r="D2299" s="5" t="s">
        <v>1427</v>
      </c>
      <c r="E2299" s="6" t="s">
        <v>2353</v>
      </c>
      <c r="F2299" s="6" t="s">
        <v>1555</v>
      </c>
      <c r="G2299" s="6" t="s">
        <v>2528</v>
      </c>
      <c r="H2299" s="5"/>
      <c r="I2299" s="6" t="s">
        <v>2512</v>
      </c>
    </row>
    <row r="2300" customFormat="false" ht="46.25" hidden="false" customHeight="false" outlineLevel="0" collapsed="false">
      <c r="A2300" s="5" t="s">
        <v>2628</v>
      </c>
      <c r="B2300" s="5" t="s">
        <v>1203</v>
      </c>
      <c r="C2300" s="5" t="s">
        <v>1426</v>
      </c>
      <c r="D2300" s="5" t="s">
        <v>1427</v>
      </c>
      <c r="E2300" s="6" t="s">
        <v>2355</v>
      </c>
      <c r="F2300" s="6" t="s">
        <v>1555</v>
      </c>
      <c r="G2300" s="6" t="s">
        <v>2632</v>
      </c>
      <c r="H2300" s="5"/>
      <c r="I2300" s="6" t="s">
        <v>2512</v>
      </c>
    </row>
    <row r="2301" customFormat="false" ht="46.25" hidden="false" customHeight="false" outlineLevel="0" collapsed="false">
      <c r="A2301" s="5" t="s">
        <v>2633</v>
      </c>
      <c r="B2301" s="5" t="s">
        <v>1203</v>
      </c>
      <c r="C2301" s="5" t="s">
        <v>1431</v>
      </c>
      <c r="D2301" s="5" t="s">
        <v>1432</v>
      </c>
      <c r="E2301" s="6" t="s">
        <v>2618</v>
      </c>
      <c r="F2301" s="6" t="s">
        <v>2341</v>
      </c>
      <c r="G2301" s="6" t="s">
        <v>2634</v>
      </c>
      <c r="H2301" s="5"/>
      <c r="I2301" s="6" t="s">
        <v>2512</v>
      </c>
    </row>
    <row r="2302" customFormat="false" ht="46.25" hidden="false" customHeight="false" outlineLevel="0" collapsed="false">
      <c r="A2302" s="5" t="s">
        <v>2633</v>
      </c>
      <c r="B2302" s="5" t="s">
        <v>1203</v>
      </c>
      <c r="C2302" s="5" t="s">
        <v>1431</v>
      </c>
      <c r="D2302" s="5" t="s">
        <v>1432</v>
      </c>
      <c r="E2302" s="6" t="s">
        <v>2344</v>
      </c>
      <c r="F2302" s="6" t="s">
        <v>1555</v>
      </c>
      <c r="G2302" s="6" t="s">
        <v>2537</v>
      </c>
      <c r="H2302" s="5"/>
      <c r="I2302" s="6" t="s">
        <v>2512</v>
      </c>
    </row>
    <row r="2303" customFormat="false" ht="46.25" hidden="false" customHeight="false" outlineLevel="0" collapsed="false">
      <c r="A2303" s="5" t="s">
        <v>2633</v>
      </c>
      <c r="B2303" s="5" t="s">
        <v>1203</v>
      </c>
      <c r="C2303" s="5" t="s">
        <v>1431</v>
      </c>
      <c r="D2303" s="5" t="s">
        <v>1432</v>
      </c>
      <c r="E2303" s="6" t="s">
        <v>2346</v>
      </c>
      <c r="F2303" s="6" t="s">
        <v>1555</v>
      </c>
      <c r="G2303" s="6" t="s">
        <v>2064</v>
      </c>
      <c r="H2303" s="5"/>
      <c r="I2303" s="6" t="s">
        <v>2512</v>
      </c>
    </row>
    <row r="2304" customFormat="false" ht="46.25" hidden="false" customHeight="false" outlineLevel="0" collapsed="false">
      <c r="A2304" s="5" t="s">
        <v>2633</v>
      </c>
      <c r="B2304" s="5" t="s">
        <v>1203</v>
      </c>
      <c r="C2304" s="5" t="s">
        <v>1431</v>
      </c>
      <c r="D2304" s="5" t="s">
        <v>1432</v>
      </c>
      <c r="E2304" s="6" t="s">
        <v>2347</v>
      </c>
      <c r="F2304" s="6" t="s">
        <v>2348</v>
      </c>
      <c r="G2304" s="6" t="s">
        <v>2064</v>
      </c>
      <c r="H2304" s="5"/>
      <c r="I2304" s="6" t="s">
        <v>2512</v>
      </c>
    </row>
    <row r="2305" customFormat="false" ht="46.25" hidden="false" customHeight="false" outlineLevel="0" collapsed="false">
      <c r="A2305" s="5" t="s">
        <v>2633</v>
      </c>
      <c r="B2305" s="5" t="s">
        <v>1203</v>
      </c>
      <c r="C2305" s="5" t="s">
        <v>1431</v>
      </c>
      <c r="D2305" s="5" t="s">
        <v>1432</v>
      </c>
      <c r="E2305" s="6" t="s">
        <v>2349</v>
      </c>
      <c r="F2305" s="6" t="s">
        <v>1555</v>
      </c>
      <c r="G2305" s="6" t="s">
        <v>2635</v>
      </c>
      <c r="H2305" s="5"/>
      <c r="I2305" s="6" t="s">
        <v>2512</v>
      </c>
    </row>
    <row r="2306" customFormat="false" ht="46.25" hidden="false" customHeight="false" outlineLevel="0" collapsed="false">
      <c r="A2306" s="5" t="s">
        <v>2633</v>
      </c>
      <c r="B2306" s="5" t="s">
        <v>1203</v>
      </c>
      <c r="C2306" s="5" t="s">
        <v>1431</v>
      </c>
      <c r="D2306" s="5" t="s">
        <v>1432</v>
      </c>
      <c r="E2306" s="6" t="s">
        <v>2351</v>
      </c>
      <c r="F2306" s="6" t="s">
        <v>1555</v>
      </c>
      <c r="G2306" s="6" t="s">
        <v>2636</v>
      </c>
      <c r="H2306" s="5"/>
      <c r="I2306" s="6" t="s">
        <v>2512</v>
      </c>
    </row>
    <row r="2307" customFormat="false" ht="46.25" hidden="false" customHeight="false" outlineLevel="0" collapsed="false">
      <c r="A2307" s="5" t="s">
        <v>2633</v>
      </c>
      <c r="B2307" s="5" t="s">
        <v>1203</v>
      </c>
      <c r="C2307" s="5" t="s">
        <v>1431</v>
      </c>
      <c r="D2307" s="5" t="s">
        <v>1432</v>
      </c>
      <c r="E2307" s="6" t="s">
        <v>2353</v>
      </c>
      <c r="F2307" s="6" t="s">
        <v>1555</v>
      </c>
      <c r="G2307" s="6" t="s">
        <v>2528</v>
      </c>
      <c r="H2307" s="5"/>
      <c r="I2307" s="6" t="s">
        <v>2512</v>
      </c>
    </row>
    <row r="2308" customFormat="false" ht="46.25" hidden="false" customHeight="false" outlineLevel="0" collapsed="false">
      <c r="A2308" s="5" t="s">
        <v>2633</v>
      </c>
      <c r="B2308" s="5" t="s">
        <v>1203</v>
      </c>
      <c r="C2308" s="5" t="s">
        <v>1431</v>
      </c>
      <c r="D2308" s="5" t="s">
        <v>1432</v>
      </c>
      <c r="E2308" s="6" t="s">
        <v>2355</v>
      </c>
      <c r="F2308" s="6" t="s">
        <v>1555</v>
      </c>
      <c r="G2308" s="6" t="s">
        <v>2637</v>
      </c>
      <c r="H2308" s="5"/>
      <c r="I2308" s="6" t="s">
        <v>2512</v>
      </c>
    </row>
    <row r="2309" customFormat="false" ht="46.25" hidden="false" customHeight="false" outlineLevel="0" collapsed="false">
      <c r="A2309" s="5" t="s">
        <v>2638</v>
      </c>
      <c r="B2309" s="5" t="s">
        <v>1203</v>
      </c>
      <c r="C2309" s="5" t="s">
        <v>1437</v>
      </c>
      <c r="D2309" s="5" t="s">
        <v>1438</v>
      </c>
      <c r="E2309" s="6" t="s">
        <v>2618</v>
      </c>
      <c r="F2309" s="6" t="s">
        <v>2479</v>
      </c>
      <c r="G2309" s="6" t="s">
        <v>2639</v>
      </c>
      <c r="H2309" s="5"/>
      <c r="I2309" s="6" t="s">
        <v>2512</v>
      </c>
    </row>
    <row r="2310" customFormat="false" ht="46.25" hidden="false" customHeight="false" outlineLevel="0" collapsed="false">
      <c r="A2310" s="5" t="s">
        <v>2638</v>
      </c>
      <c r="B2310" s="5" t="s">
        <v>1203</v>
      </c>
      <c r="C2310" s="5" t="s">
        <v>1437</v>
      </c>
      <c r="D2310" s="5" t="s">
        <v>1438</v>
      </c>
      <c r="E2310" s="6" t="s">
        <v>2344</v>
      </c>
      <c r="F2310" s="6" t="s">
        <v>1555</v>
      </c>
      <c r="G2310" s="6" t="s">
        <v>2528</v>
      </c>
      <c r="H2310" s="5"/>
      <c r="I2310" s="6" t="s">
        <v>2512</v>
      </c>
    </row>
    <row r="2311" customFormat="false" ht="46.25" hidden="false" customHeight="false" outlineLevel="0" collapsed="false">
      <c r="A2311" s="5" t="s">
        <v>2638</v>
      </c>
      <c r="B2311" s="5" t="s">
        <v>1203</v>
      </c>
      <c r="C2311" s="5" t="s">
        <v>1437</v>
      </c>
      <c r="D2311" s="5" t="s">
        <v>1438</v>
      </c>
      <c r="E2311" s="6" t="s">
        <v>2346</v>
      </c>
      <c r="F2311" s="6" t="s">
        <v>1555</v>
      </c>
      <c r="G2311" s="6" t="s">
        <v>2064</v>
      </c>
      <c r="H2311" s="5"/>
      <c r="I2311" s="6" t="s">
        <v>2512</v>
      </c>
    </row>
    <row r="2312" customFormat="false" ht="46.25" hidden="false" customHeight="false" outlineLevel="0" collapsed="false">
      <c r="A2312" s="5" t="s">
        <v>2638</v>
      </c>
      <c r="B2312" s="5" t="s">
        <v>1203</v>
      </c>
      <c r="C2312" s="5" t="s">
        <v>1437</v>
      </c>
      <c r="D2312" s="5" t="s">
        <v>1438</v>
      </c>
      <c r="E2312" s="6" t="s">
        <v>2347</v>
      </c>
      <c r="F2312" s="6" t="s">
        <v>2483</v>
      </c>
      <c r="G2312" s="6" t="s">
        <v>2064</v>
      </c>
      <c r="H2312" s="5"/>
      <c r="I2312" s="6" t="s">
        <v>2512</v>
      </c>
    </row>
    <row r="2313" customFormat="false" ht="46.25" hidden="false" customHeight="false" outlineLevel="0" collapsed="false">
      <c r="A2313" s="5" t="s">
        <v>2638</v>
      </c>
      <c r="B2313" s="5" t="s">
        <v>1203</v>
      </c>
      <c r="C2313" s="5" t="s">
        <v>1437</v>
      </c>
      <c r="D2313" s="5" t="s">
        <v>1438</v>
      </c>
      <c r="E2313" s="6" t="s">
        <v>2349</v>
      </c>
      <c r="F2313" s="6" t="s">
        <v>1555</v>
      </c>
      <c r="G2313" s="6" t="s">
        <v>2640</v>
      </c>
      <c r="H2313" s="5"/>
      <c r="I2313" s="6" t="s">
        <v>2512</v>
      </c>
    </row>
    <row r="2314" customFormat="false" ht="46.25" hidden="false" customHeight="false" outlineLevel="0" collapsed="false">
      <c r="A2314" s="5" t="s">
        <v>2638</v>
      </c>
      <c r="B2314" s="5" t="s">
        <v>1203</v>
      </c>
      <c r="C2314" s="5" t="s">
        <v>1437</v>
      </c>
      <c r="D2314" s="5" t="s">
        <v>1438</v>
      </c>
      <c r="E2314" s="6" t="s">
        <v>2351</v>
      </c>
      <c r="F2314" s="6" t="s">
        <v>1555</v>
      </c>
      <c r="G2314" s="6" t="s">
        <v>2641</v>
      </c>
      <c r="H2314" s="5"/>
      <c r="I2314" s="6" t="s">
        <v>2512</v>
      </c>
    </row>
    <row r="2315" customFormat="false" ht="46.25" hidden="false" customHeight="false" outlineLevel="0" collapsed="false">
      <c r="A2315" s="5" t="s">
        <v>2638</v>
      </c>
      <c r="B2315" s="5" t="s">
        <v>1203</v>
      </c>
      <c r="C2315" s="5" t="s">
        <v>1437</v>
      </c>
      <c r="D2315" s="5" t="s">
        <v>1438</v>
      </c>
      <c r="E2315" s="6" t="s">
        <v>2487</v>
      </c>
      <c r="F2315" s="6" t="s">
        <v>1555</v>
      </c>
      <c r="G2315" s="6" t="s">
        <v>2528</v>
      </c>
      <c r="H2315" s="5"/>
      <c r="I2315" s="6" t="s">
        <v>2512</v>
      </c>
    </row>
    <row r="2316" customFormat="false" ht="46.25" hidden="false" customHeight="false" outlineLevel="0" collapsed="false">
      <c r="A2316" s="5" t="s">
        <v>2638</v>
      </c>
      <c r="B2316" s="5" t="s">
        <v>1203</v>
      </c>
      <c r="C2316" s="5" t="s">
        <v>1437</v>
      </c>
      <c r="D2316" s="5" t="s">
        <v>1438</v>
      </c>
      <c r="E2316" s="6" t="s">
        <v>2489</v>
      </c>
      <c r="F2316" s="6" t="s">
        <v>1555</v>
      </c>
      <c r="G2316" s="6" t="s">
        <v>2642</v>
      </c>
      <c r="H2316" s="5"/>
      <c r="I2316" s="6" t="s">
        <v>2512</v>
      </c>
    </row>
    <row r="2317" customFormat="false" ht="46.25" hidden="false" customHeight="false" outlineLevel="0" collapsed="false">
      <c r="A2317" s="5" t="s">
        <v>2643</v>
      </c>
      <c r="B2317" s="5" t="s">
        <v>1203</v>
      </c>
      <c r="C2317" s="5" t="s">
        <v>1442</v>
      </c>
      <c r="D2317" s="5" t="s">
        <v>1443</v>
      </c>
      <c r="E2317" s="6" t="s">
        <v>2618</v>
      </c>
      <c r="F2317" s="6" t="s">
        <v>2479</v>
      </c>
      <c r="G2317" s="6" t="s">
        <v>2644</v>
      </c>
      <c r="H2317" s="5"/>
      <c r="I2317" s="6" t="s">
        <v>2512</v>
      </c>
    </row>
    <row r="2318" customFormat="false" ht="46.25" hidden="false" customHeight="false" outlineLevel="0" collapsed="false">
      <c r="A2318" s="5" t="s">
        <v>2643</v>
      </c>
      <c r="B2318" s="5" t="s">
        <v>1203</v>
      </c>
      <c r="C2318" s="5" t="s">
        <v>1442</v>
      </c>
      <c r="D2318" s="5" t="s">
        <v>1443</v>
      </c>
      <c r="E2318" s="6" t="s">
        <v>2344</v>
      </c>
      <c r="F2318" s="6" t="s">
        <v>1555</v>
      </c>
      <c r="G2318" s="6" t="s">
        <v>2553</v>
      </c>
      <c r="H2318" s="5"/>
      <c r="I2318" s="6" t="s">
        <v>2512</v>
      </c>
    </row>
    <row r="2319" customFormat="false" ht="46.25" hidden="false" customHeight="false" outlineLevel="0" collapsed="false">
      <c r="A2319" s="5" t="s">
        <v>2643</v>
      </c>
      <c r="B2319" s="5" t="s">
        <v>1203</v>
      </c>
      <c r="C2319" s="5" t="s">
        <v>1442</v>
      </c>
      <c r="D2319" s="5" t="s">
        <v>1443</v>
      </c>
      <c r="E2319" s="6" t="s">
        <v>2346</v>
      </c>
      <c r="F2319" s="6" t="s">
        <v>1555</v>
      </c>
      <c r="G2319" s="6" t="s">
        <v>2064</v>
      </c>
      <c r="H2319" s="5"/>
      <c r="I2319" s="6" t="s">
        <v>2512</v>
      </c>
    </row>
    <row r="2320" customFormat="false" ht="46.25" hidden="false" customHeight="false" outlineLevel="0" collapsed="false">
      <c r="A2320" s="5" t="s">
        <v>2643</v>
      </c>
      <c r="B2320" s="5" t="s">
        <v>1203</v>
      </c>
      <c r="C2320" s="5" t="s">
        <v>1442</v>
      </c>
      <c r="D2320" s="5" t="s">
        <v>1443</v>
      </c>
      <c r="E2320" s="6" t="s">
        <v>2347</v>
      </c>
      <c r="F2320" s="6" t="s">
        <v>2483</v>
      </c>
      <c r="G2320" s="6" t="s">
        <v>2064</v>
      </c>
      <c r="H2320" s="5"/>
      <c r="I2320" s="6" t="s">
        <v>2512</v>
      </c>
    </row>
    <row r="2321" customFormat="false" ht="46.25" hidden="false" customHeight="false" outlineLevel="0" collapsed="false">
      <c r="A2321" s="5" t="s">
        <v>2643</v>
      </c>
      <c r="B2321" s="5" t="s">
        <v>1203</v>
      </c>
      <c r="C2321" s="5" t="s">
        <v>1442</v>
      </c>
      <c r="D2321" s="5" t="s">
        <v>1443</v>
      </c>
      <c r="E2321" s="6" t="s">
        <v>2349</v>
      </c>
      <c r="F2321" s="6" t="s">
        <v>1555</v>
      </c>
      <c r="G2321" s="6" t="s">
        <v>2645</v>
      </c>
      <c r="H2321" s="5"/>
      <c r="I2321" s="6" t="s">
        <v>2512</v>
      </c>
    </row>
    <row r="2322" customFormat="false" ht="46.25" hidden="false" customHeight="false" outlineLevel="0" collapsed="false">
      <c r="A2322" s="5" t="s">
        <v>2643</v>
      </c>
      <c r="B2322" s="5" t="s">
        <v>1203</v>
      </c>
      <c r="C2322" s="5" t="s">
        <v>1442</v>
      </c>
      <c r="D2322" s="5" t="s">
        <v>1443</v>
      </c>
      <c r="E2322" s="6" t="s">
        <v>2351</v>
      </c>
      <c r="F2322" s="6" t="s">
        <v>1555</v>
      </c>
      <c r="G2322" s="6" t="s">
        <v>2646</v>
      </c>
      <c r="H2322" s="5"/>
      <c r="I2322" s="6" t="s">
        <v>2512</v>
      </c>
    </row>
    <row r="2323" customFormat="false" ht="46.25" hidden="false" customHeight="false" outlineLevel="0" collapsed="false">
      <c r="A2323" s="5" t="s">
        <v>2643</v>
      </c>
      <c r="B2323" s="5" t="s">
        <v>1203</v>
      </c>
      <c r="C2323" s="5" t="s">
        <v>1442</v>
      </c>
      <c r="D2323" s="5" t="s">
        <v>1443</v>
      </c>
      <c r="E2323" s="6" t="s">
        <v>2487</v>
      </c>
      <c r="F2323" s="6" t="s">
        <v>1555</v>
      </c>
      <c r="G2323" s="6" t="s">
        <v>2553</v>
      </c>
      <c r="H2323" s="5"/>
      <c r="I2323" s="6" t="s">
        <v>2512</v>
      </c>
    </row>
    <row r="2324" customFormat="false" ht="46.25" hidden="false" customHeight="false" outlineLevel="0" collapsed="false">
      <c r="A2324" s="5" t="s">
        <v>2643</v>
      </c>
      <c r="B2324" s="5" t="s">
        <v>1203</v>
      </c>
      <c r="C2324" s="5" t="s">
        <v>1442</v>
      </c>
      <c r="D2324" s="5" t="s">
        <v>1443</v>
      </c>
      <c r="E2324" s="6" t="s">
        <v>2489</v>
      </c>
      <c r="F2324" s="6" t="s">
        <v>1555</v>
      </c>
      <c r="G2324" s="6" t="s">
        <v>2647</v>
      </c>
      <c r="H2324" s="5"/>
      <c r="I2324" s="6" t="s">
        <v>2512</v>
      </c>
    </row>
    <row r="2325" customFormat="false" ht="46.25" hidden="false" customHeight="false" outlineLevel="0" collapsed="false">
      <c r="A2325" s="5" t="s">
        <v>2648</v>
      </c>
      <c r="B2325" s="5" t="s">
        <v>1203</v>
      </c>
      <c r="C2325" s="5" t="s">
        <v>1447</v>
      </c>
      <c r="D2325" s="5" t="s">
        <v>1448</v>
      </c>
      <c r="E2325" s="6" t="s">
        <v>2618</v>
      </c>
      <c r="F2325" s="6" t="s">
        <v>2479</v>
      </c>
      <c r="G2325" s="6" t="s">
        <v>2649</v>
      </c>
      <c r="H2325" s="5"/>
      <c r="I2325" s="6" t="s">
        <v>2512</v>
      </c>
    </row>
    <row r="2326" customFormat="false" ht="46.25" hidden="false" customHeight="false" outlineLevel="0" collapsed="false">
      <c r="A2326" s="5" t="s">
        <v>2648</v>
      </c>
      <c r="B2326" s="5" t="s">
        <v>1203</v>
      </c>
      <c r="C2326" s="5" t="s">
        <v>1447</v>
      </c>
      <c r="D2326" s="5" t="s">
        <v>1448</v>
      </c>
      <c r="E2326" s="6" t="s">
        <v>2344</v>
      </c>
      <c r="F2326" s="6" t="s">
        <v>1555</v>
      </c>
      <c r="G2326" s="6" t="s">
        <v>2531</v>
      </c>
      <c r="H2326" s="5"/>
      <c r="I2326" s="6" t="s">
        <v>2512</v>
      </c>
    </row>
    <row r="2327" customFormat="false" ht="46.25" hidden="false" customHeight="false" outlineLevel="0" collapsed="false">
      <c r="A2327" s="5" t="s">
        <v>2648</v>
      </c>
      <c r="B2327" s="5" t="s">
        <v>1203</v>
      </c>
      <c r="C2327" s="5" t="s">
        <v>1447</v>
      </c>
      <c r="D2327" s="5" t="s">
        <v>1448</v>
      </c>
      <c r="E2327" s="6" t="s">
        <v>2346</v>
      </c>
      <c r="F2327" s="6" t="s">
        <v>1555</v>
      </c>
      <c r="G2327" s="6" t="s">
        <v>2064</v>
      </c>
      <c r="H2327" s="5"/>
      <c r="I2327" s="6" t="s">
        <v>2512</v>
      </c>
    </row>
    <row r="2328" customFormat="false" ht="46.25" hidden="false" customHeight="false" outlineLevel="0" collapsed="false">
      <c r="A2328" s="5" t="s">
        <v>2648</v>
      </c>
      <c r="B2328" s="5" t="s">
        <v>1203</v>
      </c>
      <c r="C2328" s="5" t="s">
        <v>1447</v>
      </c>
      <c r="D2328" s="5" t="s">
        <v>1448</v>
      </c>
      <c r="E2328" s="6" t="s">
        <v>2347</v>
      </c>
      <c r="F2328" s="6" t="s">
        <v>2483</v>
      </c>
      <c r="G2328" s="6" t="s">
        <v>2064</v>
      </c>
      <c r="H2328" s="5"/>
      <c r="I2328" s="6" t="s">
        <v>2512</v>
      </c>
    </row>
    <row r="2329" customFormat="false" ht="46.25" hidden="false" customHeight="false" outlineLevel="0" collapsed="false">
      <c r="A2329" s="5" t="s">
        <v>2648</v>
      </c>
      <c r="B2329" s="5" t="s">
        <v>1203</v>
      </c>
      <c r="C2329" s="5" t="s">
        <v>1447</v>
      </c>
      <c r="D2329" s="5" t="s">
        <v>1448</v>
      </c>
      <c r="E2329" s="6" t="s">
        <v>2349</v>
      </c>
      <c r="F2329" s="6" t="s">
        <v>1555</v>
      </c>
      <c r="G2329" s="6" t="s">
        <v>2650</v>
      </c>
      <c r="H2329" s="5"/>
      <c r="I2329" s="6" t="s">
        <v>2512</v>
      </c>
    </row>
    <row r="2330" customFormat="false" ht="46.25" hidden="false" customHeight="false" outlineLevel="0" collapsed="false">
      <c r="A2330" s="5" t="s">
        <v>2648</v>
      </c>
      <c r="B2330" s="5" t="s">
        <v>1203</v>
      </c>
      <c r="C2330" s="5" t="s">
        <v>1447</v>
      </c>
      <c r="D2330" s="5" t="s">
        <v>1448</v>
      </c>
      <c r="E2330" s="6" t="s">
        <v>2351</v>
      </c>
      <c r="F2330" s="6" t="s">
        <v>1555</v>
      </c>
      <c r="G2330" s="6" t="s">
        <v>2651</v>
      </c>
      <c r="H2330" s="5"/>
      <c r="I2330" s="6" t="s">
        <v>2512</v>
      </c>
    </row>
    <row r="2331" customFormat="false" ht="46.25" hidden="false" customHeight="false" outlineLevel="0" collapsed="false">
      <c r="A2331" s="5" t="s">
        <v>2648</v>
      </c>
      <c r="B2331" s="5" t="s">
        <v>1203</v>
      </c>
      <c r="C2331" s="5" t="s">
        <v>1447</v>
      </c>
      <c r="D2331" s="5" t="s">
        <v>1448</v>
      </c>
      <c r="E2331" s="6" t="s">
        <v>2487</v>
      </c>
      <c r="F2331" s="6" t="s">
        <v>1555</v>
      </c>
      <c r="G2331" s="6" t="s">
        <v>2531</v>
      </c>
      <c r="H2331" s="5"/>
      <c r="I2331" s="6" t="s">
        <v>2512</v>
      </c>
    </row>
    <row r="2332" customFormat="false" ht="46.25" hidden="false" customHeight="false" outlineLevel="0" collapsed="false">
      <c r="A2332" s="5" t="s">
        <v>2648</v>
      </c>
      <c r="B2332" s="5" t="s">
        <v>1203</v>
      </c>
      <c r="C2332" s="5" t="s">
        <v>1447</v>
      </c>
      <c r="D2332" s="5" t="s">
        <v>1448</v>
      </c>
      <c r="E2332" s="6" t="s">
        <v>2489</v>
      </c>
      <c r="F2332" s="6" t="s">
        <v>1555</v>
      </c>
      <c r="G2332" s="6" t="s">
        <v>2652</v>
      </c>
      <c r="H2332" s="5"/>
      <c r="I2332" s="6" t="s">
        <v>2512</v>
      </c>
    </row>
    <row r="2333" customFormat="false" ht="46.25" hidden="false" customHeight="false" outlineLevel="0" collapsed="false">
      <c r="A2333" s="5" t="s">
        <v>2653</v>
      </c>
      <c r="B2333" s="5" t="s">
        <v>1203</v>
      </c>
      <c r="C2333" s="5" t="s">
        <v>1452</v>
      </c>
      <c r="D2333" s="5" t="s">
        <v>1453</v>
      </c>
      <c r="E2333" s="6" t="s">
        <v>2618</v>
      </c>
      <c r="F2333" s="6" t="s">
        <v>2479</v>
      </c>
      <c r="G2333" s="6" t="s">
        <v>2654</v>
      </c>
      <c r="H2333" s="5"/>
      <c r="I2333" s="6" t="s">
        <v>2512</v>
      </c>
    </row>
    <row r="2334" customFormat="false" ht="46.25" hidden="false" customHeight="false" outlineLevel="0" collapsed="false">
      <c r="A2334" s="5" t="s">
        <v>2653</v>
      </c>
      <c r="B2334" s="5" t="s">
        <v>1203</v>
      </c>
      <c r="C2334" s="5" t="s">
        <v>1452</v>
      </c>
      <c r="D2334" s="5" t="s">
        <v>1453</v>
      </c>
      <c r="E2334" s="6" t="s">
        <v>2344</v>
      </c>
      <c r="F2334" s="6" t="s">
        <v>1555</v>
      </c>
      <c r="G2334" s="6" t="s">
        <v>2553</v>
      </c>
      <c r="H2334" s="5"/>
      <c r="I2334" s="6" t="s">
        <v>2512</v>
      </c>
    </row>
    <row r="2335" customFormat="false" ht="46.25" hidden="false" customHeight="false" outlineLevel="0" collapsed="false">
      <c r="A2335" s="5" t="s">
        <v>2653</v>
      </c>
      <c r="B2335" s="5" t="s">
        <v>1203</v>
      </c>
      <c r="C2335" s="5" t="s">
        <v>1452</v>
      </c>
      <c r="D2335" s="5" t="s">
        <v>1453</v>
      </c>
      <c r="E2335" s="6" t="s">
        <v>2346</v>
      </c>
      <c r="F2335" s="6" t="s">
        <v>1555</v>
      </c>
      <c r="G2335" s="6" t="s">
        <v>2064</v>
      </c>
      <c r="H2335" s="5"/>
      <c r="I2335" s="6" t="s">
        <v>2512</v>
      </c>
    </row>
    <row r="2336" customFormat="false" ht="46.25" hidden="false" customHeight="false" outlineLevel="0" collapsed="false">
      <c r="A2336" s="5" t="s">
        <v>2653</v>
      </c>
      <c r="B2336" s="5" t="s">
        <v>1203</v>
      </c>
      <c r="C2336" s="5" t="s">
        <v>1452</v>
      </c>
      <c r="D2336" s="5" t="s">
        <v>1453</v>
      </c>
      <c r="E2336" s="6" t="s">
        <v>2347</v>
      </c>
      <c r="F2336" s="6" t="s">
        <v>2483</v>
      </c>
      <c r="G2336" s="6" t="s">
        <v>2064</v>
      </c>
      <c r="H2336" s="5"/>
      <c r="I2336" s="6" t="s">
        <v>2512</v>
      </c>
    </row>
    <row r="2337" customFormat="false" ht="46.25" hidden="false" customHeight="false" outlineLevel="0" collapsed="false">
      <c r="A2337" s="5" t="s">
        <v>2653</v>
      </c>
      <c r="B2337" s="5" t="s">
        <v>1203</v>
      </c>
      <c r="C2337" s="5" t="s">
        <v>1452</v>
      </c>
      <c r="D2337" s="5" t="s">
        <v>1453</v>
      </c>
      <c r="E2337" s="6" t="s">
        <v>2349</v>
      </c>
      <c r="F2337" s="6" t="s">
        <v>1555</v>
      </c>
      <c r="G2337" s="6" t="s">
        <v>2655</v>
      </c>
      <c r="H2337" s="5"/>
      <c r="I2337" s="6" t="s">
        <v>2512</v>
      </c>
    </row>
    <row r="2338" customFormat="false" ht="46.25" hidden="false" customHeight="false" outlineLevel="0" collapsed="false">
      <c r="A2338" s="5" t="s">
        <v>2653</v>
      </c>
      <c r="B2338" s="5" t="s">
        <v>1203</v>
      </c>
      <c r="C2338" s="5" t="s">
        <v>1452</v>
      </c>
      <c r="D2338" s="5" t="s">
        <v>1453</v>
      </c>
      <c r="E2338" s="6" t="s">
        <v>2351</v>
      </c>
      <c r="F2338" s="6" t="s">
        <v>1555</v>
      </c>
      <c r="G2338" s="6" t="s">
        <v>2656</v>
      </c>
      <c r="H2338" s="5"/>
      <c r="I2338" s="6" t="s">
        <v>2512</v>
      </c>
    </row>
    <row r="2339" customFormat="false" ht="46.25" hidden="false" customHeight="false" outlineLevel="0" collapsed="false">
      <c r="A2339" s="5" t="s">
        <v>2653</v>
      </c>
      <c r="B2339" s="5" t="s">
        <v>1203</v>
      </c>
      <c r="C2339" s="5" t="s">
        <v>1452</v>
      </c>
      <c r="D2339" s="5" t="s">
        <v>1453</v>
      </c>
      <c r="E2339" s="6" t="s">
        <v>2487</v>
      </c>
      <c r="F2339" s="6" t="s">
        <v>1555</v>
      </c>
      <c r="G2339" s="6" t="s">
        <v>2553</v>
      </c>
      <c r="H2339" s="5"/>
      <c r="I2339" s="6" t="s">
        <v>2512</v>
      </c>
    </row>
    <row r="2340" customFormat="false" ht="46.25" hidden="false" customHeight="false" outlineLevel="0" collapsed="false">
      <c r="A2340" s="5" t="s">
        <v>2653</v>
      </c>
      <c r="B2340" s="5" t="s">
        <v>1203</v>
      </c>
      <c r="C2340" s="5" t="s">
        <v>1452</v>
      </c>
      <c r="D2340" s="5" t="s">
        <v>1453</v>
      </c>
      <c r="E2340" s="6" t="s">
        <v>2489</v>
      </c>
      <c r="F2340" s="6" t="s">
        <v>1555</v>
      </c>
      <c r="G2340" s="6" t="s">
        <v>2657</v>
      </c>
      <c r="H2340" s="5"/>
      <c r="I2340" s="6" t="s">
        <v>2512</v>
      </c>
    </row>
    <row r="2341" customFormat="false" ht="46.25" hidden="false" customHeight="false" outlineLevel="0" collapsed="false">
      <c r="A2341" s="5" t="s">
        <v>2658</v>
      </c>
      <c r="B2341" s="5" t="s">
        <v>1203</v>
      </c>
      <c r="C2341" s="5" t="s">
        <v>1456</v>
      </c>
      <c r="D2341" s="5" t="s">
        <v>1457</v>
      </c>
      <c r="E2341" s="6" t="s">
        <v>2618</v>
      </c>
      <c r="F2341" s="6" t="s">
        <v>2479</v>
      </c>
      <c r="G2341" s="6" t="s">
        <v>2659</v>
      </c>
      <c r="H2341" s="5"/>
      <c r="I2341" s="6" t="s">
        <v>2512</v>
      </c>
    </row>
    <row r="2342" customFormat="false" ht="46.25" hidden="false" customHeight="false" outlineLevel="0" collapsed="false">
      <c r="A2342" s="5" t="s">
        <v>2658</v>
      </c>
      <c r="B2342" s="5" t="s">
        <v>1203</v>
      </c>
      <c r="C2342" s="5" t="s">
        <v>1456</v>
      </c>
      <c r="D2342" s="5" t="s">
        <v>1457</v>
      </c>
      <c r="E2342" s="6" t="s">
        <v>2344</v>
      </c>
      <c r="F2342" s="6" t="s">
        <v>1555</v>
      </c>
      <c r="G2342" s="6" t="s">
        <v>2553</v>
      </c>
      <c r="H2342" s="5"/>
      <c r="I2342" s="6" t="s">
        <v>2512</v>
      </c>
    </row>
    <row r="2343" customFormat="false" ht="46.25" hidden="false" customHeight="false" outlineLevel="0" collapsed="false">
      <c r="A2343" s="5" t="s">
        <v>2658</v>
      </c>
      <c r="B2343" s="5" t="s">
        <v>1203</v>
      </c>
      <c r="C2343" s="5" t="s">
        <v>1456</v>
      </c>
      <c r="D2343" s="5" t="s">
        <v>1457</v>
      </c>
      <c r="E2343" s="6" t="s">
        <v>2346</v>
      </c>
      <c r="F2343" s="6" t="s">
        <v>1555</v>
      </c>
      <c r="G2343" s="6" t="s">
        <v>2064</v>
      </c>
      <c r="H2343" s="5"/>
      <c r="I2343" s="6" t="s">
        <v>2512</v>
      </c>
    </row>
    <row r="2344" customFormat="false" ht="46.25" hidden="false" customHeight="false" outlineLevel="0" collapsed="false">
      <c r="A2344" s="5" t="s">
        <v>2658</v>
      </c>
      <c r="B2344" s="5" t="s">
        <v>1203</v>
      </c>
      <c r="C2344" s="5" t="s">
        <v>1456</v>
      </c>
      <c r="D2344" s="5" t="s">
        <v>1457</v>
      </c>
      <c r="E2344" s="6" t="s">
        <v>2347</v>
      </c>
      <c r="F2344" s="6" t="s">
        <v>2483</v>
      </c>
      <c r="G2344" s="6" t="s">
        <v>2064</v>
      </c>
      <c r="H2344" s="5"/>
      <c r="I2344" s="6" t="s">
        <v>2512</v>
      </c>
    </row>
    <row r="2345" customFormat="false" ht="46.25" hidden="false" customHeight="false" outlineLevel="0" collapsed="false">
      <c r="A2345" s="5" t="s">
        <v>2658</v>
      </c>
      <c r="B2345" s="5" t="s">
        <v>1203</v>
      </c>
      <c r="C2345" s="5" t="s">
        <v>1456</v>
      </c>
      <c r="D2345" s="5" t="s">
        <v>1457</v>
      </c>
      <c r="E2345" s="6" t="s">
        <v>2349</v>
      </c>
      <c r="F2345" s="6" t="s">
        <v>1555</v>
      </c>
      <c r="G2345" s="6" t="s">
        <v>2660</v>
      </c>
      <c r="H2345" s="5"/>
      <c r="I2345" s="6" t="s">
        <v>2512</v>
      </c>
    </row>
    <row r="2346" customFormat="false" ht="46.25" hidden="false" customHeight="false" outlineLevel="0" collapsed="false">
      <c r="A2346" s="5" t="s">
        <v>2658</v>
      </c>
      <c r="B2346" s="5" t="s">
        <v>1203</v>
      </c>
      <c r="C2346" s="5" t="s">
        <v>1456</v>
      </c>
      <c r="D2346" s="5" t="s">
        <v>1457</v>
      </c>
      <c r="E2346" s="6" t="s">
        <v>2351</v>
      </c>
      <c r="F2346" s="6" t="s">
        <v>1555</v>
      </c>
      <c r="G2346" s="6" t="s">
        <v>2661</v>
      </c>
      <c r="H2346" s="5"/>
      <c r="I2346" s="6" t="s">
        <v>2512</v>
      </c>
    </row>
    <row r="2347" customFormat="false" ht="46.25" hidden="false" customHeight="false" outlineLevel="0" collapsed="false">
      <c r="A2347" s="5" t="s">
        <v>2658</v>
      </c>
      <c r="B2347" s="5" t="s">
        <v>1203</v>
      </c>
      <c r="C2347" s="5" t="s">
        <v>1456</v>
      </c>
      <c r="D2347" s="5" t="s">
        <v>1457</v>
      </c>
      <c r="E2347" s="6" t="s">
        <v>2487</v>
      </c>
      <c r="F2347" s="6" t="s">
        <v>1555</v>
      </c>
      <c r="G2347" s="6" t="s">
        <v>2553</v>
      </c>
      <c r="H2347" s="5"/>
      <c r="I2347" s="6" t="s">
        <v>2512</v>
      </c>
    </row>
    <row r="2348" customFormat="false" ht="46.25" hidden="false" customHeight="false" outlineLevel="0" collapsed="false">
      <c r="A2348" s="5" t="s">
        <v>2658</v>
      </c>
      <c r="B2348" s="5" t="s">
        <v>1203</v>
      </c>
      <c r="C2348" s="5" t="s">
        <v>1456</v>
      </c>
      <c r="D2348" s="5" t="s">
        <v>1457</v>
      </c>
      <c r="E2348" s="6" t="s">
        <v>2489</v>
      </c>
      <c r="F2348" s="6" t="s">
        <v>1555</v>
      </c>
      <c r="G2348" s="6" t="s">
        <v>2662</v>
      </c>
      <c r="H2348" s="5"/>
      <c r="I2348" s="6" t="s">
        <v>2512</v>
      </c>
    </row>
    <row r="2349" customFormat="false" ht="46.25" hidden="false" customHeight="false" outlineLevel="0" collapsed="false">
      <c r="A2349" s="5" t="s">
        <v>2663</v>
      </c>
      <c r="B2349" s="5" t="s">
        <v>1203</v>
      </c>
      <c r="C2349" s="5" t="s">
        <v>1461</v>
      </c>
      <c r="D2349" s="5" t="s">
        <v>1462</v>
      </c>
      <c r="E2349" s="6" t="s">
        <v>2618</v>
      </c>
      <c r="F2349" s="6" t="s">
        <v>2479</v>
      </c>
      <c r="G2349" s="6" t="s">
        <v>2664</v>
      </c>
      <c r="H2349" s="5"/>
      <c r="I2349" s="6" t="s">
        <v>2512</v>
      </c>
    </row>
    <row r="2350" customFormat="false" ht="46.25" hidden="false" customHeight="false" outlineLevel="0" collapsed="false">
      <c r="A2350" s="5" t="s">
        <v>2663</v>
      </c>
      <c r="B2350" s="5" t="s">
        <v>1203</v>
      </c>
      <c r="C2350" s="5" t="s">
        <v>1461</v>
      </c>
      <c r="D2350" s="5" t="s">
        <v>1462</v>
      </c>
      <c r="E2350" s="6" t="s">
        <v>2344</v>
      </c>
      <c r="F2350" s="6" t="s">
        <v>1555</v>
      </c>
      <c r="G2350" s="6" t="s">
        <v>2531</v>
      </c>
      <c r="H2350" s="5"/>
      <c r="I2350" s="6" t="s">
        <v>2512</v>
      </c>
    </row>
    <row r="2351" customFormat="false" ht="46.25" hidden="false" customHeight="false" outlineLevel="0" collapsed="false">
      <c r="A2351" s="5" t="s">
        <v>2663</v>
      </c>
      <c r="B2351" s="5" t="s">
        <v>1203</v>
      </c>
      <c r="C2351" s="5" t="s">
        <v>1461</v>
      </c>
      <c r="D2351" s="5" t="s">
        <v>1462</v>
      </c>
      <c r="E2351" s="6" t="s">
        <v>2346</v>
      </c>
      <c r="F2351" s="6" t="s">
        <v>1555</v>
      </c>
      <c r="G2351" s="6" t="s">
        <v>2064</v>
      </c>
      <c r="H2351" s="5"/>
      <c r="I2351" s="6" t="s">
        <v>2512</v>
      </c>
    </row>
    <row r="2352" customFormat="false" ht="46.25" hidden="false" customHeight="false" outlineLevel="0" collapsed="false">
      <c r="A2352" s="5" t="s">
        <v>2663</v>
      </c>
      <c r="B2352" s="5" t="s">
        <v>1203</v>
      </c>
      <c r="C2352" s="5" t="s">
        <v>1461</v>
      </c>
      <c r="D2352" s="5" t="s">
        <v>1462</v>
      </c>
      <c r="E2352" s="6" t="s">
        <v>2347</v>
      </c>
      <c r="F2352" s="6" t="s">
        <v>2483</v>
      </c>
      <c r="G2352" s="6" t="s">
        <v>2064</v>
      </c>
      <c r="H2352" s="5"/>
      <c r="I2352" s="6" t="s">
        <v>2512</v>
      </c>
    </row>
    <row r="2353" customFormat="false" ht="46.25" hidden="false" customHeight="false" outlineLevel="0" collapsed="false">
      <c r="A2353" s="5" t="s">
        <v>2663</v>
      </c>
      <c r="B2353" s="5" t="s">
        <v>1203</v>
      </c>
      <c r="C2353" s="5" t="s">
        <v>1461</v>
      </c>
      <c r="D2353" s="5" t="s">
        <v>1462</v>
      </c>
      <c r="E2353" s="6" t="s">
        <v>2349</v>
      </c>
      <c r="F2353" s="6" t="s">
        <v>1555</v>
      </c>
      <c r="G2353" s="6" t="s">
        <v>2665</v>
      </c>
      <c r="H2353" s="5"/>
      <c r="I2353" s="6" t="s">
        <v>2512</v>
      </c>
    </row>
    <row r="2354" customFormat="false" ht="46.25" hidden="false" customHeight="false" outlineLevel="0" collapsed="false">
      <c r="A2354" s="5" t="s">
        <v>2663</v>
      </c>
      <c r="B2354" s="5" t="s">
        <v>1203</v>
      </c>
      <c r="C2354" s="5" t="s">
        <v>1461</v>
      </c>
      <c r="D2354" s="5" t="s">
        <v>1462</v>
      </c>
      <c r="E2354" s="6" t="s">
        <v>2351</v>
      </c>
      <c r="F2354" s="6" t="s">
        <v>1555</v>
      </c>
      <c r="G2354" s="6" t="s">
        <v>2666</v>
      </c>
      <c r="H2354" s="5"/>
      <c r="I2354" s="6" t="s">
        <v>2512</v>
      </c>
    </row>
    <row r="2355" customFormat="false" ht="46.25" hidden="false" customHeight="false" outlineLevel="0" collapsed="false">
      <c r="A2355" s="5" t="s">
        <v>2663</v>
      </c>
      <c r="B2355" s="5" t="s">
        <v>1203</v>
      </c>
      <c r="C2355" s="5" t="s">
        <v>1461</v>
      </c>
      <c r="D2355" s="5" t="s">
        <v>1462</v>
      </c>
      <c r="E2355" s="6" t="s">
        <v>2487</v>
      </c>
      <c r="F2355" s="6" t="s">
        <v>1555</v>
      </c>
      <c r="G2355" s="6" t="s">
        <v>2553</v>
      </c>
      <c r="H2355" s="5"/>
      <c r="I2355" s="6" t="s">
        <v>2512</v>
      </c>
    </row>
    <row r="2356" customFormat="false" ht="46.25" hidden="false" customHeight="false" outlineLevel="0" collapsed="false">
      <c r="A2356" s="5" t="s">
        <v>2663</v>
      </c>
      <c r="B2356" s="5" t="s">
        <v>1203</v>
      </c>
      <c r="C2356" s="5" t="s">
        <v>1461</v>
      </c>
      <c r="D2356" s="5" t="s">
        <v>1462</v>
      </c>
      <c r="E2356" s="6" t="s">
        <v>2489</v>
      </c>
      <c r="F2356" s="6" t="s">
        <v>1555</v>
      </c>
      <c r="G2356" s="6" t="s">
        <v>2667</v>
      </c>
      <c r="H2356" s="5"/>
      <c r="I2356" s="6" t="s">
        <v>2512</v>
      </c>
    </row>
    <row r="2357" customFormat="false" ht="57.45" hidden="false" customHeight="false" outlineLevel="0" collapsed="false">
      <c r="A2357" s="5" t="s">
        <v>2668</v>
      </c>
      <c r="B2357" s="5" t="s">
        <v>1203</v>
      </c>
      <c r="C2357" s="5" t="s">
        <v>1466</v>
      </c>
      <c r="D2357" s="5" t="s">
        <v>1470</v>
      </c>
      <c r="E2357" s="6" t="s">
        <v>2669</v>
      </c>
      <c r="F2357" s="6" t="s">
        <v>2670</v>
      </c>
      <c r="G2357" s="6" t="s">
        <v>2671</v>
      </c>
      <c r="H2357" s="5"/>
      <c r="I2357" s="6" t="s">
        <v>2672</v>
      </c>
    </row>
    <row r="2358" customFormat="false" ht="57.45" hidden="false" customHeight="false" outlineLevel="0" collapsed="false">
      <c r="A2358" s="5" t="s">
        <v>2668</v>
      </c>
      <c r="B2358" s="5" t="s">
        <v>1203</v>
      </c>
      <c r="C2358" s="5" t="s">
        <v>1466</v>
      </c>
      <c r="D2358" s="5" t="s">
        <v>1470</v>
      </c>
      <c r="E2358" s="6" t="s">
        <v>2673</v>
      </c>
      <c r="F2358" s="6" t="s">
        <v>2674</v>
      </c>
      <c r="G2358" s="6" t="s">
        <v>2675</v>
      </c>
      <c r="H2358" s="5"/>
      <c r="I2358" s="6" t="s">
        <v>2672</v>
      </c>
    </row>
    <row r="2359" customFormat="false" ht="57.45" hidden="false" customHeight="false" outlineLevel="0" collapsed="false">
      <c r="A2359" s="5" t="s">
        <v>2668</v>
      </c>
      <c r="B2359" s="5" t="s">
        <v>1203</v>
      </c>
      <c r="C2359" s="5" t="s">
        <v>1466</v>
      </c>
      <c r="D2359" s="5" t="s">
        <v>1470</v>
      </c>
      <c r="E2359" s="6" t="s">
        <v>2618</v>
      </c>
      <c r="F2359" s="6" t="s">
        <v>2676</v>
      </c>
      <c r="G2359" s="6" t="s">
        <v>2677</v>
      </c>
      <c r="H2359" s="5"/>
      <c r="I2359" s="6" t="s">
        <v>2672</v>
      </c>
    </row>
    <row r="2360" customFormat="false" ht="57.45" hidden="false" customHeight="false" outlineLevel="0" collapsed="false">
      <c r="A2360" s="5" t="s">
        <v>2668</v>
      </c>
      <c r="B2360" s="5" t="s">
        <v>1203</v>
      </c>
      <c r="C2360" s="5" t="s">
        <v>1466</v>
      </c>
      <c r="D2360" s="5" t="s">
        <v>1470</v>
      </c>
      <c r="E2360" s="6" t="s">
        <v>2678</v>
      </c>
      <c r="F2360" s="6" t="s">
        <v>2679</v>
      </c>
      <c r="G2360" s="6" t="s">
        <v>2680</v>
      </c>
      <c r="H2360" s="5"/>
      <c r="I2360" s="6" t="s">
        <v>2672</v>
      </c>
    </row>
    <row r="2361" customFormat="false" ht="57.45" hidden="false" customHeight="false" outlineLevel="0" collapsed="false">
      <c r="A2361" s="5" t="s">
        <v>2681</v>
      </c>
      <c r="B2361" s="5" t="s">
        <v>1203</v>
      </c>
      <c r="C2361" s="5" t="s">
        <v>1474</v>
      </c>
      <c r="D2361" s="5" t="s">
        <v>1475</v>
      </c>
      <c r="E2361" s="6" t="s">
        <v>2669</v>
      </c>
      <c r="F2361" s="6" t="s">
        <v>2670</v>
      </c>
      <c r="G2361" s="6" t="s">
        <v>2671</v>
      </c>
      <c r="H2361" s="5"/>
      <c r="I2361" s="6" t="s">
        <v>2672</v>
      </c>
    </row>
    <row r="2362" customFormat="false" ht="57.45" hidden="false" customHeight="false" outlineLevel="0" collapsed="false">
      <c r="A2362" s="5" t="s">
        <v>2681</v>
      </c>
      <c r="B2362" s="5" t="s">
        <v>1203</v>
      </c>
      <c r="C2362" s="5" t="s">
        <v>1474</v>
      </c>
      <c r="D2362" s="5" t="s">
        <v>1475</v>
      </c>
      <c r="E2362" s="6" t="s">
        <v>2673</v>
      </c>
      <c r="F2362" s="6" t="s">
        <v>2674</v>
      </c>
      <c r="G2362" s="6" t="s">
        <v>2675</v>
      </c>
      <c r="H2362" s="5"/>
      <c r="I2362" s="6" t="s">
        <v>2672</v>
      </c>
    </row>
    <row r="2363" customFormat="false" ht="57.45" hidden="false" customHeight="false" outlineLevel="0" collapsed="false">
      <c r="A2363" s="5" t="s">
        <v>2681</v>
      </c>
      <c r="B2363" s="5" t="s">
        <v>1203</v>
      </c>
      <c r="C2363" s="5" t="s">
        <v>1474</v>
      </c>
      <c r="D2363" s="5" t="s">
        <v>1475</v>
      </c>
      <c r="E2363" s="6" t="s">
        <v>2618</v>
      </c>
      <c r="F2363" s="6" t="s">
        <v>2676</v>
      </c>
      <c r="G2363" s="6" t="s">
        <v>2682</v>
      </c>
      <c r="H2363" s="5"/>
      <c r="I2363" s="6" t="s">
        <v>2672</v>
      </c>
    </row>
    <row r="2364" customFormat="false" ht="57.45" hidden="false" customHeight="false" outlineLevel="0" collapsed="false">
      <c r="A2364" s="5" t="s">
        <v>2681</v>
      </c>
      <c r="B2364" s="5" t="s">
        <v>1203</v>
      </c>
      <c r="C2364" s="5" t="s">
        <v>1474</v>
      </c>
      <c r="D2364" s="5" t="s">
        <v>1475</v>
      </c>
      <c r="E2364" s="6" t="s">
        <v>2683</v>
      </c>
      <c r="F2364" s="6" t="s">
        <v>2679</v>
      </c>
      <c r="G2364" s="6" t="s">
        <v>2684</v>
      </c>
      <c r="H2364" s="5"/>
      <c r="I2364" s="6" t="s">
        <v>2672</v>
      </c>
    </row>
    <row r="2365" customFormat="false" ht="57.45" hidden="false" customHeight="false" outlineLevel="0" collapsed="false">
      <c r="A2365" s="5" t="s">
        <v>2685</v>
      </c>
      <c r="B2365" s="5" t="s">
        <v>1203</v>
      </c>
      <c r="C2365" s="5" t="s">
        <v>1479</v>
      </c>
      <c r="D2365" s="5" t="s">
        <v>1480</v>
      </c>
      <c r="E2365" s="6" t="s">
        <v>2686</v>
      </c>
      <c r="F2365" s="6" t="s">
        <v>2670</v>
      </c>
      <c r="G2365" s="6" t="s">
        <v>1901</v>
      </c>
      <c r="H2365" s="5"/>
      <c r="I2365" s="6" t="s">
        <v>2672</v>
      </c>
    </row>
    <row r="2366" customFormat="false" ht="57.45" hidden="false" customHeight="false" outlineLevel="0" collapsed="false">
      <c r="A2366" s="5" t="s">
        <v>2685</v>
      </c>
      <c r="B2366" s="5" t="s">
        <v>1203</v>
      </c>
      <c r="C2366" s="5" t="s">
        <v>1479</v>
      </c>
      <c r="D2366" s="5" t="s">
        <v>1480</v>
      </c>
      <c r="E2366" s="6" t="s">
        <v>2687</v>
      </c>
      <c r="F2366" s="6" t="s">
        <v>2670</v>
      </c>
      <c r="G2366" s="6" t="s">
        <v>1901</v>
      </c>
      <c r="H2366" s="5"/>
      <c r="I2366" s="6" t="s">
        <v>2672</v>
      </c>
    </row>
    <row r="2367" customFormat="false" ht="57.45" hidden="false" customHeight="false" outlineLevel="0" collapsed="false">
      <c r="A2367" s="5" t="s">
        <v>2685</v>
      </c>
      <c r="B2367" s="5" t="s">
        <v>1203</v>
      </c>
      <c r="C2367" s="5" t="s">
        <v>1479</v>
      </c>
      <c r="D2367" s="5" t="s">
        <v>1480</v>
      </c>
      <c r="E2367" s="6" t="s">
        <v>2673</v>
      </c>
      <c r="F2367" s="6" t="s">
        <v>2688</v>
      </c>
      <c r="G2367" s="6" t="s">
        <v>2689</v>
      </c>
      <c r="H2367" s="5"/>
      <c r="I2367" s="6" t="s">
        <v>2672</v>
      </c>
    </row>
    <row r="2368" customFormat="false" ht="57.45" hidden="false" customHeight="false" outlineLevel="0" collapsed="false">
      <c r="A2368" s="5" t="s">
        <v>2685</v>
      </c>
      <c r="B2368" s="5" t="s">
        <v>1203</v>
      </c>
      <c r="C2368" s="5" t="s">
        <v>1479</v>
      </c>
      <c r="D2368" s="5" t="s">
        <v>1480</v>
      </c>
      <c r="E2368" s="6" t="s">
        <v>2618</v>
      </c>
      <c r="F2368" s="6" t="s">
        <v>2676</v>
      </c>
      <c r="G2368" s="6" t="s">
        <v>2682</v>
      </c>
      <c r="H2368" s="5"/>
      <c r="I2368" s="6" t="s">
        <v>2672</v>
      </c>
    </row>
    <row r="2369" customFormat="false" ht="57.45" hidden="false" customHeight="false" outlineLevel="0" collapsed="false">
      <c r="A2369" s="5" t="s">
        <v>2685</v>
      </c>
      <c r="B2369" s="5" t="s">
        <v>1203</v>
      </c>
      <c r="C2369" s="5" t="s">
        <v>1479</v>
      </c>
      <c r="D2369" s="5" t="s">
        <v>1480</v>
      </c>
      <c r="E2369" s="6" t="s">
        <v>2690</v>
      </c>
      <c r="F2369" s="6" t="s">
        <v>2691</v>
      </c>
      <c r="G2369" s="6" t="s">
        <v>2528</v>
      </c>
      <c r="H2369" s="5"/>
      <c r="I2369" s="6" t="s">
        <v>2672</v>
      </c>
    </row>
    <row r="2370" customFormat="false" ht="57.45" hidden="false" customHeight="false" outlineLevel="0" collapsed="false">
      <c r="A2370" s="5" t="s">
        <v>2685</v>
      </c>
      <c r="B2370" s="5" t="s">
        <v>1203</v>
      </c>
      <c r="C2370" s="5" t="s">
        <v>1479</v>
      </c>
      <c r="D2370" s="5" t="s">
        <v>1480</v>
      </c>
      <c r="E2370" s="6" t="s">
        <v>2692</v>
      </c>
      <c r="F2370" s="6" t="s">
        <v>2691</v>
      </c>
      <c r="G2370" s="6" t="s">
        <v>2693</v>
      </c>
      <c r="H2370" s="5"/>
      <c r="I2370" s="6" t="s">
        <v>2672</v>
      </c>
    </row>
    <row r="2371" customFormat="false" ht="57.45" hidden="false" customHeight="false" outlineLevel="0" collapsed="false">
      <c r="A2371" s="5" t="s">
        <v>2685</v>
      </c>
      <c r="B2371" s="5" t="s">
        <v>1203</v>
      </c>
      <c r="C2371" s="5" t="s">
        <v>1479</v>
      </c>
      <c r="D2371" s="5" t="s">
        <v>1480</v>
      </c>
      <c r="E2371" s="6" t="s">
        <v>2694</v>
      </c>
      <c r="F2371" s="6" t="s">
        <v>2695</v>
      </c>
      <c r="G2371" s="6" t="s">
        <v>2696</v>
      </c>
      <c r="H2371" s="5"/>
      <c r="I2371" s="6" t="s">
        <v>2672</v>
      </c>
    </row>
    <row r="2372" customFormat="false" ht="57.45" hidden="false" customHeight="false" outlineLevel="0" collapsed="false">
      <c r="A2372" s="5" t="s">
        <v>2697</v>
      </c>
      <c r="B2372" s="5" t="s">
        <v>1203</v>
      </c>
      <c r="C2372" s="5" t="s">
        <v>1484</v>
      </c>
      <c r="D2372" s="5" t="s">
        <v>1485</v>
      </c>
      <c r="E2372" s="6" t="s">
        <v>2669</v>
      </c>
      <c r="F2372" s="6" t="s">
        <v>2670</v>
      </c>
      <c r="G2372" s="6" t="s">
        <v>2671</v>
      </c>
      <c r="H2372" s="5"/>
      <c r="I2372" s="6" t="s">
        <v>2672</v>
      </c>
    </row>
    <row r="2373" customFormat="false" ht="57.45" hidden="false" customHeight="false" outlineLevel="0" collapsed="false">
      <c r="A2373" s="5" t="s">
        <v>2697</v>
      </c>
      <c r="B2373" s="5" t="s">
        <v>1203</v>
      </c>
      <c r="C2373" s="5" t="s">
        <v>1484</v>
      </c>
      <c r="D2373" s="5" t="s">
        <v>1485</v>
      </c>
      <c r="E2373" s="6" t="s">
        <v>2673</v>
      </c>
      <c r="F2373" s="6" t="s">
        <v>2674</v>
      </c>
      <c r="G2373" s="6" t="s">
        <v>2675</v>
      </c>
      <c r="H2373" s="5"/>
      <c r="I2373" s="6" t="s">
        <v>2672</v>
      </c>
    </row>
    <row r="2374" customFormat="false" ht="57.45" hidden="false" customHeight="false" outlineLevel="0" collapsed="false">
      <c r="A2374" s="5" t="s">
        <v>2697</v>
      </c>
      <c r="B2374" s="5" t="s">
        <v>1203</v>
      </c>
      <c r="C2374" s="5" t="s">
        <v>1484</v>
      </c>
      <c r="D2374" s="5" t="s">
        <v>1485</v>
      </c>
      <c r="E2374" s="6" t="s">
        <v>2618</v>
      </c>
      <c r="F2374" s="6" t="s">
        <v>2676</v>
      </c>
      <c r="G2374" s="6" t="s">
        <v>2698</v>
      </c>
      <c r="H2374" s="5"/>
      <c r="I2374" s="6" t="s">
        <v>2672</v>
      </c>
    </row>
    <row r="2375" customFormat="false" ht="57.45" hidden="false" customHeight="false" outlineLevel="0" collapsed="false">
      <c r="A2375" s="5" t="s">
        <v>2697</v>
      </c>
      <c r="B2375" s="5" t="s">
        <v>1203</v>
      </c>
      <c r="C2375" s="5" t="s">
        <v>1484</v>
      </c>
      <c r="D2375" s="5" t="s">
        <v>1485</v>
      </c>
      <c r="E2375" s="6" t="s">
        <v>2678</v>
      </c>
      <c r="F2375" s="6" t="s">
        <v>2679</v>
      </c>
      <c r="G2375" s="6" t="s">
        <v>2699</v>
      </c>
      <c r="H2375" s="5"/>
      <c r="I2375" s="6" t="s">
        <v>2672</v>
      </c>
    </row>
    <row r="2376" customFormat="false" ht="57.45" hidden="false" customHeight="false" outlineLevel="0" collapsed="false">
      <c r="A2376" s="5" t="s">
        <v>2700</v>
      </c>
      <c r="B2376" s="5" t="s">
        <v>1203</v>
      </c>
      <c r="C2376" s="5" t="s">
        <v>1489</v>
      </c>
      <c r="D2376" s="5" t="s">
        <v>1490</v>
      </c>
      <c r="E2376" s="6" t="s">
        <v>2686</v>
      </c>
      <c r="F2376" s="6" t="s">
        <v>2670</v>
      </c>
      <c r="G2376" s="6" t="s">
        <v>1901</v>
      </c>
      <c r="H2376" s="5"/>
      <c r="I2376" s="6" t="s">
        <v>2672</v>
      </c>
    </row>
    <row r="2377" customFormat="false" ht="57.45" hidden="false" customHeight="false" outlineLevel="0" collapsed="false">
      <c r="A2377" s="5" t="s">
        <v>2700</v>
      </c>
      <c r="B2377" s="5" t="s">
        <v>1203</v>
      </c>
      <c r="C2377" s="5" t="s">
        <v>1489</v>
      </c>
      <c r="D2377" s="5" t="s">
        <v>1490</v>
      </c>
      <c r="E2377" s="6" t="s">
        <v>2687</v>
      </c>
      <c r="F2377" s="6" t="s">
        <v>2670</v>
      </c>
      <c r="G2377" s="6" t="s">
        <v>1901</v>
      </c>
      <c r="H2377" s="5"/>
      <c r="I2377" s="6" t="s">
        <v>2672</v>
      </c>
    </row>
    <row r="2378" customFormat="false" ht="57.45" hidden="false" customHeight="false" outlineLevel="0" collapsed="false">
      <c r="A2378" s="5" t="s">
        <v>2700</v>
      </c>
      <c r="B2378" s="5" t="s">
        <v>1203</v>
      </c>
      <c r="C2378" s="5" t="s">
        <v>1489</v>
      </c>
      <c r="D2378" s="5" t="s">
        <v>1490</v>
      </c>
      <c r="E2378" s="6" t="s">
        <v>2673</v>
      </c>
      <c r="F2378" s="6" t="s">
        <v>2688</v>
      </c>
      <c r="G2378" s="6" t="s">
        <v>2701</v>
      </c>
      <c r="H2378" s="5"/>
      <c r="I2378" s="6" t="s">
        <v>2672</v>
      </c>
    </row>
    <row r="2379" customFormat="false" ht="57.45" hidden="false" customHeight="false" outlineLevel="0" collapsed="false">
      <c r="A2379" s="5" t="s">
        <v>2700</v>
      </c>
      <c r="B2379" s="5" t="s">
        <v>1203</v>
      </c>
      <c r="C2379" s="5" t="s">
        <v>1489</v>
      </c>
      <c r="D2379" s="5" t="s">
        <v>1490</v>
      </c>
      <c r="E2379" s="6" t="s">
        <v>2618</v>
      </c>
      <c r="F2379" s="6" t="s">
        <v>2676</v>
      </c>
      <c r="G2379" s="6" t="s">
        <v>2702</v>
      </c>
      <c r="H2379" s="5"/>
      <c r="I2379" s="6" t="s">
        <v>2672</v>
      </c>
    </row>
    <row r="2380" customFormat="false" ht="57.45" hidden="false" customHeight="false" outlineLevel="0" collapsed="false">
      <c r="A2380" s="5" t="s">
        <v>2700</v>
      </c>
      <c r="B2380" s="5" t="s">
        <v>1203</v>
      </c>
      <c r="C2380" s="5" t="s">
        <v>1489</v>
      </c>
      <c r="D2380" s="5" t="s">
        <v>1490</v>
      </c>
      <c r="E2380" s="6" t="s">
        <v>2690</v>
      </c>
      <c r="F2380" s="6" t="s">
        <v>2691</v>
      </c>
      <c r="G2380" s="6" t="s">
        <v>2703</v>
      </c>
      <c r="H2380" s="5"/>
      <c r="I2380" s="6" t="s">
        <v>2672</v>
      </c>
    </row>
    <row r="2381" customFormat="false" ht="57.45" hidden="false" customHeight="false" outlineLevel="0" collapsed="false">
      <c r="A2381" s="5" t="s">
        <v>2700</v>
      </c>
      <c r="B2381" s="5" t="s">
        <v>1203</v>
      </c>
      <c r="C2381" s="5" t="s">
        <v>1489</v>
      </c>
      <c r="D2381" s="5" t="s">
        <v>1490</v>
      </c>
      <c r="E2381" s="6" t="s">
        <v>2692</v>
      </c>
      <c r="F2381" s="6" t="s">
        <v>2691</v>
      </c>
      <c r="G2381" s="6" t="s">
        <v>2531</v>
      </c>
      <c r="H2381" s="5"/>
      <c r="I2381" s="6" t="s">
        <v>2672</v>
      </c>
    </row>
    <row r="2382" customFormat="false" ht="57.45" hidden="false" customHeight="false" outlineLevel="0" collapsed="false">
      <c r="A2382" s="5" t="s">
        <v>2700</v>
      </c>
      <c r="B2382" s="5" t="s">
        <v>1203</v>
      </c>
      <c r="C2382" s="5" t="s">
        <v>1489</v>
      </c>
      <c r="D2382" s="5" t="s">
        <v>1490</v>
      </c>
      <c r="E2382" s="6" t="s">
        <v>2694</v>
      </c>
      <c r="F2382" s="6" t="s">
        <v>2695</v>
      </c>
      <c r="G2382" s="6" t="s">
        <v>2704</v>
      </c>
      <c r="H2382" s="5"/>
      <c r="I2382" s="6" t="s">
        <v>2672</v>
      </c>
    </row>
    <row r="2383" customFormat="false" ht="57.45" hidden="false" customHeight="false" outlineLevel="0" collapsed="false">
      <c r="A2383" s="5" t="s">
        <v>2705</v>
      </c>
      <c r="B2383" s="5" t="s">
        <v>1203</v>
      </c>
      <c r="C2383" s="5" t="s">
        <v>1494</v>
      </c>
      <c r="D2383" s="5" t="s">
        <v>1495</v>
      </c>
      <c r="E2383" s="6" t="s">
        <v>2669</v>
      </c>
      <c r="F2383" s="6" t="s">
        <v>2670</v>
      </c>
      <c r="G2383" s="6" t="s">
        <v>2671</v>
      </c>
      <c r="H2383" s="5"/>
      <c r="I2383" s="6" t="s">
        <v>2672</v>
      </c>
    </row>
    <row r="2384" customFormat="false" ht="57.45" hidden="false" customHeight="false" outlineLevel="0" collapsed="false">
      <c r="A2384" s="5" t="s">
        <v>2705</v>
      </c>
      <c r="B2384" s="5" t="s">
        <v>1203</v>
      </c>
      <c r="C2384" s="5" t="s">
        <v>1494</v>
      </c>
      <c r="D2384" s="5" t="s">
        <v>1495</v>
      </c>
      <c r="E2384" s="6" t="s">
        <v>2673</v>
      </c>
      <c r="F2384" s="6" t="s">
        <v>2674</v>
      </c>
      <c r="G2384" s="6" t="s">
        <v>2675</v>
      </c>
      <c r="H2384" s="5"/>
      <c r="I2384" s="6" t="s">
        <v>2672</v>
      </c>
    </row>
    <row r="2385" customFormat="false" ht="57.45" hidden="false" customHeight="false" outlineLevel="0" collapsed="false">
      <c r="A2385" s="5" t="s">
        <v>2705</v>
      </c>
      <c r="B2385" s="5" t="s">
        <v>1203</v>
      </c>
      <c r="C2385" s="5" t="s">
        <v>1494</v>
      </c>
      <c r="D2385" s="5" t="s">
        <v>1495</v>
      </c>
      <c r="E2385" s="6" t="s">
        <v>2618</v>
      </c>
      <c r="F2385" s="6" t="s">
        <v>2676</v>
      </c>
      <c r="G2385" s="6" t="s">
        <v>2706</v>
      </c>
      <c r="H2385" s="5"/>
      <c r="I2385" s="6" t="s">
        <v>2672</v>
      </c>
    </row>
    <row r="2386" customFormat="false" ht="57.45" hidden="false" customHeight="false" outlineLevel="0" collapsed="false">
      <c r="A2386" s="5" t="s">
        <v>2705</v>
      </c>
      <c r="B2386" s="5" t="s">
        <v>1203</v>
      </c>
      <c r="C2386" s="5" t="s">
        <v>1494</v>
      </c>
      <c r="D2386" s="5" t="s">
        <v>1495</v>
      </c>
      <c r="E2386" s="6" t="s">
        <v>2678</v>
      </c>
      <c r="F2386" s="6" t="s">
        <v>2679</v>
      </c>
      <c r="G2386" s="6" t="s">
        <v>2707</v>
      </c>
      <c r="H2386" s="5"/>
      <c r="I2386" s="6" t="s">
        <v>2672</v>
      </c>
    </row>
    <row r="2387" customFormat="false" ht="57.45" hidden="false" customHeight="false" outlineLevel="0" collapsed="false">
      <c r="A2387" s="5" t="s">
        <v>2708</v>
      </c>
      <c r="B2387" s="5" t="s">
        <v>1203</v>
      </c>
      <c r="C2387" s="5" t="s">
        <v>1499</v>
      </c>
      <c r="D2387" s="5" t="s">
        <v>1502</v>
      </c>
      <c r="E2387" s="6" t="s">
        <v>2669</v>
      </c>
      <c r="F2387" s="6" t="s">
        <v>2709</v>
      </c>
      <c r="G2387" s="6" t="s">
        <v>2671</v>
      </c>
      <c r="H2387" s="5"/>
      <c r="I2387" s="6" t="s">
        <v>2672</v>
      </c>
    </row>
    <row r="2388" customFormat="false" ht="57.45" hidden="false" customHeight="false" outlineLevel="0" collapsed="false">
      <c r="A2388" s="5" t="s">
        <v>2708</v>
      </c>
      <c r="B2388" s="5" t="s">
        <v>1203</v>
      </c>
      <c r="C2388" s="5" t="s">
        <v>1499</v>
      </c>
      <c r="D2388" s="5" t="s">
        <v>1502</v>
      </c>
      <c r="E2388" s="6" t="s">
        <v>2673</v>
      </c>
      <c r="F2388" s="6" t="s">
        <v>2674</v>
      </c>
      <c r="G2388" s="6" t="s">
        <v>2675</v>
      </c>
      <c r="H2388" s="5"/>
      <c r="I2388" s="6" t="s">
        <v>2672</v>
      </c>
    </row>
    <row r="2389" customFormat="false" ht="57.45" hidden="false" customHeight="false" outlineLevel="0" collapsed="false">
      <c r="A2389" s="5" t="s">
        <v>2708</v>
      </c>
      <c r="B2389" s="5" t="s">
        <v>1203</v>
      </c>
      <c r="C2389" s="5" t="s">
        <v>1499</v>
      </c>
      <c r="D2389" s="5" t="s">
        <v>1502</v>
      </c>
      <c r="E2389" s="6" t="s">
        <v>2618</v>
      </c>
      <c r="F2389" s="6" t="s">
        <v>2676</v>
      </c>
      <c r="G2389" s="6" t="s">
        <v>2710</v>
      </c>
      <c r="H2389" s="5"/>
      <c r="I2389" s="6" t="s">
        <v>2672</v>
      </c>
    </row>
    <row r="2390" customFormat="false" ht="57.45" hidden="false" customHeight="false" outlineLevel="0" collapsed="false">
      <c r="A2390" s="5" t="s">
        <v>2708</v>
      </c>
      <c r="B2390" s="5" t="s">
        <v>1203</v>
      </c>
      <c r="C2390" s="5" t="s">
        <v>1499</v>
      </c>
      <c r="D2390" s="5" t="s">
        <v>1502</v>
      </c>
      <c r="E2390" s="6" t="s">
        <v>2678</v>
      </c>
      <c r="F2390" s="6" t="s">
        <v>2679</v>
      </c>
      <c r="G2390" s="6" t="s">
        <v>2711</v>
      </c>
      <c r="H2390" s="5"/>
      <c r="I2390" s="6" t="s">
        <v>2672</v>
      </c>
    </row>
    <row r="2391" customFormat="false" ht="57.45" hidden="false" customHeight="false" outlineLevel="0" collapsed="false">
      <c r="A2391" s="5" t="s">
        <v>2712</v>
      </c>
      <c r="B2391" s="5" t="s">
        <v>1203</v>
      </c>
      <c r="C2391" s="5" t="s">
        <v>1506</v>
      </c>
      <c r="D2391" s="5" t="s">
        <v>1507</v>
      </c>
      <c r="E2391" s="6" t="s">
        <v>2669</v>
      </c>
      <c r="F2391" s="6" t="s">
        <v>2709</v>
      </c>
      <c r="G2391" s="6" t="s">
        <v>2671</v>
      </c>
      <c r="H2391" s="5"/>
      <c r="I2391" s="6" t="s">
        <v>2672</v>
      </c>
    </row>
    <row r="2392" customFormat="false" ht="57.45" hidden="false" customHeight="false" outlineLevel="0" collapsed="false">
      <c r="A2392" s="5" t="s">
        <v>2712</v>
      </c>
      <c r="B2392" s="5" t="s">
        <v>1203</v>
      </c>
      <c r="C2392" s="5" t="s">
        <v>1506</v>
      </c>
      <c r="D2392" s="5" t="s">
        <v>1507</v>
      </c>
      <c r="E2392" s="6" t="s">
        <v>2673</v>
      </c>
      <c r="F2392" s="6" t="s">
        <v>2674</v>
      </c>
      <c r="G2392" s="6" t="s">
        <v>2713</v>
      </c>
      <c r="H2392" s="5"/>
      <c r="I2392" s="6" t="s">
        <v>2672</v>
      </c>
    </row>
    <row r="2393" customFormat="false" ht="57.45" hidden="false" customHeight="false" outlineLevel="0" collapsed="false">
      <c r="A2393" s="5" t="s">
        <v>2712</v>
      </c>
      <c r="B2393" s="5" t="s">
        <v>1203</v>
      </c>
      <c r="C2393" s="5" t="s">
        <v>1506</v>
      </c>
      <c r="D2393" s="5" t="s">
        <v>1507</v>
      </c>
      <c r="E2393" s="6" t="s">
        <v>2618</v>
      </c>
      <c r="F2393" s="6" t="s">
        <v>2676</v>
      </c>
      <c r="G2393" s="6" t="s">
        <v>2624</v>
      </c>
      <c r="H2393" s="5"/>
      <c r="I2393" s="6" t="s">
        <v>2672</v>
      </c>
    </row>
    <row r="2394" customFormat="false" ht="57.45" hidden="false" customHeight="false" outlineLevel="0" collapsed="false">
      <c r="A2394" s="5" t="s">
        <v>2712</v>
      </c>
      <c r="B2394" s="5" t="s">
        <v>1203</v>
      </c>
      <c r="C2394" s="5" t="s">
        <v>1506</v>
      </c>
      <c r="D2394" s="5" t="s">
        <v>1507</v>
      </c>
      <c r="E2394" s="6" t="s">
        <v>2683</v>
      </c>
      <c r="F2394" s="6" t="s">
        <v>2679</v>
      </c>
      <c r="G2394" s="6" t="s">
        <v>2714</v>
      </c>
      <c r="H2394" s="5"/>
      <c r="I2394" s="6" t="s">
        <v>2672</v>
      </c>
    </row>
    <row r="2395" customFormat="false" ht="57.45" hidden="false" customHeight="false" outlineLevel="0" collapsed="false">
      <c r="A2395" s="5" t="s">
        <v>2715</v>
      </c>
      <c r="B2395" s="5" t="s">
        <v>1203</v>
      </c>
      <c r="C2395" s="5" t="s">
        <v>1511</v>
      </c>
      <c r="D2395" s="5" t="s">
        <v>1513</v>
      </c>
      <c r="E2395" s="6" t="s">
        <v>2686</v>
      </c>
      <c r="F2395" s="6" t="s">
        <v>2709</v>
      </c>
      <c r="G2395" s="6" t="s">
        <v>1901</v>
      </c>
      <c r="H2395" s="5"/>
      <c r="I2395" s="6" t="s">
        <v>2672</v>
      </c>
    </row>
    <row r="2396" customFormat="false" ht="57.45" hidden="false" customHeight="false" outlineLevel="0" collapsed="false">
      <c r="A2396" s="5" t="s">
        <v>2715</v>
      </c>
      <c r="B2396" s="5" t="s">
        <v>1203</v>
      </c>
      <c r="C2396" s="5" t="s">
        <v>1511</v>
      </c>
      <c r="D2396" s="5" t="s">
        <v>1513</v>
      </c>
      <c r="E2396" s="6" t="s">
        <v>2687</v>
      </c>
      <c r="F2396" s="6" t="s">
        <v>2709</v>
      </c>
      <c r="G2396" s="6" t="s">
        <v>1901</v>
      </c>
      <c r="H2396" s="5"/>
      <c r="I2396" s="6" t="s">
        <v>2672</v>
      </c>
    </row>
    <row r="2397" customFormat="false" ht="57.45" hidden="false" customHeight="false" outlineLevel="0" collapsed="false">
      <c r="A2397" s="5" t="s">
        <v>2715</v>
      </c>
      <c r="B2397" s="5" t="s">
        <v>1203</v>
      </c>
      <c r="C2397" s="5" t="s">
        <v>1511</v>
      </c>
      <c r="D2397" s="5" t="s">
        <v>1513</v>
      </c>
      <c r="E2397" s="6" t="s">
        <v>2673</v>
      </c>
      <c r="F2397" s="6" t="s">
        <v>2688</v>
      </c>
      <c r="G2397" s="6" t="s">
        <v>2689</v>
      </c>
      <c r="H2397" s="5"/>
      <c r="I2397" s="6" t="s">
        <v>2672</v>
      </c>
    </row>
    <row r="2398" customFormat="false" ht="57.45" hidden="false" customHeight="false" outlineLevel="0" collapsed="false">
      <c r="A2398" s="5" t="s">
        <v>2715</v>
      </c>
      <c r="B2398" s="5" t="s">
        <v>1203</v>
      </c>
      <c r="C2398" s="5" t="s">
        <v>1511</v>
      </c>
      <c r="D2398" s="5" t="s">
        <v>1513</v>
      </c>
      <c r="E2398" s="6" t="s">
        <v>2618</v>
      </c>
      <c r="F2398" s="6" t="s">
        <v>2676</v>
      </c>
      <c r="G2398" s="6" t="s">
        <v>2716</v>
      </c>
      <c r="H2398" s="5"/>
      <c r="I2398" s="6" t="s">
        <v>2672</v>
      </c>
    </row>
    <row r="2399" customFormat="false" ht="57.45" hidden="false" customHeight="false" outlineLevel="0" collapsed="false">
      <c r="A2399" s="5" t="s">
        <v>2715</v>
      </c>
      <c r="B2399" s="5" t="s">
        <v>1203</v>
      </c>
      <c r="C2399" s="5" t="s">
        <v>1511</v>
      </c>
      <c r="D2399" s="5" t="s">
        <v>1513</v>
      </c>
      <c r="E2399" s="6" t="s">
        <v>2690</v>
      </c>
      <c r="F2399" s="6" t="s">
        <v>2691</v>
      </c>
      <c r="G2399" s="6" t="s">
        <v>2496</v>
      </c>
      <c r="H2399" s="5"/>
      <c r="I2399" s="6" t="s">
        <v>2672</v>
      </c>
    </row>
    <row r="2400" customFormat="false" ht="57.45" hidden="false" customHeight="false" outlineLevel="0" collapsed="false">
      <c r="A2400" s="5" t="s">
        <v>2715</v>
      </c>
      <c r="B2400" s="5" t="s">
        <v>1203</v>
      </c>
      <c r="C2400" s="5" t="s">
        <v>1511</v>
      </c>
      <c r="D2400" s="5" t="s">
        <v>1513</v>
      </c>
      <c r="E2400" s="6" t="s">
        <v>2692</v>
      </c>
      <c r="F2400" s="6" t="s">
        <v>2691</v>
      </c>
      <c r="G2400" s="6" t="s">
        <v>2703</v>
      </c>
      <c r="H2400" s="5"/>
      <c r="I2400" s="6" t="s">
        <v>2672</v>
      </c>
    </row>
    <row r="2401" customFormat="false" ht="57.45" hidden="false" customHeight="false" outlineLevel="0" collapsed="false">
      <c r="A2401" s="5" t="s">
        <v>2715</v>
      </c>
      <c r="B2401" s="5" t="s">
        <v>1203</v>
      </c>
      <c r="C2401" s="5" t="s">
        <v>1511</v>
      </c>
      <c r="D2401" s="5" t="s">
        <v>1513</v>
      </c>
      <c r="E2401" s="6" t="s">
        <v>2694</v>
      </c>
      <c r="F2401" s="6" t="s">
        <v>2695</v>
      </c>
      <c r="G2401" s="6" t="s">
        <v>2717</v>
      </c>
      <c r="H2401" s="5"/>
      <c r="I2401" s="6" t="s">
        <v>2672</v>
      </c>
    </row>
    <row r="2402" customFormat="false" ht="57.45" hidden="false" customHeight="false" outlineLevel="0" collapsed="false">
      <c r="A2402" s="5" t="s">
        <v>2718</v>
      </c>
      <c r="B2402" s="5" t="s">
        <v>1203</v>
      </c>
      <c r="C2402" s="5" t="s">
        <v>1517</v>
      </c>
      <c r="D2402" s="5" t="s">
        <v>1518</v>
      </c>
      <c r="E2402" s="6" t="s">
        <v>2669</v>
      </c>
      <c r="F2402" s="6" t="s">
        <v>2709</v>
      </c>
      <c r="G2402" s="6" t="s">
        <v>2671</v>
      </c>
      <c r="H2402" s="5"/>
      <c r="I2402" s="6" t="s">
        <v>2672</v>
      </c>
    </row>
    <row r="2403" customFormat="false" ht="57.45" hidden="false" customHeight="false" outlineLevel="0" collapsed="false">
      <c r="A2403" s="5" t="s">
        <v>2718</v>
      </c>
      <c r="B2403" s="5" t="s">
        <v>1203</v>
      </c>
      <c r="C2403" s="5" t="s">
        <v>1517</v>
      </c>
      <c r="D2403" s="5" t="s">
        <v>1518</v>
      </c>
      <c r="E2403" s="6" t="s">
        <v>2673</v>
      </c>
      <c r="F2403" s="6" t="s">
        <v>2674</v>
      </c>
      <c r="G2403" s="6" t="s">
        <v>2675</v>
      </c>
      <c r="H2403" s="5"/>
      <c r="I2403" s="6" t="s">
        <v>2672</v>
      </c>
    </row>
    <row r="2404" customFormat="false" ht="57.45" hidden="false" customHeight="false" outlineLevel="0" collapsed="false">
      <c r="A2404" s="5" t="s">
        <v>2718</v>
      </c>
      <c r="B2404" s="5" t="s">
        <v>1203</v>
      </c>
      <c r="C2404" s="5" t="s">
        <v>1517</v>
      </c>
      <c r="D2404" s="5" t="s">
        <v>1518</v>
      </c>
      <c r="E2404" s="6" t="s">
        <v>2618</v>
      </c>
      <c r="F2404" s="6" t="s">
        <v>2676</v>
      </c>
      <c r="G2404" s="6" t="s">
        <v>2719</v>
      </c>
      <c r="H2404" s="5"/>
      <c r="I2404" s="6" t="s">
        <v>2672</v>
      </c>
    </row>
    <row r="2405" customFormat="false" ht="57.45" hidden="false" customHeight="false" outlineLevel="0" collapsed="false">
      <c r="A2405" s="5" t="s">
        <v>2718</v>
      </c>
      <c r="B2405" s="5" t="s">
        <v>1203</v>
      </c>
      <c r="C2405" s="5" t="s">
        <v>1517</v>
      </c>
      <c r="D2405" s="5" t="s">
        <v>1518</v>
      </c>
      <c r="E2405" s="6" t="s">
        <v>2678</v>
      </c>
      <c r="F2405" s="6" t="s">
        <v>2679</v>
      </c>
      <c r="G2405" s="6" t="s">
        <v>2720</v>
      </c>
      <c r="H2405" s="5"/>
      <c r="I2405" s="6" t="s">
        <v>2672</v>
      </c>
    </row>
    <row r="2406" customFormat="false" ht="57.45" hidden="false" customHeight="false" outlineLevel="0" collapsed="false">
      <c r="A2406" s="5" t="s">
        <v>2721</v>
      </c>
      <c r="B2406" s="5" t="s">
        <v>1203</v>
      </c>
      <c r="C2406" s="5" t="s">
        <v>1522</v>
      </c>
      <c r="D2406" s="5" t="s">
        <v>1525</v>
      </c>
      <c r="E2406" s="6" t="s">
        <v>2686</v>
      </c>
      <c r="F2406" s="6" t="s">
        <v>2670</v>
      </c>
      <c r="G2406" s="6" t="s">
        <v>1901</v>
      </c>
      <c r="H2406" s="5"/>
      <c r="I2406" s="6" t="s">
        <v>2672</v>
      </c>
    </row>
    <row r="2407" customFormat="false" ht="57.45" hidden="false" customHeight="false" outlineLevel="0" collapsed="false">
      <c r="A2407" s="5" t="s">
        <v>2721</v>
      </c>
      <c r="B2407" s="5" t="s">
        <v>1203</v>
      </c>
      <c r="C2407" s="5" t="s">
        <v>1522</v>
      </c>
      <c r="D2407" s="5" t="s">
        <v>1525</v>
      </c>
      <c r="E2407" s="6" t="s">
        <v>2687</v>
      </c>
      <c r="F2407" s="6" t="s">
        <v>2670</v>
      </c>
      <c r="G2407" s="6" t="s">
        <v>1901</v>
      </c>
      <c r="H2407" s="5"/>
      <c r="I2407" s="6" t="s">
        <v>2672</v>
      </c>
    </row>
    <row r="2408" customFormat="false" ht="57.45" hidden="false" customHeight="false" outlineLevel="0" collapsed="false">
      <c r="A2408" s="5" t="s">
        <v>2721</v>
      </c>
      <c r="B2408" s="5" t="s">
        <v>1203</v>
      </c>
      <c r="C2408" s="5" t="s">
        <v>1522</v>
      </c>
      <c r="D2408" s="5" t="s">
        <v>1525</v>
      </c>
      <c r="E2408" s="6" t="s">
        <v>2673</v>
      </c>
      <c r="F2408" s="6" t="s">
        <v>2688</v>
      </c>
      <c r="G2408" s="6" t="s">
        <v>2722</v>
      </c>
      <c r="H2408" s="5"/>
      <c r="I2408" s="6" t="s">
        <v>2672</v>
      </c>
    </row>
    <row r="2409" customFormat="false" ht="57.45" hidden="false" customHeight="false" outlineLevel="0" collapsed="false">
      <c r="A2409" s="5" t="s">
        <v>2721</v>
      </c>
      <c r="B2409" s="5" t="s">
        <v>1203</v>
      </c>
      <c r="C2409" s="5" t="s">
        <v>1522</v>
      </c>
      <c r="D2409" s="5" t="s">
        <v>1525</v>
      </c>
      <c r="E2409" s="6" t="s">
        <v>2618</v>
      </c>
      <c r="F2409" s="6" t="s">
        <v>2676</v>
      </c>
      <c r="G2409" s="6" t="s">
        <v>2723</v>
      </c>
      <c r="H2409" s="5"/>
      <c r="I2409" s="6" t="s">
        <v>2672</v>
      </c>
    </row>
    <row r="2410" customFormat="false" ht="57.45" hidden="false" customHeight="false" outlineLevel="0" collapsed="false">
      <c r="A2410" s="5" t="s">
        <v>2721</v>
      </c>
      <c r="B2410" s="5" t="s">
        <v>1203</v>
      </c>
      <c r="C2410" s="5" t="s">
        <v>1522</v>
      </c>
      <c r="D2410" s="5" t="s">
        <v>1525</v>
      </c>
      <c r="E2410" s="6" t="s">
        <v>2690</v>
      </c>
      <c r="F2410" s="6" t="s">
        <v>2691</v>
      </c>
      <c r="G2410" s="6" t="s">
        <v>2553</v>
      </c>
      <c r="H2410" s="5"/>
      <c r="I2410" s="6" t="s">
        <v>2672</v>
      </c>
    </row>
    <row r="2411" customFormat="false" ht="57.45" hidden="false" customHeight="false" outlineLevel="0" collapsed="false">
      <c r="A2411" s="5" t="s">
        <v>2721</v>
      </c>
      <c r="B2411" s="5" t="s">
        <v>1203</v>
      </c>
      <c r="C2411" s="5" t="s">
        <v>1522</v>
      </c>
      <c r="D2411" s="5" t="s">
        <v>1525</v>
      </c>
      <c r="E2411" s="6" t="s">
        <v>2692</v>
      </c>
      <c r="F2411" s="6" t="s">
        <v>2691</v>
      </c>
      <c r="G2411" s="6" t="s">
        <v>2187</v>
      </c>
      <c r="H2411" s="5"/>
      <c r="I2411" s="6" t="s">
        <v>2672</v>
      </c>
    </row>
    <row r="2412" customFormat="false" ht="57.45" hidden="false" customHeight="false" outlineLevel="0" collapsed="false">
      <c r="A2412" s="5" t="s">
        <v>2721</v>
      </c>
      <c r="B2412" s="5" t="s">
        <v>1203</v>
      </c>
      <c r="C2412" s="5" t="s">
        <v>1522</v>
      </c>
      <c r="D2412" s="5" t="s">
        <v>1525</v>
      </c>
      <c r="E2412" s="6" t="s">
        <v>2694</v>
      </c>
      <c r="F2412" s="6" t="s">
        <v>2695</v>
      </c>
      <c r="G2412" s="6" t="s">
        <v>2724</v>
      </c>
      <c r="H2412" s="5"/>
      <c r="I2412" s="6" t="s">
        <v>2672</v>
      </c>
    </row>
    <row r="2413" customFormat="false" ht="57.45" hidden="false" customHeight="false" outlineLevel="0" collapsed="false">
      <c r="A2413" s="5" t="s">
        <v>2725</v>
      </c>
      <c r="B2413" s="5" t="s">
        <v>1203</v>
      </c>
      <c r="C2413" s="5" t="s">
        <v>1529</v>
      </c>
      <c r="D2413" s="5" t="s">
        <v>1530</v>
      </c>
      <c r="E2413" s="6" t="s">
        <v>2669</v>
      </c>
      <c r="F2413" s="6" t="s">
        <v>2670</v>
      </c>
      <c r="G2413" s="6" t="s">
        <v>2671</v>
      </c>
      <c r="H2413" s="5"/>
      <c r="I2413" s="6" t="s">
        <v>2672</v>
      </c>
    </row>
    <row r="2414" customFormat="false" ht="57.45" hidden="false" customHeight="false" outlineLevel="0" collapsed="false">
      <c r="A2414" s="5" t="s">
        <v>2725</v>
      </c>
      <c r="B2414" s="5" t="s">
        <v>1203</v>
      </c>
      <c r="C2414" s="5" t="s">
        <v>1529</v>
      </c>
      <c r="D2414" s="5" t="s">
        <v>1530</v>
      </c>
      <c r="E2414" s="6" t="s">
        <v>2673</v>
      </c>
      <c r="F2414" s="6" t="s">
        <v>2674</v>
      </c>
      <c r="G2414" s="6" t="s">
        <v>2675</v>
      </c>
      <c r="H2414" s="5"/>
      <c r="I2414" s="6" t="s">
        <v>2672</v>
      </c>
    </row>
    <row r="2415" customFormat="false" ht="57.45" hidden="false" customHeight="false" outlineLevel="0" collapsed="false">
      <c r="A2415" s="5" t="s">
        <v>2725</v>
      </c>
      <c r="B2415" s="5" t="s">
        <v>1203</v>
      </c>
      <c r="C2415" s="5" t="s">
        <v>1529</v>
      </c>
      <c r="D2415" s="5" t="s">
        <v>1530</v>
      </c>
      <c r="E2415" s="6" t="s">
        <v>2618</v>
      </c>
      <c r="F2415" s="6" t="s">
        <v>2676</v>
      </c>
      <c r="G2415" s="6" t="s">
        <v>2726</v>
      </c>
      <c r="H2415" s="5"/>
      <c r="I2415" s="6" t="s">
        <v>2672</v>
      </c>
    </row>
    <row r="2416" customFormat="false" ht="57.45" hidden="false" customHeight="false" outlineLevel="0" collapsed="false">
      <c r="A2416" s="5" t="s">
        <v>2725</v>
      </c>
      <c r="B2416" s="5" t="s">
        <v>1203</v>
      </c>
      <c r="C2416" s="5" t="s">
        <v>1529</v>
      </c>
      <c r="D2416" s="5" t="s">
        <v>1530</v>
      </c>
      <c r="E2416" s="6" t="s">
        <v>2678</v>
      </c>
      <c r="F2416" s="6" t="s">
        <v>2679</v>
      </c>
      <c r="G2416" s="6" t="s">
        <v>2727</v>
      </c>
      <c r="H2416" s="5"/>
      <c r="I2416" s="6" t="s">
        <v>2672</v>
      </c>
    </row>
    <row r="2417" customFormat="false" ht="270.1" hidden="false" customHeight="false" outlineLevel="0" collapsed="false">
      <c r="A2417" s="5" t="s">
        <v>2728</v>
      </c>
      <c r="B2417" s="5" t="s">
        <v>1535</v>
      </c>
      <c r="C2417" s="5"/>
      <c r="D2417" s="5" t="s">
        <v>2729</v>
      </c>
      <c r="E2417" s="6" t="s">
        <v>2730</v>
      </c>
      <c r="F2417" s="6"/>
      <c r="G2417" s="6" t="s">
        <v>2731</v>
      </c>
      <c r="H2417" s="5"/>
      <c r="I2417" s="6"/>
    </row>
  </sheetData>
  <autoFilter ref="A1:I24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26"/>
    <col collapsed="false" customWidth="true" hidden="false" outlineLevel="0" max="4" min="4" style="0" width="12"/>
    <col collapsed="false" customWidth="true" hidden="false" outlineLevel="0" max="6" min="5" style="0" width="22"/>
    <col collapsed="false" customWidth="true" hidden="false" outlineLevel="0" max="7" min="7" style="0" width="50"/>
    <col collapsed="false" customWidth="true" hidden="false" outlineLevel="0" max="8" min="8" style="0" width="110"/>
  </cols>
  <sheetData>
    <row r="1" customFormat="false" ht="33.75" hidden="false" customHeight="true" outlineLevel="0" collapsed="false">
      <c r="A1" s="4" t="s">
        <v>2732</v>
      </c>
      <c r="B1" s="4" t="s">
        <v>2733</v>
      </c>
      <c r="C1" s="4" t="s">
        <v>66</v>
      </c>
      <c r="D1" s="4" t="s">
        <v>68</v>
      </c>
      <c r="E1" s="4" t="s">
        <v>1539</v>
      </c>
      <c r="F1" s="4" t="s">
        <v>1540</v>
      </c>
      <c r="G1" s="4" t="s">
        <v>2734</v>
      </c>
      <c r="H1" s="4" t="s">
        <v>2735</v>
      </c>
    </row>
    <row r="2" customFormat="false" ht="15" hidden="false" customHeight="false" outlineLevel="0" collapsed="false">
      <c r="A2" s="9" t="s">
        <v>2736</v>
      </c>
      <c r="B2" s="6" t="s">
        <v>2737</v>
      </c>
      <c r="C2" s="5" t="s">
        <v>495</v>
      </c>
      <c r="D2" s="5" t="s">
        <v>497</v>
      </c>
      <c r="E2" s="5" t="s">
        <v>498</v>
      </c>
      <c r="F2" s="5" t="s">
        <v>501</v>
      </c>
      <c r="G2" s="5" t="s">
        <v>2738</v>
      </c>
      <c r="H2" s="6" t="s">
        <v>2739</v>
      </c>
    </row>
    <row r="3" customFormat="false" ht="46.25" hidden="false" customHeight="false" outlineLevel="0" collapsed="false">
      <c r="A3" s="9" t="s">
        <v>2736</v>
      </c>
      <c r="B3" s="6" t="s">
        <v>2740</v>
      </c>
      <c r="C3" s="5" t="s">
        <v>611</v>
      </c>
      <c r="D3" s="5" t="s">
        <v>497</v>
      </c>
      <c r="E3" s="5" t="s">
        <v>612</v>
      </c>
      <c r="F3" s="5" t="s">
        <v>615</v>
      </c>
      <c r="G3" s="5" t="s">
        <v>2741</v>
      </c>
      <c r="H3" s="6" t="s">
        <v>617</v>
      </c>
    </row>
    <row r="4" customFormat="false" ht="68.65" hidden="false" customHeight="false" outlineLevel="0" collapsed="false">
      <c r="A4" s="9" t="s">
        <v>2736</v>
      </c>
      <c r="B4" s="6" t="s">
        <v>2740</v>
      </c>
      <c r="C4" s="5" t="s">
        <v>726</v>
      </c>
      <c r="D4" s="5" t="s">
        <v>497</v>
      </c>
      <c r="E4" s="5" t="s">
        <v>727</v>
      </c>
      <c r="F4" s="5" t="s">
        <v>728</v>
      </c>
      <c r="G4" s="5" t="s">
        <v>2742</v>
      </c>
      <c r="H4" s="6" t="s">
        <v>730</v>
      </c>
    </row>
    <row r="5" customFormat="false" ht="57.45" hidden="false" customHeight="false" outlineLevel="0" collapsed="false">
      <c r="A5" s="9" t="s">
        <v>2736</v>
      </c>
      <c r="B5" s="6" t="s">
        <v>2743</v>
      </c>
      <c r="C5" s="5" t="s">
        <v>592</v>
      </c>
      <c r="D5" s="5" t="s">
        <v>497</v>
      </c>
      <c r="E5" s="5" t="s">
        <v>593</v>
      </c>
      <c r="F5" s="5" t="s">
        <v>594</v>
      </c>
      <c r="G5" s="5" t="s">
        <v>2744</v>
      </c>
      <c r="H5" s="6" t="s">
        <v>597</v>
      </c>
    </row>
    <row r="6" customFormat="false" ht="35.05" hidden="false" customHeight="false" outlineLevel="0" collapsed="false">
      <c r="A6" s="9" t="s">
        <v>2736</v>
      </c>
      <c r="B6" s="6" t="s">
        <v>2745</v>
      </c>
      <c r="C6" s="5" t="s">
        <v>572</v>
      </c>
      <c r="D6" s="5" t="s">
        <v>497</v>
      </c>
      <c r="E6" s="5" t="s">
        <v>573</v>
      </c>
      <c r="F6" s="5" t="s">
        <v>574</v>
      </c>
      <c r="G6" s="5" t="s">
        <v>2746</v>
      </c>
      <c r="H6" s="6" t="s">
        <v>577</v>
      </c>
    </row>
    <row r="7" customFormat="false" ht="46.25" hidden="false" customHeight="false" outlineLevel="0" collapsed="false">
      <c r="A7" s="9" t="s">
        <v>2736</v>
      </c>
      <c r="B7" s="6" t="s">
        <v>2747</v>
      </c>
      <c r="C7" s="5" t="s">
        <v>618</v>
      </c>
      <c r="D7" s="5" t="s">
        <v>497</v>
      </c>
      <c r="E7" s="5" t="s">
        <v>619</v>
      </c>
      <c r="F7" s="5" t="s">
        <v>622</v>
      </c>
      <c r="G7" s="5" t="s">
        <v>2748</v>
      </c>
      <c r="H7" s="6" t="s">
        <v>624</v>
      </c>
    </row>
    <row r="8" customFormat="false" ht="35.05" hidden="false" customHeight="false" outlineLevel="0" collapsed="false">
      <c r="A8" s="9" t="s">
        <v>2736</v>
      </c>
      <c r="B8" s="6" t="s">
        <v>2749</v>
      </c>
      <c r="C8" s="5" t="s">
        <v>625</v>
      </c>
      <c r="D8" s="5" t="s">
        <v>497</v>
      </c>
      <c r="E8" s="5" t="s">
        <v>626</v>
      </c>
      <c r="F8" s="5" t="s">
        <v>628</v>
      </c>
      <c r="G8" s="5" t="s">
        <v>2750</v>
      </c>
      <c r="H8" s="6" t="s">
        <v>630</v>
      </c>
    </row>
    <row r="9" customFormat="false" ht="57.45" hidden="false" customHeight="false" outlineLevel="0" collapsed="false">
      <c r="A9" s="9" t="s">
        <v>2736</v>
      </c>
      <c r="B9" s="6" t="s">
        <v>2749</v>
      </c>
      <c r="C9" s="5" t="s">
        <v>697</v>
      </c>
      <c r="D9" s="5" t="s">
        <v>497</v>
      </c>
      <c r="E9" s="5" t="s">
        <v>698</v>
      </c>
      <c r="F9" s="5" t="s">
        <v>700</v>
      </c>
      <c r="G9" s="5" t="s">
        <v>2751</v>
      </c>
      <c r="H9" s="6" t="s">
        <v>702</v>
      </c>
    </row>
    <row r="10" customFormat="false" ht="35.05" hidden="false" customHeight="false" outlineLevel="0" collapsed="false">
      <c r="A10" s="9" t="s">
        <v>2736</v>
      </c>
      <c r="B10" s="6" t="s">
        <v>2752</v>
      </c>
      <c r="C10" s="5" t="s">
        <v>90</v>
      </c>
      <c r="D10" s="5" t="s">
        <v>92</v>
      </c>
      <c r="E10" s="5" t="s">
        <v>93</v>
      </c>
      <c r="F10" s="5" t="s">
        <v>99</v>
      </c>
      <c r="G10" s="5" t="s">
        <v>2753</v>
      </c>
      <c r="H10" s="6" t="s">
        <v>107</v>
      </c>
    </row>
    <row r="11" customFormat="false" ht="23.85" hidden="false" customHeight="false" outlineLevel="0" collapsed="false">
      <c r="A11" s="9" t="s">
        <v>2736</v>
      </c>
      <c r="B11" s="6" t="s">
        <v>2752</v>
      </c>
      <c r="C11" s="5" t="s">
        <v>136</v>
      </c>
      <c r="D11" s="5" t="s">
        <v>92</v>
      </c>
      <c r="E11" s="5" t="s">
        <v>137</v>
      </c>
      <c r="F11" s="6" t="s">
        <v>138</v>
      </c>
      <c r="G11" s="5" t="s">
        <v>2754</v>
      </c>
      <c r="H11" s="6" t="s">
        <v>140</v>
      </c>
    </row>
    <row r="12" customFormat="false" ht="68.65" hidden="false" customHeight="false" outlineLevel="0" collapsed="false">
      <c r="A12" s="9" t="s">
        <v>2736</v>
      </c>
      <c r="B12" s="6" t="s">
        <v>2752</v>
      </c>
      <c r="C12" s="5" t="s">
        <v>1082</v>
      </c>
      <c r="D12" s="5" t="s">
        <v>1005</v>
      </c>
      <c r="E12" s="5" t="s">
        <v>1083</v>
      </c>
      <c r="F12" s="5" t="s">
        <v>1083</v>
      </c>
      <c r="G12" s="5" t="s">
        <v>1085</v>
      </c>
      <c r="H12" s="6" t="s">
        <v>1086</v>
      </c>
    </row>
    <row r="13" customFormat="false" ht="46.25" hidden="false" customHeight="false" outlineLevel="0" collapsed="false">
      <c r="A13" s="9" t="s">
        <v>2736</v>
      </c>
      <c r="B13" s="6" t="s">
        <v>2752</v>
      </c>
      <c r="C13" s="5" t="s">
        <v>1094</v>
      </c>
      <c r="D13" s="5" t="s">
        <v>1005</v>
      </c>
      <c r="E13" s="5" t="s">
        <v>1095</v>
      </c>
      <c r="F13" s="5" t="s">
        <v>1095</v>
      </c>
      <c r="G13" s="5" t="s">
        <v>1098</v>
      </c>
      <c r="H13" s="6" t="s">
        <v>1099</v>
      </c>
    </row>
    <row r="14" customFormat="false" ht="23.85" hidden="false" customHeight="false" outlineLevel="0" collapsed="false">
      <c r="A14" s="9" t="s">
        <v>2736</v>
      </c>
      <c r="B14" s="6" t="s">
        <v>2752</v>
      </c>
      <c r="C14" s="5" t="s">
        <v>1219</v>
      </c>
      <c r="D14" s="5" t="s">
        <v>1203</v>
      </c>
      <c r="E14" s="5" t="s">
        <v>1220</v>
      </c>
      <c r="F14" s="5" t="s">
        <v>1221</v>
      </c>
      <c r="G14" s="5" t="s">
        <v>2742</v>
      </c>
      <c r="H14" s="6" t="s">
        <v>1222</v>
      </c>
    </row>
    <row r="15" customFormat="false" ht="35.05" hidden="false" customHeight="false" outlineLevel="0" collapsed="false">
      <c r="A15" s="9" t="s">
        <v>2736</v>
      </c>
      <c r="B15" s="6" t="s">
        <v>2752</v>
      </c>
      <c r="C15" s="5" t="s">
        <v>1280</v>
      </c>
      <c r="D15" s="5" t="s">
        <v>1203</v>
      </c>
      <c r="E15" s="5" t="s">
        <v>1281</v>
      </c>
      <c r="F15" s="5" t="s">
        <v>985</v>
      </c>
      <c r="G15" s="5" t="s">
        <v>2755</v>
      </c>
      <c r="H15" s="6" t="s">
        <v>1283</v>
      </c>
    </row>
    <row r="16" customFormat="false" ht="23.85" hidden="false" customHeight="false" outlineLevel="0" collapsed="false">
      <c r="A16" s="9" t="s">
        <v>2736</v>
      </c>
      <c r="B16" s="6" t="s">
        <v>2752</v>
      </c>
      <c r="C16" s="5" t="s">
        <v>1284</v>
      </c>
      <c r="D16" s="5" t="s">
        <v>1203</v>
      </c>
      <c r="E16" s="5" t="s">
        <v>1285</v>
      </c>
      <c r="F16" s="5" t="s">
        <v>1287</v>
      </c>
      <c r="G16" s="5" t="s">
        <v>2748</v>
      </c>
      <c r="H16" s="6" t="s">
        <v>1288</v>
      </c>
    </row>
    <row r="17" customFormat="false" ht="35.05" hidden="false" customHeight="false" outlineLevel="0" collapsed="false">
      <c r="A17" s="9" t="s">
        <v>2736</v>
      </c>
      <c r="B17" s="6" t="s">
        <v>2752</v>
      </c>
      <c r="C17" s="5" t="s">
        <v>1378</v>
      </c>
      <c r="D17" s="5" t="s">
        <v>1203</v>
      </c>
      <c r="E17" s="5" t="s">
        <v>1379</v>
      </c>
      <c r="F17" s="5" t="s">
        <v>1026</v>
      </c>
      <c r="G17" s="5" t="s">
        <v>2756</v>
      </c>
      <c r="H17" s="6" t="s">
        <v>1381</v>
      </c>
    </row>
    <row r="18" customFormat="false" ht="57.45" hidden="false" customHeight="false" outlineLevel="0" collapsed="false">
      <c r="A18" s="9" t="s">
        <v>2736</v>
      </c>
      <c r="B18" s="6" t="s">
        <v>2752</v>
      </c>
      <c r="C18" s="5" t="s">
        <v>1406</v>
      </c>
      <c r="D18" s="5" t="s">
        <v>1203</v>
      </c>
      <c r="E18" s="5" t="s">
        <v>1407</v>
      </c>
      <c r="F18" s="5" t="s">
        <v>1403</v>
      </c>
      <c r="G18" s="5" t="s">
        <v>2757</v>
      </c>
      <c r="H18" s="6" t="s">
        <v>1410</v>
      </c>
    </row>
    <row r="19" customFormat="false" ht="35.05" hidden="false" customHeight="false" outlineLevel="0" collapsed="false">
      <c r="A19" s="9" t="s">
        <v>2736</v>
      </c>
      <c r="B19" s="6" t="s">
        <v>2758</v>
      </c>
      <c r="C19" s="5" t="s">
        <v>659</v>
      </c>
      <c r="D19" s="5" t="s">
        <v>497</v>
      </c>
      <c r="E19" s="5" t="s">
        <v>660</v>
      </c>
      <c r="F19" s="5" t="s">
        <v>661</v>
      </c>
      <c r="G19" s="5" t="s">
        <v>2759</v>
      </c>
      <c r="H19" s="6" t="s">
        <v>664</v>
      </c>
    </row>
    <row r="20" customFormat="false" ht="68.65" hidden="false" customHeight="false" outlineLevel="0" collapsed="false">
      <c r="A20" s="9" t="s">
        <v>2736</v>
      </c>
      <c r="B20" s="6" t="s">
        <v>2758</v>
      </c>
      <c r="C20" s="5" t="s">
        <v>719</v>
      </c>
      <c r="D20" s="5" t="s">
        <v>497</v>
      </c>
      <c r="E20" s="5" t="s">
        <v>720</v>
      </c>
      <c r="F20" s="5" t="s">
        <v>723</v>
      </c>
      <c r="G20" s="5" t="s">
        <v>2760</v>
      </c>
      <c r="H20" s="6" t="s">
        <v>725</v>
      </c>
    </row>
    <row r="21" customFormat="false" ht="46.25" hidden="false" customHeight="false" outlineLevel="0" collapsed="false">
      <c r="A21" s="9" t="s">
        <v>2736</v>
      </c>
      <c r="B21" s="6" t="s">
        <v>2758</v>
      </c>
      <c r="C21" s="5" t="s">
        <v>1174</v>
      </c>
      <c r="D21" s="5" t="s">
        <v>1005</v>
      </c>
      <c r="E21" s="5" t="s">
        <v>1175</v>
      </c>
      <c r="F21" s="5" t="s">
        <v>1175</v>
      </c>
      <c r="G21" s="5" t="s">
        <v>1178</v>
      </c>
      <c r="H21" s="6" t="s">
        <v>1179</v>
      </c>
    </row>
    <row r="22" customFormat="false" ht="57.45" hidden="false" customHeight="false" outlineLevel="0" collapsed="false">
      <c r="A22" s="9" t="s">
        <v>2736</v>
      </c>
      <c r="B22" s="6" t="s">
        <v>2758</v>
      </c>
      <c r="C22" s="5" t="s">
        <v>1180</v>
      </c>
      <c r="D22" s="5" t="s">
        <v>1005</v>
      </c>
      <c r="E22" s="5" t="s">
        <v>1181</v>
      </c>
      <c r="F22" s="5" t="s">
        <v>1181</v>
      </c>
      <c r="G22" s="5" t="s">
        <v>1183</v>
      </c>
      <c r="H22" s="6" t="s">
        <v>1184</v>
      </c>
    </row>
    <row r="23" customFormat="false" ht="46.25" hidden="false" customHeight="false" outlineLevel="0" collapsed="false">
      <c r="A23" s="9" t="s">
        <v>2736</v>
      </c>
      <c r="B23" s="6" t="s">
        <v>2758</v>
      </c>
      <c r="C23" s="5" t="s">
        <v>1190</v>
      </c>
      <c r="D23" s="5" t="s">
        <v>1005</v>
      </c>
      <c r="E23" s="5" t="s">
        <v>1191</v>
      </c>
      <c r="F23" s="5" t="s">
        <v>1191</v>
      </c>
      <c r="G23" s="5" t="s">
        <v>1194</v>
      </c>
      <c r="H23" s="6" t="s">
        <v>1195</v>
      </c>
    </row>
    <row r="24" customFormat="false" ht="79.85" hidden="false" customHeight="false" outlineLevel="0" collapsed="false">
      <c r="A24" s="9" t="s">
        <v>2736</v>
      </c>
      <c r="B24" s="6" t="s">
        <v>2761</v>
      </c>
      <c r="C24" s="5" t="s">
        <v>1058</v>
      </c>
      <c r="D24" s="5" t="s">
        <v>1005</v>
      </c>
      <c r="E24" s="5" t="s">
        <v>1059</v>
      </c>
      <c r="F24" s="5" t="s">
        <v>1059</v>
      </c>
      <c r="G24" s="5" t="s">
        <v>1062</v>
      </c>
      <c r="H24" s="6" t="s">
        <v>1063</v>
      </c>
    </row>
    <row r="25" customFormat="false" ht="35.05" hidden="false" customHeight="false" outlineLevel="0" collapsed="false">
      <c r="A25" s="9" t="s">
        <v>2736</v>
      </c>
      <c r="B25" s="6" t="s">
        <v>2762</v>
      </c>
      <c r="C25" s="5" t="s">
        <v>897</v>
      </c>
      <c r="D25" s="5" t="s">
        <v>786</v>
      </c>
      <c r="E25" s="5" t="s">
        <v>898</v>
      </c>
      <c r="F25" s="5" t="s">
        <v>750</v>
      </c>
      <c r="G25" s="5" t="s">
        <v>2763</v>
      </c>
      <c r="H25" s="6" t="s">
        <v>900</v>
      </c>
    </row>
    <row r="26" customFormat="false" ht="46.25" hidden="false" customHeight="false" outlineLevel="0" collapsed="false">
      <c r="A26" s="9" t="s">
        <v>2736</v>
      </c>
      <c r="B26" s="6" t="s">
        <v>2762</v>
      </c>
      <c r="C26" s="5" t="s">
        <v>965</v>
      </c>
      <c r="D26" s="5" t="s">
        <v>786</v>
      </c>
      <c r="E26" s="5" t="s">
        <v>962</v>
      </c>
      <c r="F26" s="5" t="s">
        <v>745</v>
      </c>
      <c r="G26" s="5" t="s">
        <v>2764</v>
      </c>
      <c r="H26" s="6" t="s">
        <v>966</v>
      </c>
    </row>
    <row r="27" customFormat="false" ht="46.25" hidden="false" customHeight="false" outlineLevel="0" collapsed="false">
      <c r="A27" s="9" t="s">
        <v>2736</v>
      </c>
      <c r="B27" s="6" t="s">
        <v>2765</v>
      </c>
      <c r="C27" s="5" t="s">
        <v>1016</v>
      </c>
      <c r="D27" s="5" t="s">
        <v>1005</v>
      </c>
      <c r="E27" s="5" t="s">
        <v>1017</v>
      </c>
      <c r="F27" s="5" t="s">
        <v>1017</v>
      </c>
      <c r="G27" s="5" t="s">
        <v>1023</v>
      </c>
      <c r="H27" s="6" t="s">
        <v>1024</v>
      </c>
    </row>
    <row r="28" customFormat="false" ht="79.85" hidden="false" customHeight="false" outlineLevel="0" collapsed="false">
      <c r="A28" s="9" t="s">
        <v>2736</v>
      </c>
      <c r="B28" s="6" t="s">
        <v>2765</v>
      </c>
      <c r="C28" s="5" t="s">
        <v>1046</v>
      </c>
      <c r="D28" s="5" t="s">
        <v>1005</v>
      </c>
      <c r="E28" s="5" t="s">
        <v>1047</v>
      </c>
      <c r="F28" s="5" t="s">
        <v>1047</v>
      </c>
      <c r="G28" s="5" t="s">
        <v>1050</v>
      </c>
      <c r="H28" s="6" t="s">
        <v>1051</v>
      </c>
    </row>
    <row r="29" customFormat="false" ht="91" hidden="false" customHeight="false" outlineLevel="0" collapsed="false">
      <c r="A29" s="9" t="s">
        <v>2736</v>
      </c>
      <c r="B29" s="6" t="s">
        <v>2765</v>
      </c>
      <c r="C29" s="5" t="s">
        <v>1100</v>
      </c>
      <c r="D29" s="5" t="s">
        <v>1005</v>
      </c>
      <c r="E29" s="5" t="s">
        <v>1101</v>
      </c>
      <c r="F29" s="5" t="s">
        <v>1101</v>
      </c>
      <c r="G29" s="5" t="s">
        <v>1106</v>
      </c>
      <c r="H29" s="6" t="s">
        <v>1107</v>
      </c>
    </row>
    <row r="30" customFormat="false" ht="23.85" hidden="false" customHeight="false" outlineLevel="0" collapsed="false">
      <c r="A30" s="9" t="s">
        <v>2736</v>
      </c>
      <c r="B30" s="6" t="s">
        <v>2766</v>
      </c>
      <c r="C30" s="5" t="s">
        <v>116</v>
      </c>
      <c r="D30" s="5" t="s">
        <v>92</v>
      </c>
      <c r="E30" s="5" t="s">
        <v>117</v>
      </c>
      <c r="F30" s="6" t="s">
        <v>119</v>
      </c>
      <c r="G30" s="5" t="s">
        <v>2767</v>
      </c>
      <c r="H30" s="6" t="s">
        <v>123</v>
      </c>
    </row>
    <row r="31" customFormat="false" ht="23.85" hidden="false" customHeight="false" outlineLevel="0" collapsed="false">
      <c r="A31" s="9" t="s">
        <v>2736</v>
      </c>
      <c r="B31" s="6" t="s">
        <v>2766</v>
      </c>
      <c r="C31" s="5" t="s">
        <v>152</v>
      </c>
      <c r="D31" s="5" t="s">
        <v>92</v>
      </c>
      <c r="E31" s="5" t="s">
        <v>153</v>
      </c>
      <c r="F31" s="6" t="s">
        <v>155</v>
      </c>
      <c r="G31" s="5" t="s">
        <v>2768</v>
      </c>
      <c r="H31" s="6" t="s">
        <v>158</v>
      </c>
    </row>
    <row r="32" customFormat="false" ht="23.85" hidden="false" customHeight="false" outlineLevel="0" collapsed="false">
      <c r="A32" s="9" t="s">
        <v>2736</v>
      </c>
      <c r="B32" s="6" t="s">
        <v>2766</v>
      </c>
      <c r="C32" s="5" t="s">
        <v>163</v>
      </c>
      <c r="D32" s="5" t="s">
        <v>92</v>
      </c>
      <c r="E32" s="5" t="s">
        <v>164</v>
      </c>
      <c r="F32" s="6" t="s">
        <v>166</v>
      </c>
      <c r="G32" s="5" t="s">
        <v>2769</v>
      </c>
      <c r="H32" s="6" t="s">
        <v>169</v>
      </c>
    </row>
    <row r="33" customFormat="false" ht="46.25" hidden="false" customHeight="false" outlineLevel="0" collapsed="false">
      <c r="A33" s="9" t="s">
        <v>2736</v>
      </c>
      <c r="B33" s="6" t="s">
        <v>2766</v>
      </c>
      <c r="C33" s="5" t="s">
        <v>207</v>
      </c>
      <c r="D33" s="5" t="s">
        <v>92</v>
      </c>
      <c r="E33" s="5" t="s">
        <v>208</v>
      </c>
      <c r="F33" s="5" t="s">
        <v>210</v>
      </c>
      <c r="G33" s="5" t="s">
        <v>2770</v>
      </c>
      <c r="H33" s="6" t="s">
        <v>214</v>
      </c>
    </row>
    <row r="34" customFormat="false" ht="68.65" hidden="false" customHeight="false" outlineLevel="0" collapsed="false">
      <c r="A34" s="9" t="s">
        <v>2736</v>
      </c>
      <c r="B34" s="6" t="s">
        <v>2766</v>
      </c>
      <c r="C34" s="5" t="s">
        <v>673</v>
      </c>
      <c r="D34" s="5" t="s">
        <v>497</v>
      </c>
      <c r="E34" s="5" t="s">
        <v>674</v>
      </c>
      <c r="F34" s="5" t="s">
        <v>677</v>
      </c>
      <c r="G34" s="5" t="s">
        <v>2771</v>
      </c>
      <c r="H34" s="6" t="s">
        <v>680</v>
      </c>
    </row>
    <row r="35" customFormat="false" ht="46.25" hidden="false" customHeight="false" outlineLevel="0" collapsed="false">
      <c r="A35" s="9" t="s">
        <v>2736</v>
      </c>
      <c r="B35" s="6" t="s">
        <v>2766</v>
      </c>
      <c r="C35" s="5" t="s">
        <v>802</v>
      </c>
      <c r="D35" s="5" t="s">
        <v>786</v>
      </c>
      <c r="E35" s="5" t="s">
        <v>803</v>
      </c>
      <c r="F35" s="5" t="s">
        <v>806</v>
      </c>
      <c r="G35" s="5" t="s">
        <v>2759</v>
      </c>
      <c r="H35" s="6" t="s">
        <v>808</v>
      </c>
    </row>
    <row r="36" customFormat="false" ht="23.85" hidden="false" customHeight="false" outlineLevel="0" collapsed="false">
      <c r="A36" s="9" t="s">
        <v>2736</v>
      </c>
      <c r="B36" s="6" t="s">
        <v>2766</v>
      </c>
      <c r="C36" s="5" t="s">
        <v>893</v>
      </c>
      <c r="D36" s="5" t="s">
        <v>786</v>
      </c>
      <c r="E36" s="5" t="s">
        <v>894</v>
      </c>
      <c r="F36" s="5" t="s">
        <v>895</v>
      </c>
      <c r="G36" s="5" t="s">
        <v>2772</v>
      </c>
      <c r="H36" s="6" t="s">
        <v>896</v>
      </c>
    </row>
    <row r="37" customFormat="false" ht="23.85" hidden="false" customHeight="false" outlineLevel="0" collapsed="false">
      <c r="A37" s="9" t="s">
        <v>2736</v>
      </c>
      <c r="B37" s="6" t="s">
        <v>2766</v>
      </c>
      <c r="C37" s="5" t="s">
        <v>916</v>
      </c>
      <c r="D37" s="5" t="s">
        <v>786</v>
      </c>
      <c r="E37" s="5" t="s">
        <v>917</v>
      </c>
      <c r="F37" s="5" t="s">
        <v>918</v>
      </c>
      <c r="G37" s="5" t="s">
        <v>2773</v>
      </c>
      <c r="H37" s="6" t="s">
        <v>919</v>
      </c>
    </row>
    <row r="38" customFormat="false" ht="46.25" hidden="false" customHeight="false" outlineLevel="0" collapsed="false">
      <c r="A38" s="9" t="s">
        <v>2736</v>
      </c>
      <c r="B38" s="6" t="s">
        <v>2766</v>
      </c>
      <c r="C38" s="5" t="s">
        <v>923</v>
      </c>
      <c r="D38" s="5" t="s">
        <v>786</v>
      </c>
      <c r="E38" s="5" t="s">
        <v>924</v>
      </c>
      <c r="F38" s="5" t="s">
        <v>574</v>
      </c>
      <c r="G38" s="5" t="s">
        <v>2746</v>
      </c>
      <c r="H38" s="6" t="s">
        <v>927</v>
      </c>
    </row>
    <row r="39" customFormat="false" ht="23.85" hidden="false" customHeight="false" outlineLevel="0" collapsed="false">
      <c r="A39" s="9" t="s">
        <v>2736</v>
      </c>
      <c r="B39" s="6" t="s">
        <v>2766</v>
      </c>
      <c r="C39" s="5" t="s">
        <v>970</v>
      </c>
      <c r="D39" s="5" t="s">
        <v>786</v>
      </c>
      <c r="E39" s="5" t="s">
        <v>971</v>
      </c>
      <c r="F39" s="5" t="s">
        <v>615</v>
      </c>
      <c r="G39" s="5" t="s">
        <v>2741</v>
      </c>
      <c r="H39" s="6" t="s">
        <v>974</v>
      </c>
    </row>
    <row r="40" customFormat="false" ht="23.85" hidden="false" customHeight="false" outlineLevel="0" collapsed="false">
      <c r="A40" s="9" t="s">
        <v>2736</v>
      </c>
      <c r="B40" s="6" t="s">
        <v>2766</v>
      </c>
      <c r="C40" s="5" t="s">
        <v>975</v>
      </c>
      <c r="D40" s="5" t="s">
        <v>786</v>
      </c>
      <c r="E40" s="5" t="s">
        <v>976</v>
      </c>
      <c r="F40" s="5" t="s">
        <v>622</v>
      </c>
      <c r="G40" s="5" t="s">
        <v>2748</v>
      </c>
      <c r="H40" s="6" t="s">
        <v>979</v>
      </c>
    </row>
    <row r="41" customFormat="false" ht="23.85" hidden="false" customHeight="false" outlineLevel="0" collapsed="false">
      <c r="A41" s="9" t="s">
        <v>2736</v>
      </c>
      <c r="B41" s="6" t="s">
        <v>2766</v>
      </c>
      <c r="C41" s="5" t="s">
        <v>983</v>
      </c>
      <c r="D41" s="5" t="s">
        <v>786</v>
      </c>
      <c r="E41" s="5" t="s">
        <v>984</v>
      </c>
      <c r="F41" s="5" t="s">
        <v>985</v>
      </c>
      <c r="G41" s="5" t="s">
        <v>2755</v>
      </c>
      <c r="H41" s="6" t="s">
        <v>986</v>
      </c>
    </row>
    <row r="42" customFormat="false" ht="35.05" hidden="false" customHeight="false" outlineLevel="0" collapsed="false">
      <c r="A42" s="9" t="s">
        <v>2736</v>
      </c>
      <c r="B42" s="6" t="s">
        <v>2766</v>
      </c>
      <c r="C42" s="5" t="s">
        <v>987</v>
      </c>
      <c r="D42" s="5" t="s">
        <v>786</v>
      </c>
      <c r="E42" s="5" t="s">
        <v>988</v>
      </c>
      <c r="F42" s="5" t="s">
        <v>633</v>
      </c>
      <c r="G42" s="5" t="s">
        <v>2774</v>
      </c>
      <c r="H42" s="6" t="s">
        <v>989</v>
      </c>
    </row>
    <row r="43" customFormat="false" ht="35.05" hidden="false" customHeight="false" outlineLevel="0" collapsed="false">
      <c r="A43" s="9" t="s">
        <v>2736</v>
      </c>
      <c r="B43" s="6" t="s">
        <v>2766</v>
      </c>
      <c r="C43" s="5" t="s">
        <v>1289</v>
      </c>
      <c r="D43" s="5" t="s">
        <v>1203</v>
      </c>
      <c r="E43" s="5" t="s">
        <v>1290</v>
      </c>
      <c r="F43" s="5" t="s">
        <v>1291</v>
      </c>
      <c r="G43" s="5" t="s">
        <v>2774</v>
      </c>
      <c r="H43" s="6" t="s">
        <v>1293</v>
      </c>
    </row>
    <row r="44" customFormat="false" ht="46.25" hidden="false" customHeight="false" outlineLevel="0" collapsed="false">
      <c r="A44" s="9" t="s">
        <v>2736</v>
      </c>
      <c r="B44" s="6" t="s">
        <v>2775</v>
      </c>
      <c r="C44" s="5" t="s">
        <v>1039</v>
      </c>
      <c r="D44" s="5" t="s">
        <v>1005</v>
      </c>
      <c r="E44" s="5" t="s">
        <v>1040</v>
      </c>
      <c r="F44" s="5" t="s">
        <v>1040</v>
      </c>
      <c r="G44" s="5" t="s">
        <v>1044</v>
      </c>
      <c r="H44" s="6" t="s">
        <v>1045</v>
      </c>
    </row>
    <row r="45" customFormat="false" ht="91" hidden="false" customHeight="false" outlineLevel="0" collapsed="false">
      <c r="A45" s="9" t="s">
        <v>2736</v>
      </c>
      <c r="B45" s="6" t="s">
        <v>2776</v>
      </c>
      <c r="C45" s="5" t="s">
        <v>1113</v>
      </c>
      <c r="D45" s="5" t="s">
        <v>1005</v>
      </c>
      <c r="E45" s="5" t="s">
        <v>1114</v>
      </c>
      <c r="F45" s="5" t="s">
        <v>1114</v>
      </c>
      <c r="G45" s="5" t="s">
        <v>1117</v>
      </c>
      <c r="H45" s="6" t="s">
        <v>1118</v>
      </c>
    </row>
    <row r="46" customFormat="false" ht="46.25" hidden="false" customHeight="false" outlineLevel="0" collapsed="false">
      <c r="A46" s="9" t="s">
        <v>2736</v>
      </c>
      <c r="B46" s="6" t="s">
        <v>2777</v>
      </c>
      <c r="C46" s="5" t="s">
        <v>831</v>
      </c>
      <c r="D46" s="5" t="s">
        <v>786</v>
      </c>
      <c r="E46" s="5" t="s">
        <v>832</v>
      </c>
      <c r="F46" s="5" t="s">
        <v>683</v>
      </c>
      <c r="G46" s="5" t="s">
        <v>2778</v>
      </c>
      <c r="H46" s="6" t="s">
        <v>834</v>
      </c>
    </row>
    <row r="47" customFormat="false" ht="46.25" hidden="false" customHeight="false" outlineLevel="0" collapsed="false">
      <c r="A47" s="9" t="s">
        <v>2736</v>
      </c>
      <c r="B47" s="6" t="s">
        <v>2779</v>
      </c>
      <c r="C47" s="5" t="s">
        <v>945</v>
      </c>
      <c r="D47" s="5" t="s">
        <v>786</v>
      </c>
      <c r="E47" s="5" t="s">
        <v>946</v>
      </c>
      <c r="F47" s="5" t="s">
        <v>594</v>
      </c>
      <c r="G47" s="5" t="s">
        <v>2744</v>
      </c>
      <c r="H47" s="6" t="s">
        <v>947</v>
      </c>
    </row>
    <row r="48" customFormat="false" ht="46.25" hidden="false" customHeight="false" outlineLevel="0" collapsed="false">
      <c r="A48" s="9" t="s">
        <v>2736</v>
      </c>
      <c r="B48" s="6" t="s">
        <v>2780</v>
      </c>
      <c r="C48" s="5" t="s">
        <v>643</v>
      </c>
      <c r="D48" s="5" t="s">
        <v>497</v>
      </c>
      <c r="E48" s="5" t="s">
        <v>644</v>
      </c>
      <c r="F48" s="5" t="s">
        <v>647</v>
      </c>
      <c r="G48" s="5" t="s">
        <v>2781</v>
      </c>
      <c r="H48" s="6" t="s">
        <v>649</v>
      </c>
    </row>
    <row r="49" customFormat="false" ht="102.2" hidden="false" customHeight="false" outlineLevel="0" collapsed="false">
      <c r="A49" s="9" t="s">
        <v>2736</v>
      </c>
      <c r="B49" s="6" t="s">
        <v>2780</v>
      </c>
      <c r="C49" s="5" t="s">
        <v>1071</v>
      </c>
      <c r="D49" s="5" t="s">
        <v>1005</v>
      </c>
      <c r="E49" s="5" t="s">
        <v>1072</v>
      </c>
      <c r="F49" s="5" t="s">
        <v>1072</v>
      </c>
      <c r="G49" s="5" t="s">
        <v>1074</v>
      </c>
      <c r="H49" s="6" t="s">
        <v>1075</v>
      </c>
    </row>
    <row r="50" customFormat="false" ht="135.8" hidden="false" customHeight="false" outlineLevel="0" collapsed="false">
      <c r="A50" s="9" t="s">
        <v>2736</v>
      </c>
      <c r="B50" s="6" t="s">
        <v>2782</v>
      </c>
      <c r="C50" s="5" t="s">
        <v>1087</v>
      </c>
      <c r="D50" s="5" t="s">
        <v>1005</v>
      </c>
      <c r="E50" s="5" t="s">
        <v>1088</v>
      </c>
      <c r="F50" s="5" t="s">
        <v>1088</v>
      </c>
      <c r="G50" s="5" t="s">
        <v>1092</v>
      </c>
      <c r="H50" s="6" t="s">
        <v>1093</v>
      </c>
    </row>
    <row r="51" customFormat="false" ht="79.85" hidden="false" customHeight="false" outlineLevel="0" collapsed="false">
      <c r="A51" s="9" t="s">
        <v>2736</v>
      </c>
      <c r="B51" s="6" t="s">
        <v>2783</v>
      </c>
      <c r="C51" s="5" t="s">
        <v>743</v>
      </c>
      <c r="D51" s="5" t="s">
        <v>497</v>
      </c>
      <c r="E51" s="5" t="s">
        <v>744</v>
      </c>
      <c r="F51" s="5" t="s">
        <v>745</v>
      </c>
      <c r="G51" s="5" t="s">
        <v>2764</v>
      </c>
      <c r="H51" s="6" t="s">
        <v>747</v>
      </c>
    </row>
    <row r="52" customFormat="false" ht="68.65" hidden="false" customHeight="false" outlineLevel="0" collapsed="false">
      <c r="A52" s="9" t="s">
        <v>2736</v>
      </c>
      <c r="B52" s="6" t="s">
        <v>2784</v>
      </c>
      <c r="C52" s="5" t="s">
        <v>1521</v>
      </c>
      <c r="D52" s="5" t="s">
        <v>1203</v>
      </c>
      <c r="E52" s="5" t="s">
        <v>1522</v>
      </c>
      <c r="F52" s="5" t="s">
        <v>1525</v>
      </c>
      <c r="G52" s="5" t="s">
        <v>2785</v>
      </c>
      <c r="H52" s="6" t="s">
        <v>1527</v>
      </c>
    </row>
    <row r="53" customFormat="false" ht="35.05" hidden="false" customHeight="false" outlineLevel="0" collapsed="false">
      <c r="A53" s="9" t="s">
        <v>2736</v>
      </c>
      <c r="B53" s="6" t="s">
        <v>2786</v>
      </c>
      <c r="C53" s="5" t="s">
        <v>548</v>
      </c>
      <c r="D53" s="5" t="s">
        <v>497</v>
      </c>
      <c r="E53" s="5" t="s">
        <v>549</v>
      </c>
      <c r="F53" s="5" t="s">
        <v>550</v>
      </c>
      <c r="G53" s="5" t="s">
        <v>2787</v>
      </c>
      <c r="H53" s="6" t="s">
        <v>552</v>
      </c>
    </row>
    <row r="54" customFormat="false" ht="23.85" hidden="false" customHeight="false" outlineLevel="0" collapsed="false">
      <c r="A54" s="9" t="s">
        <v>2736</v>
      </c>
      <c r="B54" s="6" t="s">
        <v>2786</v>
      </c>
      <c r="C54" s="5" t="s">
        <v>1247</v>
      </c>
      <c r="D54" s="5" t="s">
        <v>1203</v>
      </c>
      <c r="E54" s="5" t="s">
        <v>1248</v>
      </c>
      <c r="F54" s="5" t="s">
        <v>1249</v>
      </c>
      <c r="G54" s="5" t="s">
        <v>2773</v>
      </c>
      <c r="H54" s="6" t="s">
        <v>1250</v>
      </c>
    </row>
    <row r="55" customFormat="false" ht="46.25" hidden="false" customHeight="false" outlineLevel="0" collapsed="false">
      <c r="A55" s="9" t="s">
        <v>2736</v>
      </c>
      <c r="B55" s="6" t="s">
        <v>2788</v>
      </c>
      <c r="C55" s="5" t="s">
        <v>956</v>
      </c>
      <c r="D55" s="5" t="s">
        <v>786</v>
      </c>
      <c r="E55" s="5" t="s">
        <v>957</v>
      </c>
      <c r="F55" s="5" t="s">
        <v>958</v>
      </c>
      <c r="G55" s="5" t="s">
        <v>2789</v>
      </c>
      <c r="H55" s="6" t="s">
        <v>959</v>
      </c>
    </row>
    <row r="56" customFormat="false" ht="57.45" hidden="false" customHeight="false" outlineLevel="0" collapsed="false">
      <c r="A56" s="9" t="s">
        <v>2736</v>
      </c>
      <c r="B56" s="6" t="s">
        <v>2790</v>
      </c>
      <c r="C56" s="5" t="s">
        <v>483</v>
      </c>
      <c r="D56" s="5" t="s">
        <v>92</v>
      </c>
      <c r="E56" s="5" t="s">
        <v>484</v>
      </c>
      <c r="F56" s="5" t="s">
        <v>489</v>
      </c>
      <c r="G56" s="5" t="s">
        <v>2791</v>
      </c>
      <c r="H56" s="6" t="s">
        <v>494</v>
      </c>
    </row>
    <row r="57" customFormat="false" ht="57.45" hidden="false" customHeight="false" outlineLevel="0" collapsed="false">
      <c r="A57" s="9" t="s">
        <v>2736</v>
      </c>
      <c r="B57" s="6" t="s">
        <v>2790</v>
      </c>
      <c r="C57" s="5" t="s">
        <v>665</v>
      </c>
      <c r="D57" s="5" t="s">
        <v>497</v>
      </c>
      <c r="E57" s="5" t="s">
        <v>666</v>
      </c>
      <c r="F57" s="5" t="s">
        <v>669</v>
      </c>
      <c r="G57" s="5" t="s">
        <v>2791</v>
      </c>
      <c r="H57" s="6" t="s">
        <v>672</v>
      </c>
    </row>
    <row r="58" customFormat="false" ht="35.05" hidden="false" customHeight="false" outlineLevel="0" collapsed="false">
      <c r="A58" s="9" t="s">
        <v>2736</v>
      </c>
      <c r="B58" s="6" t="s">
        <v>2790</v>
      </c>
      <c r="C58" s="5" t="s">
        <v>796</v>
      </c>
      <c r="D58" s="5" t="s">
        <v>786</v>
      </c>
      <c r="E58" s="5" t="s">
        <v>797</v>
      </c>
      <c r="F58" s="5" t="s">
        <v>799</v>
      </c>
      <c r="G58" s="5" t="s">
        <v>2781</v>
      </c>
      <c r="H58" s="6" t="s">
        <v>801</v>
      </c>
    </row>
    <row r="59" customFormat="false" ht="46.25" hidden="false" customHeight="false" outlineLevel="0" collapsed="false">
      <c r="A59" s="9" t="s">
        <v>2736</v>
      </c>
      <c r="B59" s="6" t="s">
        <v>2790</v>
      </c>
      <c r="C59" s="5" t="s">
        <v>809</v>
      </c>
      <c r="D59" s="5" t="s">
        <v>786</v>
      </c>
      <c r="E59" s="5" t="s">
        <v>810</v>
      </c>
      <c r="F59" s="5" t="s">
        <v>799</v>
      </c>
      <c r="G59" s="5" t="s">
        <v>2781</v>
      </c>
      <c r="H59" s="6" t="s">
        <v>814</v>
      </c>
    </row>
    <row r="60" customFormat="false" ht="35.05" hidden="false" customHeight="false" outlineLevel="0" collapsed="false">
      <c r="A60" s="9" t="s">
        <v>2736</v>
      </c>
      <c r="B60" s="6" t="s">
        <v>2790</v>
      </c>
      <c r="C60" s="5" t="s">
        <v>815</v>
      </c>
      <c r="D60" s="5" t="s">
        <v>786</v>
      </c>
      <c r="E60" s="5" t="s">
        <v>816</v>
      </c>
      <c r="F60" s="5" t="s">
        <v>669</v>
      </c>
      <c r="G60" s="5" t="s">
        <v>2791</v>
      </c>
      <c r="H60" s="6" t="s">
        <v>818</v>
      </c>
    </row>
    <row r="61" customFormat="false" ht="135.8" hidden="false" customHeight="false" outlineLevel="0" collapsed="false">
      <c r="A61" s="9" t="s">
        <v>2736</v>
      </c>
      <c r="B61" s="6" t="s">
        <v>2790</v>
      </c>
      <c r="C61" s="5" t="s">
        <v>1533</v>
      </c>
      <c r="D61" s="5" t="s">
        <v>1535</v>
      </c>
      <c r="E61" s="5"/>
      <c r="F61" s="5"/>
      <c r="G61" s="5" t="s">
        <v>2791</v>
      </c>
      <c r="H61" s="6" t="s">
        <v>1538</v>
      </c>
    </row>
    <row r="62" customFormat="false" ht="79.85" hidden="false" customHeight="false" outlineLevel="0" collapsed="false">
      <c r="A62" s="9" t="s">
        <v>2736</v>
      </c>
      <c r="B62" s="6" t="s">
        <v>2792</v>
      </c>
      <c r="C62" s="5" t="s">
        <v>691</v>
      </c>
      <c r="D62" s="5" t="s">
        <v>497</v>
      </c>
      <c r="E62" s="5" t="s">
        <v>692</v>
      </c>
      <c r="F62" s="5" t="s">
        <v>693</v>
      </c>
      <c r="G62" s="5" t="s">
        <v>2793</v>
      </c>
      <c r="H62" s="6" t="s">
        <v>696</v>
      </c>
    </row>
    <row r="63" customFormat="false" ht="102.2" hidden="false" customHeight="false" outlineLevel="0" collapsed="false">
      <c r="A63" s="9" t="s">
        <v>2736</v>
      </c>
      <c r="B63" s="6" t="s">
        <v>2794</v>
      </c>
      <c r="C63" s="5" t="s">
        <v>998</v>
      </c>
      <c r="D63" s="5" t="s">
        <v>992</v>
      </c>
      <c r="E63" s="5" t="s">
        <v>999</v>
      </c>
      <c r="F63" s="5"/>
      <c r="G63" s="5" t="s">
        <v>2791</v>
      </c>
      <c r="H63" s="6" t="s">
        <v>1002</v>
      </c>
    </row>
    <row r="64" customFormat="false" ht="124.6" hidden="false" customHeight="false" outlineLevel="0" collapsed="false">
      <c r="A64" s="9" t="s">
        <v>2736</v>
      </c>
      <c r="B64" s="6" t="s">
        <v>2795</v>
      </c>
      <c r="C64" s="5" t="s">
        <v>990</v>
      </c>
      <c r="D64" s="5" t="s">
        <v>992</v>
      </c>
      <c r="E64" s="5" t="s">
        <v>993</v>
      </c>
      <c r="F64" s="5"/>
      <c r="G64" s="5" t="s">
        <v>2791</v>
      </c>
      <c r="H64" s="6" t="s">
        <v>997</v>
      </c>
    </row>
    <row r="65" customFormat="false" ht="91" hidden="false" customHeight="false" outlineLevel="0" collapsed="false">
      <c r="A65" s="9" t="s">
        <v>2736</v>
      </c>
      <c r="B65" s="6" t="s">
        <v>2796</v>
      </c>
      <c r="C65" s="5" t="s">
        <v>686</v>
      </c>
      <c r="D65" s="5" t="s">
        <v>497</v>
      </c>
      <c r="E65" s="5" t="s">
        <v>687</v>
      </c>
      <c r="F65" s="5" t="s">
        <v>688</v>
      </c>
      <c r="G65" s="5" t="s">
        <v>2797</v>
      </c>
      <c r="H65" s="6" t="s">
        <v>690</v>
      </c>
    </row>
    <row r="66" customFormat="false" ht="79.85" hidden="false" customHeight="false" outlineLevel="0" collapsed="false">
      <c r="A66" s="9" t="s">
        <v>2736</v>
      </c>
      <c r="B66" s="6" t="s">
        <v>2796</v>
      </c>
      <c r="C66" s="5" t="s">
        <v>703</v>
      </c>
      <c r="D66" s="5" t="s">
        <v>497</v>
      </c>
      <c r="E66" s="5" t="s">
        <v>704</v>
      </c>
      <c r="F66" s="5" t="s">
        <v>705</v>
      </c>
      <c r="G66" s="5" t="s">
        <v>2798</v>
      </c>
      <c r="H66" s="6" t="s">
        <v>707</v>
      </c>
    </row>
    <row r="67" customFormat="false" ht="15" hidden="false" customHeight="false" outlineLevel="0" collapsed="false">
      <c r="A67" s="10" t="s">
        <v>2799</v>
      </c>
      <c r="B67" s="6" t="s">
        <v>2800</v>
      </c>
      <c r="C67" s="5" t="s">
        <v>2801</v>
      </c>
      <c r="D67" s="5" t="s">
        <v>2801</v>
      </c>
      <c r="E67" s="5" t="s">
        <v>2801</v>
      </c>
      <c r="F67" s="5" t="s">
        <v>2801</v>
      </c>
      <c r="G67" s="5" t="s">
        <v>2772</v>
      </c>
      <c r="H67" s="6" t="s">
        <v>2802</v>
      </c>
    </row>
    <row r="68" customFormat="false" ht="15" hidden="false" customHeight="false" outlineLevel="0" collapsed="false">
      <c r="A68" s="10" t="s">
        <v>2799</v>
      </c>
      <c r="B68" s="6" t="s">
        <v>2800</v>
      </c>
      <c r="C68" s="5" t="s">
        <v>2801</v>
      </c>
      <c r="D68" s="5" t="s">
        <v>2801</v>
      </c>
      <c r="E68" s="5" t="s">
        <v>2801</v>
      </c>
      <c r="F68" s="5" t="s">
        <v>2801</v>
      </c>
      <c r="G68" s="5" t="s">
        <v>2773</v>
      </c>
      <c r="H68" s="6" t="s">
        <v>2802</v>
      </c>
    </row>
    <row r="69" customFormat="false" ht="15" hidden="false" customHeight="false" outlineLevel="0" collapsed="false">
      <c r="A69" s="10" t="s">
        <v>2799</v>
      </c>
      <c r="B69" s="6" t="s">
        <v>2800</v>
      </c>
      <c r="C69" s="5" t="s">
        <v>2801</v>
      </c>
      <c r="D69" s="5" t="s">
        <v>2801</v>
      </c>
      <c r="E69" s="5" t="s">
        <v>2801</v>
      </c>
      <c r="F69" s="5" t="s">
        <v>2801</v>
      </c>
      <c r="G69" s="5" t="s">
        <v>2803</v>
      </c>
      <c r="H69" s="6" t="s">
        <v>2804</v>
      </c>
    </row>
    <row r="70" customFormat="false" ht="15" hidden="false" customHeight="false" outlineLevel="0" collapsed="false">
      <c r="A70" s="10" t="s">
        <v>2799</v>
      </c>
      <c r="B70" s="6" t="s">
        <v>2800</v>
      </c>
      <c r="C70" s="5" t="s">
        <v>2801</v>
      </c>
      <c r="D70" s="5" t="s">
        <v>2801</v>
      </c>
      <c r="E70" s="5" t="s">
        <v>2801</v>
      </c>
      <c r="F70" s="5" t="s">
        <v>2801</v>
      </c>
      <c r="G70" s="5" t="s">
        <v>2805</v>
      </c>
      <c r="H70" s="6" t="s">
        <v>2802</v>
      </c>
    </row>
    <row r="71" customFormat="false" ht="15" hidden="false" customHeight="false" outlineLevel="0" collapsed="false">
      <c r="A71" s="10" t="s">
        <v>2799</v>
      </c>
      <c r="B71" s="6" t="s">
        <v>2800</v>
      </c>
      <c r="C71" s="5" t="s">
        <v>2801</v>
      </c>
      <c r="D71" s="5" t="s">
        <v>2801</v>
      </c>
      <c r="E71" s="5" t="s">
        <v>2801</v>
      </c>
      <c r="F71" s="5" t="s">
        <v>2801</v>
      </c>
      <c r="G71" s="5" t="s">
        <v>2787</v>
      </c>
      <c r="H71" s="6" t="s">
        <v>2802</v>
      </c>
    </row>
    <row r="72" customFormat="false" ht="15" hidden="false" customHeight="false" outlineLevel="0" collapsed="false">
      <c r="A72" s="10" t="s">
        <v>2799</v>
      </c>
      <c r="B72" s="6" t="s">
        <v>2800</v>
      </c>
      <c r="C72" s="5" t="s">
        <v>2801</v>
      </c>
      <c r="D72" s="5" t="s">
        <v>2801</v>
      </c>
      <c r="E72" s="5" t="s">
        <v>2801</v>
      </c>
      <c r="F72" s="5" t="s">
        <v>2801</v>
      </c>
      <c r="G72" s="5" t="s">
        <v>2806</v>
      </c>
      <c r="H72" s="6" t="s">
        <v>2802</v>
      </c>
    </row>
    <row r="73" customFormat="false" ht="15" hidden="false" customHeight="false" outlineLevel="0" collapsed="false">
      <c r="A73" s="10" t="s">
        <v>2799</v>
      </c>
      <c r="B73" s="6" t="s">
        <v>2800</v>
      </c>
      <c r="C73" s="5" t="s">
        <v>2801</v>
      </c>
      <c r="D73" s="5" t="s">
        <v>2801</v>
      </c>
      <c r="E73" s="5" t="s">
        <v>2801</v>
      </c>
      <c r="F73" s="5" t="s">
        <v>2801</v>
      </c>
      <c r="G73" s="5" t="s">
        <v>2807</v>
      </c>
      <c r="H73" s="6" t="s">
        <v>2802</v>
      </c>
    </row>
    <row r="74" customFormat="false" ht="15" hidden="false" customHeight="false" outlineLevel="0" collapsed="false">
      <c r="A74" s="10" t="s">
        <v>2799</v>
      </c>
      <c r="B74" s="6" t="s">
        <v>2800</v>
      </c>
      <c r="C74" s="5" t="s">
        <v>2801</v>
      </c>
      <c r="D74" s="5" t="s">
        <v>2801</v>
      </c>
      <c r="E74" s="5" t="s">
        <v>2801</v>
      </c>
      <c r="F74" s="5" t="s">
        <v>2801</v>
      </c>
      <c r="G74" s="5" t="s">
        <v>2808</v>
      </c>
      <c r="H74" s="6" t="s">
        <v>2802</v>
      </c>
    </row>
    <row r="75" customFormat="false" ht="15" hidden="false" customHeight="false" outlineLevel="0" collapsed="false">
      <c r="A75" s="10" t="s">
        <v>2799</v>
      </c>
      <c r="B75" s="6" t="s">
        <v>2800</v>
      </c>
      <c r="C75" s="5" t="s">
        <v>2801</v>
      </c>
      <c r="D75" s="5" t="s">
        <v>2801</v>
      </c>
      <c r="E75" s="5" t="s">
        <v>2801</v>
      </c>
      <c r="F75" s="5" t="s">
        <v>2801</v>
      </c>
      <c r="G75" s="5" t="s">
        <v>2809</v>
      </c>
      <c r="H75" s="6" t="s">
        <v>2802</v>
      </c>
    </row>
    <row r="76" customFormat="false" ht="15" hidden="false" customHeight="false" outlineLevel="0" collapsed="false">
      <c r="A76" s="10" t="s">
        <v>2799</v>
      </c>
      <c r="B76" s="6" t="s">
        <v>2800</v>
      </c>
      <c r="C76" s="5" t="s">
        <v>2801</v>
      </c>
      <c r="D76" s="5" t="s">
        <v>2801</v>
      </c>
      <c r="E76" s="5" t="s">
        <v>2801</v>
      </c>
      <c r="F76" s="5" t="s">
        <v>2801</v>
      </c>
      <c r="G76" s="5" t="s">
        <v>2810</v>
      </c>
      <c r="H76" s="6" t="s">
        <v>2802</v>
      </c>
    </row>
    <row r="77" customFormat="false" ht="15" hidden="false" customHeight="false" outlineLevel="0" collapsed="false">
      <c r="A77" s="10" t="s">
        <v>2799</v>
      </c>
      <c r="B77" s="6" t="s">
        <v>2800</v>
      </c>
      <c r="C77" s="5" t="s">
        <v>2801</v>
      </c>
      <c r="D77" s="5" t="s">
        <v>2801</v>
      </c>
      <c r="E77" s="5" t="s">
        <v>2801</v>
      </c>
      <c r="F77" s="5" t="s">
        <v>2801</v>
      </c>
      <c r="G77" s="5" t="s">
        <v>2811</v>
      </c>
      <c r="H77" s="6" t="s">
        <v>2802</v>
      </c>
    </row>
    <row r="78" customFormat="false" ht="15" hidden="false" customHeight="false" outlineLevel="0" collapsed="false">
      <c r="A78" s="10" t="s">
        <v>2799</v>
      </c>
      <c r="B78" s="6" t="s">
        <v>2800</v>
      </c>
      <c r="C78" s="5" t="s">
        <v>2801</v>
      </c>
      <c r="D78" s="5" t="s">
        <v>2801</v>
      </c>
      <c r="E78" s="5" t="s">
        <v>2801</v>
      </c>
      <c r="F78" s="5" t="s">
        <v>2801</v>
      </c>
      <c r="G78" s="5" t="s">
        <v>2812</v>
      </c>
      <c r="H78" s="6" t="s">
        <v>2804</v>
      </c>
    </row>
    <row r="79" customFormat="false" ht="35.05" hidden="false" customHeight="false" outlineLevel="0" collapsed="false">
      <c r="A79" s="10" t="s">
        <v>2799</v>
      </c>
      <c r="B79" s="6" t="s">
        <v>2813</v>
      </c>
      <c r="C79" s="5" t="s">
        <v>263</v>
      </c>
      <c r="D79" s="5" t="s">
        <v>92</v>
      </c>
      <c r="E79" s="5" t="s">
        <v>264</v>
      </c>
      <c r="F79" s="5" t="s">
        <v>260</v>
      </c>
      <c r="G79" s="5" t="s">
        <v>2814</v>
      </c>
      <c r="H79" s="6" t="s">
        <v>267</v>
      </c>
    </row>
    <row r="80" customFormat="false" ht="23.85" hidden="false" customHeight="false" outlineLevel="0" collapsed="false">
      <c r="A80" s="10" t="s">
        <v>2799</v>
      </c>
      <c r="B80" s="6" t="s">
        <v>2813</v>
      </c>
      <c r="C80" s="5" t="s">
        <v>275</v>
      </c>
      <c r="D80" s="5" t="s">
        <v>92</v>
      </c>
      <c r="E80" s="5" t="s">
        <v>276</v>
      </c>
      <c r="F80" s="5" t="s">
        <v>272</v>
      </c>
      <c r="G80" s="5" t="s">
        <v>2815</v>
      </c>
      <c r="H80" s="6" t="s">
        <v>279</v>
      </c>
    </row>
    <row r="81" customFormat="false" ht="23.85" hidden="false" customHeight="false" outlineLevel="0" collapsed="false">
      <c r="A81" s="10" t="s">
        <v>2799</v>
      </c>
      <c r="B81" s="6" t="s">
        <v>2813</v>
      </c>
      <c r="C81" s="5" t="s">
        <v>333</v>
      </c>
      <c r="D81" s="5" t="s">
        <v>92</v>
      </c>
      <c r="E81" s="5" t="s">
        <v>334</v>
      </c>
      <c r="F81" s="5" t="s">
        <v>336</v>
      </c>
      <c r="G81" s="5" t="s">
        <v>2816</v>
      </c>
      <c r="H81" s="6" t="s">
        <v>279</v>
      </c>
    </row>
    <row r="82" customFormat="false" ht="23.85" hidden="false" customHeight="false" outlineLevel="0" collapsed="false">
      <c r="A82" s="10" t="s">
        <v>2799</v>
      </c>
      <c r="B82" s="6" t="s">
        <v>2813</v>
      </c>
      <c r="C82" s="5" t="s">
        <v>345</v>
      </c>
      <c r="D82" s="5" t="s">
        <v>92</v>
      </c>
      <c r="E82" s="5" t="s">
        <v>346</v>
      </c>
      <c r="F82" s="5" t="s">
        <v>348</v>
      </c>
      <c r="G82" s="5" t="s">
        <v>2817</v>
      </c>
      <c r="H82" s="6" t="s">
        <v>279</v>
      </c>
    </row>
    <row r="83" customFormat="false" ht="35.05" hidden="false" customHeight="false" outlineLevel="0" collapsed="false">
      <c r="A83" s="10" t="s">
        <v>2799</v>
      </c>
      <c r="B83" s="6" t="s">
        <v>2813</v>
      </c>
      <c r="C83" s="5" t="s">
        <v>369</v>
      </c>
      <c r="D83" s="5" t="s">
        <v>92</v>
      </c>
      <c r="E83" s="5" t="s">
        <v>370</v>
      </c>
      <c r="F83" s="5" t="s">
        <v>365</v>
      </c>
      <c r="G83" s="5" t="s">
        <v>2818</v>
      </c>
      <c r="H83" s="6" t="s">
        <v>373</v>
      </c>
    </row>
    <row r="84" customFormat="false" ht="23.85" hidden="false" customHeight="false" outlineLevel="0" collapsed="false">
      <c r="A84" s="10" t="s">
        <v>2799</v>
      </c>
      <c r="B84" s="6" t="s">
        <v>2813</v>
      </c>
      <c r="C84" s="5" t="s">
        <v>404</v>
      </c>
      <c r="D84" s="5" t="s">
        <v>92</v>
      </c>
      <c r="E84" s="5" t="s">
        <v>405</v>
      </c>
      <c r="F84" s="5" t="s">
        <v>407</v>
      </c>
      <c r="G84" s="5" t="s">
        <v>2819</v>
      </c>
      <c r="H84" s="6" t="s">
        <v>279</v>
      </c>
    </row>
    <row r="85" customFormat="false" ht="23.85" hidden="false" customHeight="false" outlineLevel="0" collapsed="false">
      <c r="A85" s="10" t="s">
        <v>2799</v>
      </c>
      <c r="B85" s="6" t="s">
        <v>2813</v>
      </c>
      <c r="C85" s="5" t="s">
        <v>468</v>
      </c>
      <c r="D85" s="5" t="s">
        <v>92</v>
      </c>
      <c r="E85" s="5" t="s">
        <v>469</v>
      </c>
      <c r="F85" s="5" t="s">
        <v>471</v>
      </c>
      <c r="G85" s="5" t="s">
        <v>2820</v>
      </c>
      <c r="H85" s="6" t="s">
        <v>279</v>
      </c>
    </row>
    <row r="86" customFormat="false" ht="23.85" hidden="false" customHeight="false" outlineLevel="0" collapsed="false">
      <c r="A86" s="10" t="s">
        <v>2799</v>
      </c>
      <c r="B86" s="6" t="s">
        <v>2813</v>
      </c>
      <c r="C86" s="5" t="s">
        <v>479</v>
      </c>
      <c r="D86" s="5" t="s">
        <v>92</v>
      </c>
      <c r="E86" s="5" t="s">
        <v>480</v>
      </c>
      <c r="F86" s="5" t="s">
        <v>476</v>
      </c>
      <c r="G86" s="5" t="s">
        <v>2821</v>
      </c>
      <c r="H86" s="6" t="s">
        <v>279</v>
      </c>
    </row>
    <row r="87" customFormat="false" ht="68.65" hidden="false" customHeight="false" outlineLevel="0" collapsed="false">
      <c r="A87" s="10" t="s">
        <v>2799</v>
      </c>
      <c r="B87" s="6" t="s">
        <v>2813</v>
      </c>
      <c r="C87" s="5" t="s">
        <v>578</v>
      </c>
      <c r="D87" s="5" t="s">
        <v>497</v>
      </c>
      <c r="E87" s="5" t="s">
        <v>579</v>
      </c>
      <c r="F87" s="5" t="s">
        <v>582</v>
      </c>
      <c r="G87" s="5" t="s">
        <v>2822</v>
      </c>
      <c r="H87" s="6" t="s">
        <v>585</v>
      </c>
    </row>
    <row r="88" customFormat="false" ht="57.45" hidden="false" customHeight="false" outlineLevel="0" collapsed="false">
      <c r="A88" s="10" t="s">
        <v>2799</v>
      </c>
      <c r="B88" s="6" t="s">
        <v>2813</v>
      </c>
      <c r="C88" s="5" t="s">
        <v>637</v>
      </c>
      <c r="D88" s="5" t="s">
        <v>497</v>
      </c>
      <c r="E88" s="5" t="s">
        <v>638</v>
      </c>
      <c r="F88" s="5" t="s">
        <v>639</v>
      </c>
      <c r="G88" s="5" t="s">
        <v>2755</v>
      </c>
      <c r="H88" s="6" t="s">
        <v>642</v>
      </c>
    </row>
    <row r="89" customFormat="false" ht="79.85" hidden="false" customHeight="false" outlineLevel="0" collapsed="false">
      <c r="A89" s="10" t="s">
        <v>2799</v>
      </c>
      <c r="B89" s="6" t="s">
        <v>2813</v>
      </c>
      <c r="C89" s="5" t="s">
        <v>713</v>
      </c>
      <c r="D89" s="5" t="s">
        <v>497</v>
      </c>
      <c r="E89" s="5" t="s">
        <v>714</v>
      </c>
      <c r="F89" s="5" t="s">
        <v>715</v>
      </c>
      <c r="G89" s="5" t="s">
        <v>2823</v>
      </c>
      <c r="H89" s="6" t="s">
        <v>718</v>
      </c>
    </row>
    <row r="90" customFormat="false" ht="46.25" hidden="false" customHeight="false" outlineLevel="0" collapsed="false">
      <c r="A90" s="10" t="s">
        <v>2799</v>
      </c>
      <c r="B90" s="6" t="s">
        <v>2813</v>
      </c>
      <c r="C90" s="5" t="s">
        <v>768</v>
      </c>
      <c r="D90" s="5" t="s">
        <v>497</v>
      </c>
      <c r="E90" s="5" t="s">
        <v>769</v>
      </c>
      <c r="F90" s="5" t="s">
        <v>770</v>
      </c>
      <c r="G90" s="5" t="s">
        <v>2824</v>
      </c>
      <c r="H90" s="6" t="s">
        <v>772</v>
      </c>
    </row>
    <row r="91" customFormat="false" ht="23.85" hidden="false" customHeight="false" outlineLevel="0" collapsed="false">
      <c r="A91" s="10" t="s">
        <v>2799</v>
      </c>
      <c r="B91" s="6" t="s">
        <v>2813</v>
      </c>
      <c r="C91" s="5" t="s">
        <v>784</v>
      </c>
      <c r="D91" s="5" t="s">
        <v>786</v>
      </c>
      <c r="E91" s="5" t="s">
        <v>787</v>
      </c>
      <c r="F91" s="5" t="s">
        <v>770</v>
      </c>
      <c r="G91" s="5" t="s">
        <v>2824</v>
      </c>
      <c r="H91" s="6" t="s">
        <v>795</v>
      </c>
    </row>
    <row r="92" customFormat="false" ht="23.85" hidden="false" customHeight="false" outlineLevel="0" collapsed="false">
      <c r="A92" s="10" t="s">
        <v>2799</v>
      </c>
      <c r="B92" s="6" t="s">
        <v>2813</v>
      </c>
      <c r="C92" s="5" t="s">
        <v>866</v>
      </c>
      <c r="D92" s="5" t="s">
        <v>786</v>
      </c>
      <c r="E92" s="5" t="s">
        <v>867</v>
      </c>
      <c r="F92" s="5" t="s">
        <v>776</v>
      </c>
      <c r="G92" s="5" t="s">
        <v>2825</v>
      </c>
      <c r="H92" s="6" t="s">
        <v>795</v>
      </c>
    </row>
    <row r="93" customFormat="false" ht="23.85" hidden="false" customHeight="false" outlineLevel="0" collapsed="false">
      <c r="A93" s="10" t="s">
        <v>2799</v>
      </c>
      <c r="B93" s="6" t="s">
        <v>2813</v>
      </c>
      <c r="C93" s="5" t="s">
        <v>883</v>
      </c>
      <c r="D93" s="5" t="s">
        <v>786</v>
      </c>
      <c r="E93" s="5" t="s">
        <v>884</v>
      </c>
      <c r="F93" s="5" t="s">
        <v>740</v>
      </c>
      <c r="G93" s="5" t="s">
        <v>2826</v>
      </c>
      <c r="H93" s="6" t="s">
        <v>795</v>
      </c>
    </row>
    <row r="94" customFormat="false" ht="23.85" hidden="false" customHeight="false" outlineLevel="0" collapsed="false">
      <c r="A94" s="10" t="s">
        <v>2799</v>
      </c>
      <c r="B94" s="6" t="s">
        <v>2813</v>
      </c>
      <c r="C94" s="5" t="s">
        <v>920</v>
      </c>
      <c r="D94" s="5" t="s">
        <v>786</v>
      </c>
      <c r="E94" s="5" t="s">
        <v>921</v>
      </c>
      <c r="F94" s="5" t="s">
        <v>781</v>
      </c>
      <c r="G94" s="5" t="s">
        <v>2827</v>
      </c>
      <c r="H94" s="6" t="s">
        <v>795</v>
      </c>
    </row>
    <row r="95" customFormat="false" ht="23.85" hidden="false" customHeight="false" outlineLevel="0" collapsed="false">
      <c r="A95" s="10" t="s">
        <v>2799</v>
      </c>
      <c r="B95" s="6" t="s">
        <v>2813</v>
      </c>
      <c r="C95" s="5" t="s">
        <v>932</v>
      </c>
      <c r="D95" s="5" t="s">
        <v>786</v>
      </c>
      <c r="E95" s="5" t="s">
        <v>933</v>
      </c>
      <c r="F95" s="5" t="s">
        <v>755</v>
      </c>
      <c r="G95" s="5" t="s">
        <v>2828</v>
      </c>
      <c r="H95" s="6" t="s">
        <v>795</v>
      </c>
    </row>
    <row r="96" customFormat="false" ht="23.85" hidden="false" customHeight="false" outlineLevel="0" collapsed="false">
      <c r="A96" s="10" t="s">
        <v>2799</v>
      </c>
      <c r="B96" s="6" t="s">
        <v>2813</v>
      </c>
      <c r="C96" s="5" t="s">
        <v>948</v>
      </c>
      <c r="D96" s="5" t="s">
        <v>786</v>
      </c>
      <c r="E96" s="5" t="s">
        <v>949</v>
      </c>
      <c r="F96" s="5" t="s">
        <v>760</v>
      </c>
      <c r="G96" s="5" t="s">
        <v>2829</v>
      </c>
      <c r="H96" s="6" t="s">
        <v>795</v>
      </c>
    </row>
    <row r="97" customFormat="false" ht="23.85" hidden="false" customHeight="false" outlineLevel="0" collapsed="false">
      <c r="A97" s="10" t="s">
        <v>2799</v>
      </c>
      <c r="B97" s="6" t="s">
        <v>2813</v>
      </c>
      <c r="C97" s="5" t="s">
        <v>967</v>
      </c>
      <c r="D97" s="5" t="s">
        <v>786</v>
      </c>
      <c r="E97" s="5" t="s">
        <v>968</v>
      </c>
      <c r="F97" s="5" t="s">
        <v>765</v>
      </c>
      <c r="G97" s="5" t="s">
        <v>2830</v>
      </c>
      <c r="H97" s="6" t="s">
        <v>795</v>
      </c>
    </row>
    <row r="98" customFormat="false" ht="79.85" hidden="false" customHeight="false" outlineLevel="0" collapsed="false">
      <c r="A98" s="10" t="s">
        <v>2799</v>
      </c>
      <c r="B98" s="6" t="s">
        <v>2813</v>
      </c>
      <c r="C98" s="5" t="s">
        <v>1052</v>
      </c>
      <c r="D98" s="5" t="s">
        <v>1005</v>
      </c>
      <c r="E98" s="5" t="s">
        <v>1053</v>
      </c>
      <c r="F98" s="5" t="s">
        <v>1053</v>
      </c>
      <c r="G98" s="5" t="s">
        <v>1056</v>
      </c>
      <c r="H98" s="6" t="s">
        <v>1057</v>
      </c>
    </row>
    <row r="99" customFormat="false" ht="57.45" hidden="false" customHeight="false" outlineLevel="0" collapsed="false">
      <c r="A99" s="10" t="s">
        <v>2799</v>
      </c>
      <c r="B99" s="6" t="s">
        <v>2813</v>
      </c>
      <c r="C99" s="5" t="s">
        <v>1108</v>
      </c>
      <c r="D99" s="5" t="s">
        <v>1005</v>
      </c>
      <c r="E99" s="5" t="s">
        <v>1109</v>
      </c>
      <c r="F99" s="5" t="s">
        <v>1109</v>
      </c>
      <c r="G99" s="5" t="s">
        <v>1111</v>
      </c>
      <c r="H99" s="6" t="s">
        <v>1112</v>
      </c>
    </row>
    <row r="100" customFormat="false" ht="102.2" hidden="false" customHeight="false" outlineLevel="0" collapsed="false">
      <c r="A100" s="10" t="s">
        <v>2799</v>
      </c>
      <c r="B100" s="6" t="s">
        <v>2813</v>
      </c>
      <c r="C100" s="5" t="s">
        <v>1151</v>
      </c>
      <c r="D100" s="5" t="s">
        <v>1005</v>
      </c>
      <c r="E100" s="5" t="s">
        <v>1152</v>
      </c>
      <c r="F100" s="5" t="s">
        <v>1152</v>
      </c>
      <c r="G100" s="5" t="s">
        <v>1156</v>
      </c>
      <c r="H100" s="6" t="s">
        <v>1157</v>
      </c>
    </row>
    <row r="101" customFormat="false" ht="68.65" hidden="false" customHeight="false" outlineLevel="0" collapsed="false">
      <c r="A101" s="10" t="s">
        <v>2799</v>
      </c>
      <c r="B101" s="6" t="s">
        <v>2813</v>
      </c>
      <c r="C101" s="5" t="s">
        <v>1158</v>
      </c>
      <c r="D101" s="5" t="s">
        <v>1005</v>
      </c>
      <c r="E101" s="5" t="s">
        <v>1159</v>
      </c>
      <c r="F101" s="5" t="s">
        <v>1159</v>
      </c>
      <c r="G101" s="5" t="s">
        <v>1161</v>
      </c>
      <c r="H101" s="6" t="s">
        <v>1162</v>
      </c>
    </row>
    <row r="102" customFormat="false" ht="79.85" hidden="false" customHeight="false" outlineLevel="0" collapsed="false">
      <c r="A102" s="10" t="s">
        <v>2799</v>
      </c>
      <c r="B102" s="6" t="s">
        <v>2813</v>
      </c>
      <c r="C102" s="5" t="s">
        <v>1168</v>
      </c>
      <c r="D102" s="5" t="s">
        <v>1005</v>
      </c>
      <c r="E102" s="5" t="s">
        <v>1169</v>
      </c>
      <c r="F102" s="5" t="s">
        <v>1169</v>
      </c>
      <c r="G102" s="5" t="s">
        <v>1172</v>
      </c>
      <c r="H102" s="6" t="s">
        <v>1173</v>
      </c>
    </row>
    <row r="103" customFormat="false" ht="46.25" hidden="false" customHeight="false" outlineLevel="0" collapsed="false">
      <c r="A103" s="10" t="s">
        <v>2799</v>
      </c>
      <c r="B103" s="6" t="s">
        <v>2813</v>
      </c>
      <c r="C103" s="5" t="s">
        <v>1185</v>
      </c>
      <c r="D103" s="5" t="s">
        <v>1005</v>
      </c>
      <c r="E103" s="5" t="s">
        <v>1186</v>
      </c>
      <c r="F103" s="5" t="s">
        <v>1186</v>
      </c>
      <c r="G103" s="5" t="s">
        <v>1188</v>
      </c>
      <c r="H103" s="6" t="s">
        <v>1189</v>
      </c>
    </row>
    <row r="104" customFormat="false" ht="35.05" hidden="false" customHeight="false" outlineLevel="0" collapsed="false">
      <c r="A104" s="10" t="s">
        <v>2799</v>
      </c>
      <c r="B104" s="6" t="s">
        <v>2813</v>
      </c>
      <c r="C104" s="5" t="s">
        <v>1251</v>
      </c>
      <c r="D104" s="5" t="s">
        <v>1203</v>
      </c>
      <c r="E104" s="5" t="s">
        <v>1252</v>
      </c>
      <c r="F104" s="5" t="s">
        <v>1207</v>
      </c>
      <c r="G104" s="5" t="s">
        <v>2822</v>
      </c>
      <c r="H104" s="6" t="s">
        <v>1256</v>
      </c>
    </row>
    <row r="105" customFormat="false" ht="35.05" hidden="false" customHeight="false" outlineLevel="0" collapsed="false">
      <c r="A105" s="10" t="s">
        <v>2799</v>
      </c>
      <c r="B105" s="6" t="s">
        <v>2813</v>
      </c>
      <c r="C105" s="5" t="s">
        <v>1347</v>
      </c>
      <c r="D105" s="5" t="s">
        <v>1203</v>
      </c>
      <c r="E105" s="5" t="s">
        <v>1348</v>
      </c>
      <c r="F105" s="5" t="s">
        <v>755</v>
      </c>
      <c r="G105" s="5" t="s">
        <v>2828</v>
      </c>
      <c r="H105" s="6" t="s">
        <v>1350</v>
      </c>
    </row>
    <row r="106" customFormat="false" ht="35.05" hidden="false" customHeight="false" outlineLevel="0" collapsed="false">
      <c r="A106" s="10" t="s">
        <v>2799</v>
      </c>
      <c r="B106" s="6" t="s">
        <v>2813</v>
      </c>
      <c r="C106" s="5" t="s">
        <v>1420</v>
      </c>
      <c r="D106" s="5" t="s">
        <v>1203</v>
      </c>
      <c r="E106" s="5" t="s">
        <v>1421</v>
      </c>
      <c r="F106" s="5" t="s">
        <v>1422</v>
      </c>
      <c r="G106" s="5" t="s">
        <v>2831</v>
      </c>
      <c r="H106" s="6" t="s">
        <v>1424</v>
      </c>
    </row>
    <row r="107" customFormat="false" ht="68.65" hidden="false" customHeight="false" outlineLevel="0" collapsed="false">
      <c r="A107" s="10" t="s">
        <v>2799</v>
      </c>
      <c r="B107" s="6" t="s">
        <v>2832</v>
      </c>
      <c r="C107" s="5" t="s">
        <v>1032</v>
      </c>
      <c r="D107" s="5" t="s">
        <v>1005</v>
      </c>
      <c r="E107" s="5" t="s">
        <v>1033</v>
      </c>
      <c r="F107" s="5" t="s">
        <v>1033</v>
      </c>
      <c r="G107" s="5" t="s">
        <v>1037</v>
      </c>
      <c r="H107" s="6" t="s">
        <v>1038</v>
      </c>
    </row>
    <row r="108" customFormat="false" ht="35.05" hidden="false" customHeight="false" outlineLevel="0" collapsed="false">
      <c r="A108" s="10" t="s">
        <v>2799</v>
      </c>
      <c r="B108" s="6" t="s">
        <v>2832</v>
      </c>
      <c r="C108" s="5" t="s">
        <v>1064</v>
      </c>
      <c r="D108" s="5" t="s">
        <v>1005</v>
      </c>
      <c r="E108" s="5" t="s">
        <v>1065</v>
      </c>
      <c r="F108" s="5" t="s">
        <v>1065</v>
      </c>
      <c r="G108" s="5" t="s">
        <v>1069</v>
      </c>
      <c r="H108" s="6" t="s">
        <v>1070</v>
      </c>
    </row>
    <row r="109" customFormat="false" ht="46.25" hidden="false" customHeight="false" outlineLevel="0" collapsed="false">
      <c r="A109" s="10" t="s">
        <v>2799</v>
      </c>
      <c r="B109" s="6" t="s">
        <v>2832</v>
      </c>
      <c r="C109" s="5" t="s">
        <v>1261</v>
      </c>
      <c r="D109" s="5" t="s">
        <v>1203</v>
      </c>
      <c r="E109" s="5" t="s">
        <v>1262</v>
      </c>
      <c r="F109" s="5" t="s">
        <v>1263</v>
      </c>
      <c r="G109" s="5" t="s">
        <v>2833</v>
      </c>
      <c r="H109" s="6" t="s">
        <v>1264</v>
      </c>
    </row>
    <row r="110" customFormat="false" ht="46.25" hidden="false" customHeight="false" outlineLevel="0" collapsed="false">
      <c r="A110" s="10" t="s">
        <v>2799</v>
      </c>
      <c r="B110" s="6" t="s">
        <v>2832</v>
      </c>
      <c r="C110" s="5" t="s">
        <v>1303</v>
      </c>
      <c r="D110" s="5" t="s">
        <v>1203</v>
      </c>
      <c r="E110" s="5" t="s">
        <v>1304</v>
      </c>
      <c r="F110" s="5" t="s">
        <v>806</v>
      </c>
      <c r="G110" s="5" t="s">
        <v>2759</v>
      </c>
      <c r="H110" s="6" t="s">
        <v>1305</v>
      </c>
    </row>
    <row r="111" customFormat="false" ht="23.85" hidden="false" customHeight="false" outlineLevel="0" collapsed="false">
      <c r="A111" s="10" t="s">
        <v>2799</v>
      </c>
      <c r="B111" s="6" t="s">
        <v>2832</v>
      </c>
      <c r="C111" s="5" t="s">
        <v>1310</v>
      </c>
      <c r="D111" s="5" t="s">
        <v>1203</v>
      </c>
      <c r="E111" s="5" t="s">
        <v>1311</v>
      </c>
      <c r="F111" s="5" t="s">
        <v>683</v>
      </c>
      <c r="G111" s="5" t="s">
        <v>2778</v>
      </c>
      <c r="H111" s="6" t="s">
        <v>1312</v>
      </c>
    </row>
    <row r="112" customFormat="false" ht="23.85" hidden="false" customHeight="false" outlineLevel="0" collapsed="false">
      <c r="A112" s="10" t="s">
        <v>2799</v>
      </c>
      <c r="B112" s="6" t="s">
        <v>2832</v>
      </c>
      <c r="C112" s="5" t="s">
        <v>1313</v>
      </c>
      <c r="D112" s="5" t="s">
        <v>1203</v>
      </c>
      <c r="E112" s="5" t="s">
        <v>1314</v>
      </c>
      <c r="F112" s="5" t="s">
        <v>688</v>
      </c>
      <c r="G112" s="5" t="s">
        <v>2797</v>
      </c>
      <c r="H112" s="6" t="s">
        <v>1315</v>
      </c>
    </row>
    <row r="113" customFormat="false" ht="23.85" hidden="false" customHeight="false" outlineLevel="0" collapsed="false">
      <c r="A113" s="10" t="s">
        <v>2799</v>
      </c>
      <c r="B113" s="6" t="s">
        <v>2832</v>
      </c>
      <c r="C113" s="5" t="s">
        <v>1325</v>
      </c>
      <c r="D113" s="5" t="s">
        <v>1203</v>
      </c>
      <c r="E113" s="5" t="s">
        <v>1326</v>
      </c>
      <c r="F113" s="5" t="s">
        <v>853</v>
      </c>
      <c r="G113" s="5" t="s">
        <v>2798</v>
      </c>
      <c r="H113" s="6" t="s">
        <v>1327</v>
      </c>
    </row>
    <row r="114" customFormat="false" ht="23.85" hidden="false" customHeight="false" outlineLevel="0" collapsed="false">
      <c r="A114" s="10" t="s">
        <v>2799</v>
      </c>
      <c r="B114" s="6" t="s">
        <v>2832</v>
      </c>
      <c r="C114" s="5" t="s">
        <v>1328</v>
      </c>
      <c r="D114" s="5" t="s">
        <v>1203</v>
      </c>
      <c r="E114" s="5" t="s">
        <v>1329</v>
      </c>
      <c r="F114" s="5" t="s">
        <v>841</v>
      </c>
      <c r="G114" s="5" t="s">
        <v>2834</v>
      </c>
      <c r="H114" s="6" t="s">
        <v>1330</v>
      </c>
    </row>
    <row r="115" customFormat="false" ht="46.25" hidden="false" customHeight="false" outlineLevel="0" collapsed="false">
      <c r="A115" s="10" t="s">
        <v>2799</v>
      </c>
      <c r="B115" s="6" t="s">
        <v>2832</v>
      </c>
      <c r="C115" s="5" t="s">
        <v>1510</v>
      </c>
      <c r="D115" s="5" t="s">
        <v>1203</v>
      </c>
      <c r="E115" s="5" t="s">
        <v>1511</v>
      </c>
      <c r="F115" s="5" t="s">
        <v>1513</v>
      </c>
      <c r="G115" s="5" t="s">
        <v>2835</v>
      </c>
      <c r="H115" s="6" t="s">
        <v>1515</v>
      </c>
    </row>
    <row r="116" customFormat="false" ht="23.85" hidden="false" customHeight="false" outlineLevel="0" collapsed="false">
      <c r="A116" s="10" t="s">
        <v>2799</v>
      </c>
      <c r="B116" s="6" t="s">
        <v>2836</v>
      </c>
      <c r="C116" s="5" t="s">
        <v>185</v>
      </c>
      <c r="D116" s="5" t="s">
        <v>92</v>
      </c>
      <c r="E116" s="5" t="s">
        <v>186</v>
      </c>
      <c r="F116" s="6" t="s">
        <v>155</v>
      </c>
      <c r="G116" s="5" t="s">
        <v>2837</v>
      </c>
      <c r="H116" s="6" t="s">
        <v>191</v>
      </c>
    </row>
    <row r="117" customFormat="false" ht="23.85" hidden="false" customHeight="false" outlineLevel="0" collapsed="false">
      <c r="A117" s="10" t="s">
        <v>2799</v>
      </c>
      <c r="B117" s="6" t="s">
        <v>2836</v>
      </c>
      <c r="C117" s="5" t="s">
        <v>192</v>
      </c>
      <c r="D117" s="5" t="s">
        <v>92</v>
      </c>
      <c r="E117" s="5" t="s">
        <v>193</v>
      </c>
      <c r="F117" s="6" t="s">
        <v>195</v>
      </c>
      <c r="G117" s="5" t="s">
        <v>2838</v>
      </c>
      <c r="H117" s="6" t="s">
        <v>200</v>
      </c>
    </row>
    <row r="118" customFormat="false" ht="35.05" hidden="false" customHeight="false" outlineLevel="0" collapsed="false">
      <c r="A118" s="10" t="s">
        <v>2799</v>
      </c>
      <c r="B118" s="6" t="s">
        <v>2836</v>
      </c>
      <c r="C118" s="5" t="s">
        <v>201</v>
      </c>
      <c r="D118" s="5" t="s">
        <v>92</v>
      </c>
      <c r="E118" s="5" t="s">
        <v>202</v>
      </c>
      <c r="F118" s="6" t="s">
        <v>203</v>
      </c>
      <c r="G118" s="5" t="s">
        <v>2839</v>
      </c>
      <c r="H118" s="6" t="s">
        <v>206</v>
      </c>
    </row>
    <row r="119" customFormat="false" ht="46.25" hidden="false" customHeight="false" outlineLevel="0" collapsed="false">
      <c r="A119" s="10" t="s">
        <v>2799</v>
      </c>
      <c r="B119" s="6" t="s">
        <v>2836</v>
      </c>
      <c r="C119" s="5" t="s">
        <v>215</v>
      </c>
      <c r="D119" s="5" t="s">
        <v>92</v>
      </c>
      <c r="E119" s="5" t="s">
        <v>216</v>
      </c>
      <c r="F119" s="5" t="s">
        <v>218</v>
      </c>
      <c r="G119" s="5" t="s">
        <v>2840</v>
      </c>
      <c r="H119" s="6" t="s">
        <v>222</v>
      </c>
    </row>
    <row r="120" customFormat="false" ht="91" hidden="false" customHeight="false" outlineLevel="0" collapsed="false">
      <c r="A120" s="10" t="s">
        <v>2799</v>
      </c>
      <c r="B120" s="6" t="s">
        <v>2836</v>
      </c>
      <c r="C120" s="5" t="s">
        <v>223</v>
      </c>
      <c r="D120" s="5" t="s">
        <v>92</v>
      </c>
      <c r="E120" s="5" t="s">
        <v>224</v>
      </c>
      <c r="F120" s="5" t="s">
        <v>226</v>
      </c>
      <c r="G120" s="5" t="s">
        <v>2841</v>
      </c>
      <c r="H120" s="6" t="s">
        <v>231</v>
      </c>
    </row>
    <row r="121" customFormat="false" ht="35.05" hidden="false" customHeight="false" outlineLevel="0" collapsed="false">
      <c r="A121" s="10" t="s">
        <v>2799</v>
      </c>
      <c r="B121" s="6" t="s">
        <v>2836</v>
      </c>
      <c r="C121" s="5" t="s">
        <v>299</v>
      </c>
      <c r="D121" s="5" t="s">
        <v>92</v>
      </c>
      <c r="E121" s="5" t="s">
        <v>300</v>
      </c>
      <c r="F121" s="5" t="s">
        <v>295</v>
      </c>
      <c r="G121" s="5" t="s">
        <v>2842</v>
      </c>
      <c r="H121" s="6" t="s">
        <v>303</v>
      </c>
    </row>
    <row r="122" customFormat="false" ht="15" hidden="false" customHeight="false" outlineLevel="0" collapsed="false">
      <c r="A122" s="10" t="s">
        <v>2799</v>
      </c>
      <c r="B122" s="6" t="s">
        <v>2836</v>
      </c>
      <c r="C122" s="5" t="s">
        <v>409</v>
      </c>
      <c r="D122" s="5" t="s">
        <v>92</v>
      </c>
      <c r="E122" s="5" t="s">
        <v>410</v>
      </c>
      <c r="F122" s="6" t="s">
        <v>411</v>
      </c>
      <c r="G122" s="5" t="s">
        <v>2843</v>
      </c>
      <c r="H122" s="6" t="s">
        <v>414</v>
      </c>
    </row>
    <row r="123" customFormat="false" ht="15" hidden="false" customHeight="false" outlineLevel="0" collapsed="false">
      <c r="A123" s="10" t="s">
        <v>2799</v>
      </c>
      <c r="B123" s="6" t="s">
        <v>2836</v>
      </c>
      <c r="C123" s="5" t="s">
        <v>415</v>
      </c>
      <c r="D123" s="5" t="s">
        <v>92</v>
      </c>
      <c r="E123" s="5" t="s">
        <v>416</v>
      </c>
      <c r="F123" s="6" t="s">
        <v>411</v>
      </c>
      <c r="G123" s="5" t="s">
        <v>2844</v>
      </c>
      <c r="H123" s="6" t="s">
        <v>418</v>
      </c>
    </row>
    <row r="124" customFormat="false" ht="35.05" hidden="false" customHeight="false" outlineLevel="0" collapsed="false">
      <c r="A124" s="10" t="s">
        <v>2799</v>
      </c>
      <c r="B124" s="6" t="s">
        <v>2836</v>
      </c>
      <c r="C124" s="5" t="s">
        <v>431</v>
      </c>
      <c r="D124" s="5" t="s">
        <v>92</v>
      </c>
      <c r="E124" s="5" t="s">
        <v>432</v>
      </c>
      <c r="F124" s="5" t="s">
        <v>434</v>
      </c>
      <c r="G124" s="5" t="s">
        <v>2845</v>
      </c>
      <c r="H124" s="6" t="s">
        <v>437</v>
      </c>
    </row>
    <row r="125" customFormat="false" ht="23.85" hidden="false" customHeight="false" outlineLevel="0" collapsed="false">
      <c r="A125" s="10" t="s">
        <v>2799</v>
      </c>
      <c r="B125" s="6" t="s">
        <v>2836</v>
      </c>
      <c r="C125" s="5" t="s">
        <v>443</v>
      </c>
      <c r="D125" s="5" t="s">
        <v>92</v>
      </c>
      <c r="E125" s="5" t="s">
        <v>444</v>
      </c>
      <c r="F125" s="6" t="s">
        <v>445</v>
      </c>
      <c r="G125" s="5" t="s">
        <v>2846</v>
      </c>
      <c r="H125" s="6" t="s">
        <v>448</v>
      </c>
    </row>
    <row r="126" customFormat="false" ht="46.25" hidden="false" customHeight="false" outlineLevel="0" collapsed="false">
      <c r="A126" s="10" t="s">
        <v>2799</v>
      </c>
      <c r="B126" s="6" t="s">
        <v>2836</v>
      </c>
      <c r="C126" s="5" t="s">
        <v>586</v>
      </c>
      <c r="D126" s="5" t="s">
        <v>497</v>
      </c>
      <c r="E126" s="5" t="s">
        <v>587</v>
      </c>
      <c r="F126" s="5" t="s">
        <v>588</v>
      </c>
      <c r="G126" s="5" t="s">
        <v>2833</v>
      </c>
      <c r="H126" s="6" t="s">
        <v>591</v>
      </c>
    </row>
    <row r="127" customFormat="false" ht="35.05" hidden="false" customHeight="false" outlineLevel="0" collapsed="false">
      <c r="A127" s="10" t="s">
        <v>2799</v>
      </c>
      <c r="B127" s="6" t="s">
        <v>2836</v>
      </c>
      <c r="C127" s="5" t="s">
        <v>940</v>
      </c>
      <c r="D127" s="5" t="s">
        <v>786</v>
      </c>
      <c r="E127" s="5" t="s">
        <v>941</v>
      </c>
      <c r="F127" s="5" t="s">
        <v>943</v>
      </c>
      <c r="G127" s="5" t="s">
        <v>2822</v>
      </c>
      <c r="H127" s="6" t="s">
        <v>944</v>
      </c>
    </row>
    <row r="128" customFormat="false" ht="46.25" hidden="false" customHeight="false" outlineLevel="0" collapsed="false">
      <c r="A128" s="10" t="s">
        <v>2799</v>
      </c>
      <c r="B128" s="6" t="s">
        <v>2836</v>
      </c>
      <c r="C128" s="5" t="s">
        <v>960</v>
      </c>
      <c r="D128" s="5" t="s">
        <v>786</v>
      </c>
      <c r="E128" s="5" t="s">
        <v>961</v>
      </c>
      <c r="F128" s="5" t="s">
        <v>745</v>
      </c>
      <c r="G128" s="5" t="s">
        <v>963</v>
      </c>
      <c r="H128" s="6" t="s">
        <v>964</v>
      </c>
    </row>
    <row r="129" customFormat="false" ht="35.05" hidden="false" customHeight="false" outlineLevel="0" collapsed="false">
      <c r="A129" s="10" t="s">
        <v>2799</v>
      </c>
      <c r="B129" s="6" t="s">
        <v>2836</v>
      </c>
      <c r="C129" s="5" t="s">
        <v>1339</v>
      </c>
      <c r="D129" s="5" t="s">
        <v>1203</v>
      </c>
      <c r="E129" s="5" t="s">
        <v>1340</v>
      </c>
      <c r="F129" s="5" t="s">
        <v>745</v>
      </c>
      <c r="G129" s="5" t="s">
        <v>2764</v>
      </c>
      <c r="H129" s="6" t="s">
        <v>1343</v>
      </c>
    </row>
    <row r="130" customFormat="false" ht="57.45" hidden="false" customHeight="false" outlineLevel="0" collapsed="false">
      <c r="A130" s="10" t="s">
        <v>2799</v>
      </c>
      <c r="B130" s="6" t="s">
        <v>2847</v>
      </c>
      <c r="C130" s="5" t="s">
        <v>1201</v>
      </c>
      <c r="D130" s="5" t="s">
        <v>1203</v>
      </c>
      <c r="E130" s="5"/>
      <c r="F130" s="5" t="s">
        <v>1207</v>
      </c>
      <c r="G130" s="5" t="s">
        <v>2805</v>
      </c>
      <c r="H130" s="6" t="s">
        <v>1211</v>
      </c>
    </row>
    <row r="131" customFormat="false" ht="46.25" hidden="false" customHeight="false" outlineLevel="0" collapsed="false">
      <c r="A131" s="10" t="s">
        <v>2799</v>
      </c>
      <c r="B131" s="6" t="s">
        <v>2848</v>
      </c>
      <c r="C131" s="5" t="s">
        <v>1242</v>
      </c>
      <c r="D131" s="5" t="s">
        <v>1203</v>
      </c>
      <c r="E131" s="5" t="s">
        <v>1243</v>
      </c>
      <c r="F131" s="5" t="s">
        <v>1244</v>
      </c>
      <c r="G131" s="5" t="s">
        <v>2787</v>
      </c>
      <c r="H131" s="6" t="s">
        <v>1246</v>
      </c>
    </row>
    <row r="132" customFormat="false" ht="35.05" hidden="false" customHeight="false" outlineLevel="0" collapsed="false">
      <c r="A132" s="10" t="s">
        <v>2799</v>
      </c>
      <c r="B132" s="6" t="s">
        <v>2849</v>
      </c>
      <c r="C132" s="5" t="s">
        <v>170</v>
      </c>
      <c r="D132" s="5" t="s">
        <v>92</v>
      </c>
      <c r="E132" s="5" t="s">
        <v>171</v>
      </c>
      <c r="F132" s="5" t="s">
        <v>173</v>
      </c>
      <c r="G132" s="5" t="s">
        <v>2850</v>
      </c>
      <c r="H132" s="6" t="s">
        <v>175</v>
      </c>
    </row>
    <row r="133" customFormat="false" ht="23.85" hidden="false" customHeight="false" outlineLevel="0" collapsed="false">
      <c r="A133" s="10" t="s">
        <v>2799</v>
      </c>
      <c r="B133" s="6" t="s">
        <v>2849</v>
      </c>
      <c r="C133" s="5" t="s">
        <v>438</v>
      </c>
      <c r="D133" s="5" t="s">
        <v>92</v>
      </c>
      <c r="E133" s="5" t="s">
        <v>439</v>
      </c>
      <c r="F133" s="5" t="s">
        <v>434</v>
      </c>
      <c r="G133" s="5" t="s">
        <v>2851</v>
      </c>
      <c r="H133" s="6" t="s">
        <v>442</v>
      </c>
    </row>
    <row r="134" customFormat="false" ht="46.25" hidden="false" customHeight="false" outlineLevel="0" collapsed="false">
      <c r="A134" s="10" t="s">
        <v>2799</v>
      </c>
      <c r="B134" s="6" t="s">
        <v>2849</v>
      </c>
      <c r="C134" s="5" t="s">
        <v>598</v>
      </c>
      <c r="D134" s="5" t="s">
        <v>497</v>
      </c>
      <c r="E134" s="5" t="s">
        <v>599</v>
      </c>
      <c r="F134" s="5" t="s">
        <v>603</v>
      </c>
      <c r="G134" s="5" t="s">
        <v>2852</v>
      </c>
      <c r="H134" s="6" t="s">
        <v>605</v>
      </c>
    </row>
    <row r="135" customFormat="false" ht="46.25" hidden="false" customHeight="false" outlineLevel="0" collapsed="false">
      <c r="A135" s="10" t="s">
        <v>2799</v>
      </c>
      <c r="B135" s="6" t="s">
        <v>2849</v>
      </c>
      <c r="C135" s="5" t="s">
        <v>606</v>
      </c>
      <c r="D135" s="5" t="s">
        <v>497</v>
      </c>
      <c r="E135" s="5" t="s">
        <v>607</v>
      </c>
      <c r="F135" s="5" t="s">
        <v>608</v>
      </c>
      <c r="G135" s="5" t="s">
        <v>2789</v>
      </c>
      <c r="H135" s="6" t="s">
        <v>610</v>
      </c>
    </row>
    <row r="136" customFormat="false" ht="91" hidden="false" customHeight="false" outlineLevel="0" collapsed="false">
      <c r="A136" s="10" t="s">
        <v>2799</v>
      </c>
      <c r="B136" s="6" t="s">
        <v>2849</v>
      </c>
      <c r="C136" s="5" t="s">
        <v>1003</v>
      </c>
      <c r="D136" s="5" t="s">
        <v>1005</v>
      </c>
      <c r="E136" s="5"/>
      <c r="F136" s="5" t="s">
        <v>1009</v>
      </c>
      <c r="G136" s="5" t="s">
        <v>2853</v>
      </c>
      <c r="H136" s="6" t="s">
        <v>1015</v>
      </c>
    </row>
    <row r="137" customFormat="false" ht="46.25" hidden="false" customHeight="false" outlineLevel="0" collapsed="false">
      <c r="A137" s="10" t="s">
        <v>2799</v>
      </c>
      <c r="B137" s="6" t="s">
        <v>2849</v>
      </c>
      <c r="C137" s="5" t="s">
        <v>1131</v>
      </c>
      <c r="D137" s="5" t="s">
        <v>1005</v>
      </c>
      <c r="E137" s="5" t="s">
        <v>1132</v>
      </c>
      <c r="F137" s="5" t="s">
        <v>1132</v>
      </c>
      <c r="G137" s="5" t="s">
        <v>1134</v>
      </c>
      <c r="H137" s="6" t="s">
        <v>1135</v>
      </c>
    </row>
    <row r="138" customFormat="false" ht="35.05" hidden="false" customHeight="false" outlineLevel="0" collapsed="false">
      <c r="A138" s="10" t="s">
        <v>2799</v>
      </c>
      <c r="B138" s="6" t="s">
        <v>2849</v>
      </c>
      <c r="C138" s="5" t="s">
        <v>1441</v>
      </c>
      <c r="D138" s="5" t="s">
        <v>1203</v>
      </c>
      <c r="E138" s="5" t="s">
        <v>1442</v>
      </c>
      <c r="F138" s="5" t="s">
        <v>1443</v>
      </c>
      <c r="G138" s="5" t="s">
        <v>2854</v>
      </c>
      <c r="H138" s="6" t="s">
        <v>1445</v>
      </c>
    </row>
    <row r="139" customFormat="false" ht="57.45" hidden="false" customHeight="false" outlineLevel="0" collapsed="false">
      <c r="A139" s="10" t="s">
        <v>2799</v>
      </c>
      <c r="B139" s="6" t="s">
        <v>2855</v>
      </c>
      <c r="C139" s="5" t="s">
        <v>509</v>
      </c>
      <c r="D139" s="5" t="s">
        <v>497</v>
      </c>
      <c r="E139" s="5" t="s">
        <v>510</v>
      </c>
      <c r="F139" s="5" t="s">
        <v>511</v>
      </c>
      <c r="G139" s="5" t="s">
        <v>2856</v>
      </c>
      <c r="H139" s="6" t="s">
        <v>516</v>
      </c>
    </row>
    <row r="140" customFormat="false" ht="46.25" hidden="false" customHeight="false" outlineLevel="0" collapsed="false">
      <c r="A140" s="10" t="s">
        <v>2799</v>
      </c>
      <c r="B140" s="6" t="s">
        <v>2855</v>
      </c>
      <c r="C140" s="5" t="s">
        <v>517</v>
      </c>
      <c r="D140" s="5" t="s">
        <v>497</v>
      </c>
      <c r="E140" s="5" t="s">
        <v>518</v>
      </c>
      <c r="F140" s="5" t="s">
        <v>519</v>
      </c>
      <c r="G140" s="5" t="s">
        <v>2857</v>
      </c>
      <c r="H140" s="6" t="s">
        <v>522</v>
      </c>
    </row>
    <row r="141" customFormat="false" ht="23.85" hidden="false" customHeight="false" outlineLevel="0" collapsed="false">
      <c r="A141" s="10" t="s">
        <v>2799</v>
      </c>
      <c r="B141" s="6" t="s">
        <v>2858</v>
      </c>
      <c r="C141" s="5" t="s">
        <v>1465</v>
      </c>
      <c r="D141" s="5" t="s">
        <v>1203</v>
      </c>
      <c r="E141" s="5" t="s">
        <v>1466</v>
      </c>
      <c r="F141" s="5" t="s">
        <v>1470</v>
      </c>
      <c r="G141" s="5" t="s">
        <v>2859</v>
      </c>
      <c r="H141" s="6" t="s">
        <v>1472</v>
      </c>
    </row>
    <row r="142" customFormat="false" ht="23.85" hidden="false" customHeight="false" outlineLevel="0" collapsed="false">
      <c r="A142" s="10" t="s">
        <v>2799</v>
      </c>
      <c r="B142" s="6" t="s">
        <v>2858</v>
      </c>
      <c r="C142" s="5" t="s">
        <v>1483</v>
      </c>
      <c r="D142" s="5" t="s">
        <v>1203</v>
      </c>
      <c r="E142" s="5" t="s">
        <v>1484</v>
      </c>
      <c r="F142" s="5" t="s">
        <v>1485</v>
      </c>
      <c r="G142" s="5" t="s">
        <v>2860</v>
      </c>
      <c r="H142" s="6" t="s">
        <v>1487</v>
      </c>
    </row>
    <row r="143" customFormat="false" ht="23.85" hidden="false" customHeight="false" outlineLevel="0" collapsed="false">
      <c r="A143" s="10" t="s">
        <v>2799</v>
      </c>
      <c r="B143" s="6" t="s">
        <v>2858</v>
      </c>
      <c r="C143" s="5" t="s">
        <v>1493</v>
      </c>
      <c r="D143" s="5" t="s">
        <v>1203</v>
      </c>
      <c r="E143" s="5" t="s">
        <v>1494</v>
      </c>
      <c r="F143" s="5" t="s">
        <v>1495</v>
      </c>
      <c r="G143" s="5" t="s">
        <v>2861</v>
      </c>
      <c r="H143" s="6" t="s">
        <v>1497</v>
      </c>
    </row>
    <row r="144" customFormat="false" ht="23.85" hidden="false" customHeight="false" outlineLevel="0" collapsed="false">
      <c r="A144" s="10" t="s">
        <v>2799</v>
      </c>
      <c r="B144" s="6" t="s">
        <v>2858</v>
      </c>
      <c r="C144" s="5" t="s">
        <v>1528</v>
      </c>
      <c r="D144" s="5" t="s">
        <v>1203</v>
      </c>
      <c r="E144" s="5" t="s">
        <v>1529</v>
      </c>
      <c r="F144" s="5" t="s">
        <v>1530</v>
      </c>
      <c r="G144" s="5" t="s">
        <v>2862</v>
      </c>
      <c r="H144" s="6" t="s">
        <v>1532</v>
      </c>
    </row>
    <row r="145" customFormat="false" ht="46.25" hidden="false" customHeight="false" outlineLevel="0" collapsed="false">
      <c r="A145" s="10" t="s">
        <v>2799</v>
      </c>
      <c r="B145" s="6" t="s">
        <v>2863</v>
      </c>
      <c r="C145" s="5" t="s">
        <v>879</v>
      </c>
      <c r="D145" s="5" t="s">
        <v>786</v>
      </c>
      <c r="E145" s="5" t="s">
        <v>880</v>
      </c>
      <c r="F145" s="5" t="s">
        <v>501</v>
      </c>
      <c r="G145" s="5" t="s">
        <v>2857</v>
      </c>
      <c r="H145" s="6" t="s">
        <v>882</v>
      </c>
    </row>
    <row r="146" customFormat="false" ht="46.25" hidden="false" customHeight="false" outlineLevel="0" collapsed="false">
      <c r="A146" s="10" t="s">
        <v>2799</v>
      </c>
      <c r="B146" s="6" t="s">
        <v>2863</v>
      </c>
      <c r="C146" s="5" t="s">
        <v>1505</v>
      </c>
      <c r="D146" s="5" t="s">
        <v>1203</v>
      </c>
      <c r="E146" s="5" t="s">
        <v>1506</v>
      </c>
      <c r="F146" s="5" t="s">
        <v>1507</v>
      </c>
      <c r="G146" s="5" t="s">
        <v>2864</v>
      </c>
      <c r="H146" s="6" t="s">
        <v>1509</v>
      </c>
    </row>
    <row r="147" customFormat="false" ht="35.05" hidden="false" customHeight="false" outlineLevel="0" collapsed="false">
      <c r="A147" s="10" t="s">
        <v>2799</v>
      </c>
      <c r="B147" s="6" t="s">
        <v>2865</v>
      </c>
      <c r="C147" s="5" t="s">
        <v>1223</v>
      </c>
      <c r="D147" s="5" t="s">
        <v>1203</v>
      </c>
      <c r="E147" s="5" t="s">
        <v>1224</v>
      </c>
      <c r="F147" s="5" t="s">
        <v>1225</v>
      </c>
      <c r="G147" s="5" t="s">
        <v>2760</v>
      </c>
      <c r="H147" s="6" t="s">
        <v>1227</v>
      </c>
    </row>
    <row r="148" customFormat="false" ht="46.25" hidden="false" customHeight="false" outlineLevel="0" collapsed="false">
      <c r="A148" s="10" t="s">
        <v>2799</v>
      </c>
      <c r="B148" s="6" t="s">
        <v>2865</v>
      </c>
      <c r="C148" s="5" t="s">
        <v>1398</v>
      </c>
      <c r="D148" s="5" t="s">
        <v>1203</v>
      </c>
      <c r="E148" s="5" t="s">
        <v>1399</v>
      </c>
      <c r="F148" s="5" t="s">
        <v>1403</v>
      </c>
      <c r="G148" s="5" t="s">
        <v>2866</v>
      </c>
      <c r="H148" s="6" t="s">
        <v>1405</v>
      </c>
    </row>
    <row r="149" customFormat="false" ht="35.05" hidden="false" customHeight="false" outlineLevel="0" collapsed="false">
      <c r="A149" s="10" t="s">
        <v>2799</v>
      </c>
      <c r="B149" s="6" t="s">
        <v>2867</v>
      </c>
      <c r="C149" s="5" t="s">
        <v>681</v>
      </c>
      <c r="D149" s="5" t="s">
        <v>497</v>
      </c>
      <c r="E149" s="5" t="s">
        <v>682</v>
      </c>
      <c r="F149" s="5" t="s">
        <v>683</v>
      </c>
      <c r="G149" s="5" t="s">
        <v>2778</v>
      </c>
      <c r="H149" s="6" t="s">
        <v>685</v>
      </c>
    </row>
    <row r="150" customFormat="false" ht="46.25" hidden="false" customHeight="false" outlineLevel="0" collapsed="false">
      <c r="A150" s="10" t="s">
        <v>2799</v>
      </c>
      <c r="B150" s="6" t="s">
        <v>2867</v>
      </c>
      <c r="C150" s="5" t="s">
        <v>708</v>
      </c>
      <c r="D150" s="5" t="s">
        <v>497</v>
      </c>
      <c r="E150" s="5" t="s">
        <v>709</v>
      </c>
      <c r="F150" s="5" t="s">
        <v>710</v>
      </c>
      <c r="G150" s="5" t="s">
        <v>2834</v>
      </c>
      <c r="H150" s="6" t="s">
        <v>712</v>
      </c>
    </row>
    <row r="151" customFormat="false" ht="46.25" hidden="false" customHeight="false" outlineLevel="0" collapsed="false">
      <c r="A151" s="10" t="s">
        <v>2799</v>
      </c>
      <c r="B151" s="6" t="s">
        <v>2867</v>
      </c>
      <c r="C151" s="5" t="s">
        <v>736</v>
      </c>
      <c r="D151" s="5" t="s">
        <v>497</v>
      </c>
      <c r="E151" s="5" t="s">
        <v>737</v>
      </c>
      <c r="F151" s="5" t="s">
        <v>740</v>
      </c>
      <c r="G151" s="5" t="s">
        <v>2868</v>
      </c>
      <c r="H151" s="6" t="s">
        <v>742</v>
      </c>
    </row>
    <row r="152" customFormat="false" ht="46.25" hidden="false" customHeight="false" outlineLevel="0" collapsed="false">
      <c r="A152" s="10" t="s">
        <v>2799</v>
      </c>
      <c r="B152" s="6" t="s">
        <v>2867</v>
      </c>
      <c r="C152" s="5" t="s">
        <v>855</v>
      </c>
      <c r="D152" s="5" t="s">
        <v>786</v>
      </c>
      <c r="E152" s="5" t="s">
        <v>856</v>
      </c>
      <c r="F152" s="5" t="s">
        <v>728</v>
      </c>
      <c r="G152" s="5" t="s">
        <v>2742</v>
      </c>
      <c r="H152" s="6" t="s">
        <v>859</v>
      </c>
    </row>
    <row r="153" customFormat="false" ht="35.05" hidden="false" customHeight="false" outlineLevel="0" collapsed="false">
      <c r="A153" s="10" t="s">
        <v>2799</v>
      </c>
      <c r="B153" s="6" t="s">
        <v>2867</v>
      </c>
      <c r="C153" s="5" t="s">
        <v>860</v>
      </c>
      <c r="D153" s="5" t="s">
        <v>786</v>
      </c>
      <c r="E153" s="5" t="s">
        <v>861</v>
      </c>
      <c r="F153" s="5" t="s">
        <v>733</v>
      </c>
      <c r="G153" s="5" t="s">
        <v>2869</v>
      </c>
      <c r="H153" s="6" t="s">
        <v>862</v>
      </c>
    </row>
    <row r="154" customFormat="false" ht="23.85" hidden="false" customHeight="false" outlineLevel="0" collapsed="false">
      <c r="A154" s="10" t="s">
        <v>2799</v>
      </c>
      <c r="B154" s="6" t="s">
        <v>2867</v>
      </c>
      <c r="C154" s="5" t="s">
        <v>863</v>
      </c>
      <c r="D154" s="5" t="s">
        <v>786</v>
      </c>
      <c r="E154" s="5" t="s">
        <v>864</v>
      </c>
      <c r="F154" s="5" t="s">
        <v>723</v>
      </c>
      <c r="G154" s="5" t="s">
        <v>2760</v>
      </c>
      <c r="H154" s="6" t="s">
        <v>865</v>
      </c>
    </row>
    <row r="155" customFormat="false" ht="68.65" hidden="false" customHeight="false" outlineLevel="0" collapsed="false">
      <c r="A155" s="10" t="s">
        <v>2799</v>
      </c>
      <c r="B155" s="6" t="s">
        <v>2870</v>
      </c>
      <c r="C155" s="5" t="s">
        <v>763</v>
      </c>
      <c r="D155" s="5" t="s">
        <v>497</v>
      </c>
      <c r="E155" s="5" t="s">
        <v>764</v>
      </c>
      <c r="F155" s="5" t="s">
        <v>765</v>
      </c>
      <c r="G155" s="5" t="s">
        <v>2871</v>
      </c>
      <c r="H155" s="6" t="s">
        <v>767</v>
      </c>
    </row>
    <row r="156" customFormat="false" ht="57.45" hidden="false" customHeight="false" outlineLevel="0" collapsed="false">
      <c r="A156" s="10" t="s">
        <v>2799</v>
      </c>
      <c r="B156" s="6" t="s">
        <v>2870</v>
      </c>
      <c r="C156" s="5" t="s">
        <v>773</v>
      </c>
      <c r="D156" s="5" t="s">
        <v>497</v>
      </c>
      <c r="E156" s="5" t="s">
        <v>774</v>
      </c>
      <c r="F156" s="5" t="s">
        <v>776</v>
      </c>
      <c r="G156" s="5" t="s">
        <v>2825</v>
      </c>
      <c r="H156" s="6" t="s">
        <v>778</v>
      </c>
    </row>
    <row r="157" customFormat="false" ht="46.25" hidden="false" customHeight="false" outlineLevel="0" collapsed="false">
      <c r="A157" s="11" t="s">
        <v>2872</v>
      </c>
      <c r="B157" s="6" t="s">
        <v>2873</v>
      </c>
      <c r="C157" s="5" t="s">
        <v>835</v>
      </c>
      <c r="D157" s="5" t="s">
        <v>786</v>
      </c>
      <c r="E157" s="5" t="s">
        <v>836</v>
      </c>
      <c r="F157" s="5" t="s">
        <v>688</v>
      </c>
      <c r="G157" s="5" t="s">
        <v>2797</v>
      </c>
      <c r="H157" s="6" t="s">
        <v>837</v>
      </c>
    </row>
    <row r="158" customFormat="false" ht="57.45" hidden="false" customHeight="false" outlineLevel="0" collapsed="false">
      <c r="A158" s="11" t="s">
        <v>2872</v>
      </c>
      <c r="B158" s="6" t="s">
        <v>2873</v>
      </c>
      <c r="C158" s="5" t="s">
        <v>1025</v>
      </c>
      <c r="D158" s="5" t="s">
        <v>1005</v>
      </c>
      <c r="E158" s="5" t="s">
        <v>1026</v>
      </c>
      <c r="F158" s="5" t="s">
        <v>1026</v>
      </c>
      <c r="G158" s="5" t="s">
        <v>1030</v>
      </c>
      <c r="H158" s="6" t="s">
        <v>1031</v>
      </c>
    </row>
    <row r="159" customFormat="false" ht="79.85" hidden="false" customHeight="false" outlineLevel="0" collapsed="false">
      <c r="A159" s="11" t="s">
        <v>2872</v>
      </c>
      <c r="B159" s="6" t="s">
        <v>2873</v>
      </c>
      <c r="C159" s="5" t="s">
        <v>1076</v>
      </c>
      <c r="D159" s="5" t="s">
        <v>1005</v>
      </c>
      <c r="E159" s="5" t="s">
        <v>1077</v>
      </c>
      <c r="F159" s="5" t="s">
        <v>1077</v>
      </c>
      <c r="G159" s="5" t="s">
        <v>1080</v>
      </c>
      <c r="H159" s="6" t="s">
        <v>1081</v>
      </c>
    </row>
    <row r="160" customFormat="false" ht="46.25" hidden="false" customHeight="false" outlineLevel="0" collapsed="false">
      <c r="A160" s="11" t="s">
        <v>2872</v>
      </c>
      <c r="B160" s="6" t="s">
        <v>2873</v>
      </c>
      <c r="C160" s="5" t="s">
        <v>1238</v>
      </c>
      <c r="D160" s="5" t="s">
        <v>1203</v>
      </c>
      <c r="E160" s="5" t="s">
        <v>1239</v>
      </c>
      <c r="F160" s="5" t="s">
        <v>1240</v>
      </c>
      <c r="G160" s="5" t="s">
        <v>2806</v>
      </c>
      <c r="H160" s="6" t="s">
        <v>1241</v>
      </c>
    </row>
    <row r="161" customFormat="false" ht="23.85" hidden="false" customHeight="false" outlineLevel="0" collapsed="false">
      <c r="A161" s="11" t="s">
        <v>2872</v>
      </c>
      <c r="B161" s="6" t="s">
        <v>2873</v>
      </c>
      <c r="C161" s="5" t="s">
        <v>1271</v>
      </c>
      <c r="D161" s="5" t="s">
        <v>1203</v>
      </c>
      <c r="E161" s="5" t="s">
        <v>1272</v>
      </c>
      <c r="F161" s="5" t="s">
        <v>1273</v>
      </c>
      <c r="G161" s="5" t="s">
        <v>2789</v>
      </c>
      <c r="H161" s="6" t="s">
        <v>1274</v>
      </c>
    </row>
    <row r="162" customFormat="false" ht="23.85" hidden="false" customHeight="false" outlineLevel="0" collapsed="false">
      <c r="A162" s="11" t="s">
        <v>2872</v>
      </c>
      <c r="B162" s="6" t="s">
        <v>2873</v>
      </c>
      <c r="C162" s="5" t="s">
        <v>1320</v>
      </c>
      <c r="D162" s="5" t="s">
        <v>1203</v>
      </c>
      <c r="E162" s="5" t="s">
        <v>1321</v>
      </c>
      <c r="F162" s="5" t="s">
        <v>849</v>
      </c>
      <c r="G162" s="5" t="s">
        <v>2751</v>
      </c>
      <c r="H162" s="6" t="s">
        <v>1324</v>
      </c>
    </row>
    <row r="163" customFormat="false" ht="35.05" hidden="false" customHeight="false" outlineLevel="0" collapsed="false">
      <c r="A163" s="11" t="s">
        <v>2872</v>
      </c>
      <c r="B163" s="6" t="s">
        <v>2873</v>
      </c>
      <c r="C163" s="5" t="s">
        <v>1331</v>
      </c>
      <c r="D163" s="5" t="s">
        <v>1203</v>
      </c>
      <c r="E163" s="5" t="s">
        <v>1332</v>
      </c>
      <c r="F163" s="5" t="s">
        <v>845</v>
      </c>
      <c r="G163" s="5" t="s">
        <v>2823</v>
      </c>
      <c r="H163" s="6" t="s">
        <v>1333</v>
      </c>
    </row>
    <row r="164" customFormat="false" ht="35.05" hidden="false" customHeight="false" outlineLevel="0" collapsed="false">
      <c r="A164" s="11" t="s">
        <v>2872</v>
      </c>
      <c r="B164" s="6" t="s">
        <v>2874</v>
      </c>
      <c r="C164" s="5" t="s">
        <v>108</v>
      </c>
      <c r="D164" s="5" t="s">
        <v>92</v>
      </c>
      <c r="E164" s="5" t="s">
        <v>109</v>
      </c>
      <c r="F164" s="5" t="s">
        <v>99</v>
      </c>
      <c r="G164" s="5" t="s">
        <v>2875</v>
      </c>
      <c r="H164" s="6" t="s">
        <v>115</v>
      </c>
    </row>
    <row r="165" customFormat="false" ht="15" hidden="false" customHeight="false" outlineLevel="0" collapsed="false">
      <c r="A165" s="11" t="s">
        <v>2872</v>
      </c>
      <c r="B165" s="6" t="s">
        <v>2874</v>
      </c>
      <c r="C165" s="5" t="s">
        <v>124</v>
      </c>
      <c r="D165" s="5" t="s">
        <v>92</v>
      </c>
      <c r="E165" s="5" t="s">
        <v>125</v>
      </c>
      <c r="F165" s="6" t="s">
        <v>119</v>
      </c>
      <c r="G165" s="5" t="s">
        <v>2876</v>
      </c>
      <c r="H165" s="6" t="s">
        <v>128</v>
      </c>
    </row>
    <row r="166" customFormat="false" ht="46.25" hidden="false" customHeight="false" outlineLevel="0" collapsed="false">
      <c r="A166" s="11" t="s">
        <v>2872</v>
      </c>
      <c r="B166" s="6" t="s">
        <v>2874</v>
      </c>
      <c r="C166" s="5" t="s">
        <v>129</v>
      </c>
      <c r="D166" s="5" t="s">
        <v>92</v>
      </c>
      <c r="E166" s="5" t="s">
        <v>130</v>
      </c>
      <c r="F166" s="5" t="s">
        <v>132</v>
      </c>
      <c r="G166" s="5" t="s">
        <v>2877</v>
      </c>
      <c r="H166" s="6" t="s">
        <v>135</v>
      </c>
    </row>
    <row r="167" customFormat="false" ht="46.25" hidden="false" customHeight="false" outlineLevel="0" collapsed="false">
      <c r="A167" s="11" t="s">
        <v>2872</v>
      </c>
      <c r="B167" s="6" t="s">
        <v>2874</v>
      </c>
      <c r="C167" s="5" t="s">
        <v>141</v>
      </c>
      <c r="D167" s="5" t="s">
        <v>92</v>
      </c>
      <c r="E167" s="5" t="s">
        <v>142</v>
      </c>
      <c r="F167" s="5" t="s">
        <v>144</v>
      </c>
      <c r="G167" s="5" t="s">
        <v>2878</v>
      </c>
      <c r="H167" s="6" t="s">
        <v>135</v>
      </c>
    </row>
    <row r="168" customFormat="false" ht="15" hidden="false" customHeight="false" outlineLevel="0" collapsed="false">
      <c r="A168" s="11" t="s">
        <v>2872</v>
      </c>
      <c r="B168" s="6" t="s">
        <v>2874</v>
      </c>
      <c r="C168" s="5" t="s">
        <v>147</v>
      </c>
      <c r="D168" s="5" t="s">
        <v>92</v>
      </c>
      <c r="E168" s="5" t="s">
        <v>148</v>
      </c>
      <c r="F168" s="6" t="s">
        <v>149</v>
      </c>
      <c r="G168" s="5" t="s">
        <v>2879</v>
      </c>
      <c r="H168" s="6" t="s">
        <v>151</v>
      </c>
    </row>
    <row r="169" customFormat="false" ht="23.85" hidden="false" customHeight="false" outlineLevel="0" collapsed="false">
      <c r="A169" s="11" t="s">
        <v>2872</v>
      </c>
      <c r="B169" s="6" t="s">
        <v>2874</v>
      </c>
      <c r="C169" s="5" t="s">
        <v>159</v>
      </c>
      <c r="D169" s="5" t="s">
        <v>92</v>
      </c>
      <c r="E169" s="5" t="s">
        <v>160</v>
      </c>
      <c r="F169" s="6" t="s">
        <v>155</v>
      </c>
      <c r="G169" s="5" t="s">
        <v>2880</v>
      </c>
      <c r="H169" s="6" t="s">
        <v>162</v>
      </c>
    </row>
    <row r="170" customFormat="false" ht="23.85" hidden="false" customHeight="false" outlineLevel="0" collapsed="false">
      <c r="A170" s="11" t="s">
        <v>2872</v>
      </c>
      <c r="B170" s="6" t="s">
        <v>2874</v>
      </c>
      <c r="C170" s="5" t="s">
        <v>176</v>
      </c>
      <c r="D170" s="5" t="s">
        <v>92</v>
      </c>
      <c r="E170" s="5" t="s">
        <v>177</v>
      </c>
      <c r="F170" s="6" t="s">
        <v>155</v>
      </c>
      <c r="G170" s="5" t="s">
        <v>2881</v>
      </c>
      <c r="H170" s="6" t="s">
        <v>184</v>
      </c>
    </row>
    <row r="171" customFormat="false" ht="15" hidden="false" customHeight="false" outlineLevel="0" collapsed="false">
      <c r="A171" s="11" t="s">
        <v>2872</v>
      </c>
      <c r="B171" s="6" t="s">
        <v>2874</v>
      </c>
      <c r="C171" s="5" t="s">
        <v>238</v>
      </c>
      <c r="D171" s="5" t="s">
        <v>92</v>
      </c>
      <c r="E171" s="5" t="s">
        <v>239</v>
      </c>
      <c r="F171" s="5" t="s">
        <v>244</v>
      </c>
      <c r="G171" s="5" t="s">
        <v>2882</v>
      </c>
      <c r="H171" s="6" t="s">
        <v>247</v>
      </c>
    </row>
    <row r="172" customFormat="false" ht="15" hidden="false" customHeight="false" outlineLevel="0" collapsed="false">
      <c r="A172" s="11" t="s">
        <v>2872</v>
      </c>
      <c r="B172" s="6" t="s">
        <v>2874</v>
      </c>
      <c r="C172" s="5" t="s">
        <v>248</v>
      </c>
      <c r="D172" s="5" t="s">
        <v>92</v>
      </c>
      <c r="E172" s="5" t="s">
        <v>249</v>
      </c>
      <c r="F172" s="6" t="s">
        <v>254</v>
      </c>
      <c r="G172" s="5" t="s">
        <v>2883</v>
      </c>
      <c r="H172" s="6" t="s">
        <v>256</v>
      </c>
    </row>
    <row r="173" customFormat="false" ht="15" hidden="false" customHeight="false" outlineLevel="0" collapsed="false">
      <c r="A173" s="11" t="s">
        <v>2872</v>
      </c>
      <c r="B173" s="6" t="s">
        <v>2874</v>
      </c>
      <c r="C173" s="5" t="s">
        <v>257</v>
      </c>
      <c r="D173" s="5" t="s">
        <v>92</v>
      </c>
      <c r="E173" s="5" t="s">
        <v>258</v>
      </c>
      <c r="F173" s="5" t="s">
        <v>260</v>
      </c>
      <c r="G173" s="5" t="s">
        <v>2884</v>
      </c>
      <c r="H173" s="6" t="s">
        <v>247</v>
      </c>
    </row>
    <row r="174" customFormat="false" ht="15" hidden="false" customHeight="false" outlineLevel="0" collapsed="false">
      <c r="A174" s="11" t="s">
        <v>2872</v>
      </c>
      <c r="B174" s="6" t="s">
        <v>2874</v>
      </c>
      <c r="C174" s="5" t="s">
        <v>268</v>
      </c>
      <c r="D174" s="5" t="s">
        <v>92</v>
      </c>
      <c r="E174" s="5" t="s">
        <v>269</v>
      </c>
      <c r="F174" s="5" t="s">
        <v>272</v>
      </c>
      <c r="G174" s="5" t="s">
        <v>2885</v>
      </c>
      <c r="H174" s="6" t="s">
        <v>247</v>
      </c>
    </row>
    <row r="175" customFormat="false" ht="15" hidden="false" customHeight="false" outlineLevel="0" collapsed="false">
      <c r="A175" s="11" t="s">
        <v>2872</v>
      </c>
      <c r="B175" s="6" t="s">
        <v>2874</v>
      </c>
      <c r="C175" s="5" t="s">
        <v>280</v>
      </c>
      <c r="D175" s="5" t="s">
        <v>92</v>
      </c>
      <c r="E175" s="5" t="s">
        <v>281</v>
      </c>
      <c r="F175" s="5" t="s">
        <v>283</v>
      </c>
      <c r="G175" s="5" t="s">
        <v>2886</v>
      </c>
      <c r="H175" s="6" t="s">
        <v>247</v>
      </c>
    </row>
    <row r="176" customFormat="false" ht="15" hidden="false" customHeight="false" outlineLevel="0" collapsed="false">
      <c r="A176" s="11" t="s">
        <v>2872</v>
      </c>
      <c r="B176" s="6" t="s">
        <v>2874</v>
      </c>
      <c r="C176" s="5" t="s">
        <v>286</v>
      </c>
      <c r="D176" s="5" t="s">
        <v>92</v>
      </c>
      <c r="E176" s="5" t="s">
        <v>287</v>
      </c>
      <c r="F176" s="5" t="s">
        <v>289</v>
      </c>
      <c r="G176" s="5" t="s">
        <v>2887</v>
      </c>
      <c r="H176" s="6" t="s">
        <v>291</v>
      </c>
    </row>
    <row r="177" customFormat="false" ht="23.85" hidden="false" customHeight="false" outlineLevel="0" collapsed="false">
      <c r="A177" s="11" t="s">
        <v>2872</v>
      </c>
      <c r="B177" s="6" t="s">
        <v>2874</v>
      </c>
      <c r="C177" s="5" t="s">
        <v>292</v>
      </c>
      <c r="D177" s="5" t="s">
        <v>92</v>
      </c>
      <c r="E177" s="5" t="s">
        <v>293</v>
      </c>
      <c r="F177" s="5" t="s">
        <v>295</v>
      </c>
      <c r="G177" s="5" t="s">
        <v>2888</v>
      </c>
      <c r="H177" s="6" t="s">
        <v>298</v>
      </c>
    </row>
    <row r="178" customFormat="false" ht="15" hidden="false" customHeight="false" outlineLevel="0" collapsed="false">
      <c r="A178" s="11" t="s">
        <v>2872</v>
      </c>
      <c r="B178" s="6" t="s">
        <v>2874</v>
      </c>
      <c r="C178" s="5" t="s">
        <v>304</v>
      </c>
      <c r="D178" s="5" t="s">
        <v>92</v>
      </c>
      <c r="E178" s="5" t="s">
        <v>305</v>
      </c>
      <c r="F178" s="5" t="s">
        <v>307</v>
      </c>
      <c r="G178" s="5" t="s">
        <v>2889</v>
      </c>
      <c r="H178" s="6" t="s">
        <v>310</v>
      </c>
    </row>
    <row r="179" customFormat="false" ht="23.85" hidden="false" customHeight="false" outlineLevel="0" collapsed="false">
      <c r="A179" s="11" t="s">
        <v>2872</v>
      </c>
      <c r="B179" s="6" t="s">
        <v>2874</v>
      </c>
      <c r="C179" s="5" t="s">
        <v>311</v>
      </c>
      <c r="D179" s="5" t="s">
        <v>92</v>
      </c>
      <c r="E179" s="5" t="s">
        <v>312</v>
      </c>
      <c r="F179" s="6" t="s">
        <v>313</v>
      </c>
      <c r="G179" s="5" t="s">
        <v>2890</v>
      </c>
      <c r="H179" s="6" t="s">
        <v>315</v>
      </c>
    </row>
    <row r="180" customFormat="false" ht="15" hidden="false" customHeight="false" outlineLevel="0" collapsed="false">
      <c r="A180" s="11" t="s">
        <v>2872</v>
      </c>
      <c r="B180" s="6" t="s">
        <v>2874</v>
      </c>
      <c r="C180" s="5" t="s">
        <v>316</v>
      </c>
      <c r="D180" s="5" t="s">
        <v>92</v>
      </c>
      <c r="E180" s="5" t="s">
        <v>317</v>
      </c>
      <c r="F180" s="5" t="s">
        <v>319</v>
      </c>
      <c r="G180" s="5" t="s">
        <v>2891</v>
      </c>
      <c r="H180" s="6" t="s">
        <v>322</v>
      </c>
    </row>
    <row r="181" customFormat="false" ht="15" hidden="false" customHeight="false" outlineLevel="0" collapsed="false">
      <c r="A181" s="11" t="s">
        <v>2872</v>
      </c>
      <c r="B181" s="6" t="s">
        <v>2874</v>
      </c>
      <c r="C181" s="5" t="s">
        <v>323</v>
      </c>
      <c r="D181" s="5" t="s">
        <v>92</v>
      </c>
      <c r="E181" s="5" t="s">
        <v>324</v>
      </c>
      <c r="F181" s="6" t="s">
        <v>325</v>
      </c>
      <c r="G181" s="5" t="s">
        <v>2892</v>
      </c>
      <c r="H181" s="6" t="s">
        <v>256</v>
      </c>
    </row>
    <row r="182" customFormat="false" ht="15" hidden="false" customHeight="false" outlineLevel="0" collapsed="false">
      <c r="A182" s="11" t="s">
        <v>2872</v>
      </c>
      <c r="B182" s="6" t="s">
        <v>2874</v>
      </c>
      <c r="C182" s="5" t="s">
        <v>327</v>
      </c>
      <c r="D182" s="5" t="s">
        <v>92</v>
      </c>
      <c r="E182" s="5" t="s">
        <v>328</v>
      </c>
      <c r="F182" s="5" t="s">
        <v>330</v>
      </c>
      <c r="G182" s="5" t="s">
        <v>2893</v>
      </c>
      <c r="H182" s="6" t="s">
        <v>322</v>
      </c>
    </row>
    <row r="183" customFormat="false" ht="15" hidden="false" customHeight="false" outlineLevel="0" collapsed="false">
      <c r="A183" s="11" t="s">
        <v>2872</v>
      </c>
      <c r="B183" s="6" t="s">
        <v>2874</v>
      </c>
      <c r="C183" s="5" t="s">
        <v>338</v>
      </c>
      <c r="D183" s="5" t="s">
        <v>92</v>
      </c>
      <c r="E183" s="5" t="s">
        <v>339</v>
      </c>
      <c r="F183" s="5" t="s">
        <v>341</v>
      </c>
      <c r="G183" s="5" t="s">
        <v>2894</v>
      </c>
      <c r="H183" s="6" t="s">
        <v>344</v>
      </c>
    </row>
    <row r="184" customFormat="false" ht="15" hidden="false" customHeight="false" outlineLevel="0" collapsed="false">
      <c r="A184" s="11" t="s">
        <v>2872</v>
      </c>
      <c r="B184" s="6" t="s">
        <v>2874</v>
      </c>
      <c r="C184" s="5" t="s">
        <v>350</v>
      </c>
      <c r="D184" s="5" t="s">
        <v>92</v>
      </c>
      <c r="E184" s="5" t="s">
        <v>351</v>
      </c>
      <c r="F184" s="5" t="s">
        <v>353</v>
      </c>
      <c r="G184" s="5" t="s">
        <v>2895</v>
      </c>
      <c r="H184" s="6" t="s">
        <v>247</v>
      </c>
    </row>
    <row r="185" customFormat="false" ht="23.85" hidden="false" customHeight="false" outlineLevel="0" collapsed="false">
      <c r="A185" s="11" t="s">
        <v>2872</v>
      </c>
      <c r="B185" s="6" t="s">
        <v>2874</v>
      </c>
      <c r="C185" s="5" t="s">
        <v>356</v>
      </c>
      <c r="D185" s="5" t="s">
        <v>92</v>
      </c>
      <c r="E185" s="5" t="s">
        <v>357</v>
      </c>
      <c r="F185" s="5" t="s">
        <v>359</v>
      </c>
      <c r="G185" s="5" t="s">
        <v>2896</v>
      </c>
      <c r="H185" s="6" t="s">
        <v>361</v>
      </c>
    </row>
    <row r="186" customFormat="false" ht="35.05" hidden="false" customHeight="false" outlineLevel="0" collapsed="false">
      <c r="A186" s="11" t="s">
        <v>2872</v>
      </c>
      <c r="B186" s="6" t="s">
        <v>2874</v>
      </c>
      <c r="C186" s="5" t="s">
        <v>362</v>
      </c>
      <c r="D186" s="5" t="s">
        <v>92</v>
      </c>
      <c r="E186" s="5" t="s">
        <v>363</v>
      </c>
      <c r="F186" s="5" t="s">
        <v>365</v>
      </c>
      <c r="G186" s="5" t="s">
        <v>2897</v>
      </c>
      <c r="H186" s="6" t="s">
        <v>368</v>
      </c>
    </row>
    <row r="187" customFormat="false" ht="15" hidden="false" customHeight="false" outlineLevel="0" collapsed="false">
      <c r="A187" s="11" t="s">
        <v>2872</v>
      </c>
      <c r="B187" s="6" t="s">
        <v>2874</v>
      </c>
      <c r="C187" s="5" t="s">
        <v>374</v>
      </c>
      <c r="D187" s="5" t="s">
        <v>92</v>
      </c>
      <c r="E187" s="5" t="s">
        <v>375</v>
      </c>
      <c r="F187" s="5" t="s">
        <v>377</v>
      </c>
      <c r="G187" s="5" t="s">
        <v>2898</v>
      </c>
      <c r="H187" s="6" t="s">
        <v>247</v>
      </c>
    </row>
    <row r="188" customFormat="false" ht="15" hidden="false" customHeight="false" outlineLevel="0" collapsed="false">
      <c r="A188" s="11" t="s">
        <v>2872</v>
      </c>
      <c r="B188" s="6" t="s">
        <v>2874</v>
      </c>
      <c r="C188" s="5" t="s">
        <v>380</v>
      </c>
      <c r="D188" s="5" t="s">
        <v>92</v>
      </c>
      <c r="E188" s="5" t="s">
        <v>381</v>
      </c>
      <c r="F188" s="5" t="s">
        <v>383</v>
      </c>
      <c r="G188" s="5" t="s">
        <v>2899</v>
      </c>
      <c r="H188" s="6" t="s">
        <v>385</v>
      </c>
    </row>
    <row r="189" customFormat="false" ht="15" hidden="false" customHeight="false" outlineLevel="0" collapsed="false">
      <c r="A189" s="11" t="s">
        <v>2872</v>
      </c>
      <c r="B189" s="6" t="s">
        <v>2874</v>
      </c>
      <c r="C189" s="5" t="s">
        <v>386</v>
      </c>
      <c r="D189" s="5" t="s">
        <v>92</v>
      </c>
      <c r="E189" s="5" t="s">
        <v>387</v>
      </c>
      <c r="F189" s="6" t="s">
        <v>388</v>
      </c>
      <c r="G189" s="5" t="s">
        <v>2900</v>
      </c>
      <c r="H189" s="6" t="s">
        <v>391</v>
      </c>
    </row>
    <row r="190" customFormat="false" ht="15" hidden="false" customHeight="false" outlineLevel="0" collapsed="false">
      <c r="A190" s="11" t="s">
        <v>2872</v>
      </c>
      <c r="B190" s="6" t="s">
        <v>2874</v>
      </c>
      <c r="C190" s="5" t="s">
        <v>392</v>
      </c>
      <c r="D190" s="5" t="s">
        <v>92</v>
      </c>
      <c r="E190" s="5" t="s">
        <v>393</v>
      </c>
      <c r="F190" s="5" t="s">
        <v>395</v>
      </c>
      <c r="G190" s="5" t="s">
        <v>2901</v>
      </c>
      <c r="H190" s="6" t="s">
        <v>291</v>
      </c>
    </row>
    <row r="191" customFormat="false" ht="15" hidden="false" customHeight="false" outlineLevel="0" collapsed="false">
      <c r="A191" s="11" t="s">
        <v>2872</v>
      </c>
      <c r="B191" s="6" t="s">
        <v>2874</v>
      </c>
      <c r="C191" s="5" t="s">
        <v>397</v>
      </c>
      <c r="D191" s="5" t="s">
        <v>92</v>
      </c>
      <c r="E191" s="5" t="s">
        <v>398</v>
      </c>
      <c r="F191" s="5" t="s">
        <v>400</v>
      </c>
      <c r="G191" s="5" t="s">
        <v>2902</v>
      </c>
      <c r="H191" s="6" t="s">
        <v>403</v>
      </c>
    </row>
    <row r="192" customFormat="false" ht="15" hidden="false" customHeight="false" outlineLevel="0" collapsed="false">
      <c r="A192" s="11" t="s">
        <v>2872</v>
      </c>
      <c r="B192" s="6" t="s">
        <v>2874</v>
      </c>
      <c r="C192" s="5" t="s">
        <v>419</v>
      </c>
      <c r="D192" s="5" t="s">
        <v>92</v>
      </c>
      <c r="E192" s="5" t="s">
        <v>420</v>
      </c>
      <c r="F192" s="5" t="s">
        <v>422</v>
      </c>
      <c r="G192" s="5" t="s">
        <v>2903</v>
      </c>
      <c r="H192" s="6" t="s">
        <v>247</v>
      </c>
    </row>
    <row r="193" customFormat="false" ht="23.85" hidden="false" customHeight="false" outlineLevel="0" collapsed="false">
      <c r="A193" s="11" t="s">
        <v>2872</v>
      </c>
      <c r="B193" s="6" t="s">
        <v>2874</v>
      </c>
      <c r="C193" s="5" t="s">
        <v>425</v>
      </c>
      <c r="D193" s="5" t="s">
        <v>92</v>
      </c>
      <c r="E193" s="5" t="s">
        <v>426</v>
      </c>
      <c r="F193" s="5" t="s">
        <v>428</v>
      </c>
      <c r="G193" s="5" t="s">
        <v>2904</v>
      </c>
      <c r="H193" s="6" t="s">
        <v>430</v>
      </c>
    </row>
    <row r="194" customFormat="false" ht="15" hidden="false" customHeight="false" outlineLevel="0" collapsed="false">
      <c r="A194" s="11" t="s">
        <v>2872</v>
      </c>
      <c r="B194" s="6" t="s">
        <v>2874</v>
      </c>
      <c r="C194" s="5" t="s">
        <v>449</v>
      </c>
      <c r="D194" s="5" t="s">
        <v>92</v>
      </c>
      <c r="E194" s="5" t="s">
        <v>450</v>
      </c>
      <c r="F194" s="6" t="s">
        <v>445</v>
      </c>
      <c r="G194" s="5" t="s">
        <v>2905</v>
      </c>
      <c r="H194" s="6" t="s">
        <v>452</v>
      </c>
    </row>
    <row r="195" customFormat="false" ht="15" hidden="false" customHeight="false" outlineLevel="0" collapsed="false">
      <c r="A195" s="11" t="s">
        <v>2872</v>
      </c>
      <c r="B195" s="6" t="s">
        <v>2874</v>
      </c>
      <c r="C195" s="5" t="s">
        <v>453</v>
      </c>
      <c r="D195" s="5" t="s">
        <v>92</v>
      </c>
      <c r="E195" s="5" t="s">
        <v>454</v>
      </c>
      <c r="F195" s="5" t="s">
        <v>456</v>
      </c>
      <c r="G195" s="5" t="s">
        <v>2906</v>
      </c>
      <c r="H195" s="6" t="s">
        <v>247</v>
      </c>
    </row>
    <row r="196" customFormat="false" ht="15" hidden="false" customHeight="false" outlineLevel="0" collapsed="false">
      <c r="A196" s="11" t="s">
        <v>2872</v>
      </c>
      <c r="B196" s="6" t="s">
        <v>2874</v>
      </c>
      <c r="C196" s="5" t="s">
        <v>459</v>
      </c>
      <c r="D196" s="5" t="s">
        <v>92</v>
      </c>
      <c r="E196" s="5" t="s">
        <v>460</v>
      </c>
      <c r="F196" s="6" t="s">
        <v>461</v>
      </c>
      <c r="G196" s="5" t="s">
        <v>2907</v>
      </c>
      <c r="H196" s="6" t="s">
        <v>256</v>
      </c>
    </row>
    <row r="197" customFormat="false" ht="15" hidden="false" customHeight="false" outlineLevel="0" collapsed="false">
      <c r="A197" s="11" t="s">
        <v>2872</v>
      </c>
      <c r="B197" s="6" t="s">
        <v>2874</v>
      </c>
      <c r="C197" s="5" t="s">
        <v>463</v>
      </c>
      <c r="D197" s="5" t="s">
        <v>92</v>
      </c>
      <c r="E197" s="5" t="s">
        <v>464</v>
      </c>
      <c r="F197" s="6" t="s">
        <v>465</v>
      </c>
      <c r="G197" s="5" t="s">
        <v>2908</v>
      </c>
      <c r="H197" s="6" t="s">
        <v>391</v>
      </c>
    </row>
    <row r="198" customFormat="false" ht="15" hidden="false" customHeight="false" outlineLevel="0" collapsed="false">
      <c r="A198" s="11" t="s">
        <v>2872</v>
      </c>
      <c r="B198" s="6" t="s">
        <v>2874</v>
      </c>
      <c r="C198" s="5" t="s">
        <v>473</v>
      </c>
      <c r="D198" s="5" t="s">
        <v>92</v>
      </c>
      <c r="E198" s="5" t="s">
        <v>474</v>
      </c>
      <c r="F198" s="5" t="s">
        <v>476</v>
      </c>
      <c r="G198" s="5" t="s">
        <v>2909</v>
      </c>
      <c r="H198" s="6" t="s">
        <v>247</v>
      </c>
    </row>
    <row r="199" customFormat="false" ht="79.85" hidden="false" customHeight="false" outlineLevel="0" collapsed="false">
      <c r="A199" s="11" t="s">
        <v>2872</v>
      </c>
      <c r="B199" s="6" t="s">
        <v>2874</v>
      </c>
      <c r="C199" s="5" t="s">
        <v>495</v>
      </c>
      <c r="D199" s="5" t="s">
        <v>497</v>
      </c>
      <c r="E199" s="5" t="s">
        <v>498</v>
      </c>
      <c r="F199" s="5" t="s">
        <v>501</v>
      </c>
      <c r="G199" s="5" t="s">
        <v>2738</v>
      </c>
      <c r="H199" s="6" t="s">
        <v>508</v>
      </c>
    </row>
    <row r="200" customFormat="false" ht="57.45" hidden="false" customHeight="false" outlineLevel="0" collapsed="false">
      <c r="A200" s="11" t="s">
        <v>2872</v>
      </c>
      <c r="B200" s="6" t="s">
        <v>2874</v>
      </c>
      <c r="C200" s="5" t="s">
        <v>523</v>
      </c>
      <c r="D200" s="5" t="s">
        <v>497</v>
      </c>
      <c r="E200" s="5" t="s">
        <v>524</v>
      </c>
      <c r="F200" s="5" t="s">
        <v>527</v>
      </c>
      <c r="G200" s="5" t="s">
        <v>2772</v>
      </c>
      <c r="H200" s="6" t="s">
        <v>532</v>
      </c>
    </row>
    <row r="201" customFormat="false" ht="57.45" hidden="false" customHeight="false" outlineLevel="0" collapsed="false">
      <c r="A201" s="11" t="s">
        <v>2872</v>
      </c>
      <c r="B201" s="6" t="s">
        <v>2874</v>
      </c>
      <c r="C201" s="5" t="s">
        <v>533</v>
      </c>
      <c r="D201" s="5" t="s">
        <v>497</v>
      </c>
      <c r="E201" s="5" t="s">
        <v>534</v>
      </c>
      <c r="F201" s="5" t="s">
        <v>535</v>
      </c>
      <c r="G201" s="5" t="s">
        <v>2803</v>
      </c>
      <c r="H201" s="6" t="s">
        <v>539</v>
      </c>
    </row>
    <row r="202" customFormat="false" ht="46.25" hidden="false" customHeight="false" outlineLevel="0" collapsed="false">
      <c r="A202" s="11" t="s">
        <v>2872</v>
      </c>
      <c r="B202" s="6" t="s">
        <v>2874</v>
      </c>
      <c r="C202" s="5" t="s">
        <v>553</v>
      </c>
      <c r="D202" s="5" t="s">
        <v>497</v>
      </c>
      <c r="E202" s="5" t="s">
        <v>554</v>
      </c>
      <c r="F202" s="5" t="s">
        <v>557</v>
      </c>
      <c r="G202" s="5" t="s">
        <v>2805</v>
      </c>
      <c r="H202" s="6" t="s">
        <v>559</v>
      </c>
    </row>
    <row r="203" customFormat="false" ht="35.05" hidden="false" customHeight="false" outlineLevel="0" collapsed="false">
      <c r="A203" s="11" t="s">
        <v>2872</v>
      </c>
      <c r="B203" s="6" t="s">
        <v>2874</v>
      </c>
      <c r="C203" s="5" t="s">
        <v>560</v>
      </c>
      <c r="D203" s="5" t="s">
        <v>497</v>
      </c>
      <c r="E203" s="5" t="s">
        <v>561</v>
      </c>
      <c r="F203" s="5" t="s">
        <v>562</v>
      </c>
      <c r="G203" s="5" t="s">
        <v>2773</v>
      </c>
      <c r="H203" s="6" t="s">
        <v>564</v>
      </c>
    </row>
    <row r="204" customFormat="false" ht="35.05" hidden="false" customHeight="false" outlineLevel="0" collapsed="false">
      <c r="A204" s="11" t="s">
        <v>2872</v>
      </c>
      <c r="B204" s="6" t="s">
        <v>2874</v>
      </c>
      <c r="C204" s="5" t="s">
        <v>565</v>
      </c>
      <c r="D204" s="5" t="s">
        <v>497</v>
      </c>
      <c r="E204" s="5" t="s">
        <v>566</v>
      </c>
      <c r="F204" s="5" t="s">
        <v>569</v>
      </c>
      <c r="G204" s="5" t="s">
        <v>2910</v>
      </c>
      <c r="H204" s="6" t="s">
        <v>571</v>
      </c>
    </row>
    <row r="205" customFormat="false" ht="35.05" hidden="false" customHeight="false" outlineLevel="0" collapsed="false">
      <c r="A205" s="11" t="s">
        <v>2872</v>
      </c>
      <c r="B205" s="6" t="s">
        <v>2874</v>
      </c>
      <c r="C205" s="5" t="s">
        <v>631</v>
      </c>
      <c r="D205" s="5" t="s">
        <v>497</v>
      </c>
      <c r="E205" s="5" t="s">
        <v>632</v>
      </c>
      <c r="F205" s="5" t="s">
        <v>633</v>
      </c>
      <c r="G205" s="5" t="s">
        <v>2774</v>
      </c>
      <c r="H205" s="6" t="s">
        <v>636</v>
      </c>
    </row>
    <row r="206" customFormat="false" ht="35.05" hidden="false" customHeight="false" outlineLevel="0" collapsed="false">
      <c r="A206" s="11" t="s">
        <v>2872</v>
      </c>
      <c r="B206" s="6" t="s">
        <v>2874</v>
      </c>
      <c r="C206" s="5" t="s">
        <v>650</v>
      </c>
      <c r="D206" s="5" t="s">
        <v>497</v>
      </c>
      <c r="E206" s="5" t="s">
        <v>651</v>
      </c>
      <c r="F206" s="5" t="s">
        <v>655</v>
      </c>
      <c r="G206" s="5" t="s">
        <v>2911</v>
      </c>
      <c r="H206" s="6" t="s">
        <v>658</v>
      </c>
    </row>
    <row r="207" customFormat="false" ht="57.45" hidden="false" customHeight="false" outlineLevel="0" collapsed="false">
      <c r="A207" s="11" t="s">
        <v>2872</v>
      </c>
      <c r="B207" s="6" t="s">
        <v>2874</v>
      </c>
      <c r="C207" s="5" t="s">
        <v>731</v>
      </c>
      <c r="D207" s="5" t="s">
        <v>497</v>
      </c>
      <c r="E207" s="5" t="s">
        <v>732</v>
      </c>
      <c r="F207" s="5" t="s">
        <v>733</v>
      </c>
      <c r="G207" s="5" t="s">
        <v>2869</v>
      </c>
      <c r="H207" s="6" t="s">
        <v>735</v>
      </c>
    </row>
    <row r="208" customFormat="false" ht="46.25" hidden="false" customHeight="false" outlineLevel="0" collapsed="false">
      <c r="A208" s="11" t="s">
        <v>2872</v>
      </c>
      <c r="B208" s="6" t="s">
        <v>2874</v>
      </c>
      <c r="C208" s="5" t="s">
        <v>748</v>
      </c>
      <c r="D208" s="5" t="s">
        <v>497</v>
      </c>
      <c r="E208" s="5" t="s">
        <v>749</v>
      </c>
      <c r="F208" s="5" t="s">
        <v>750</v>
      </c>
      <c r="G208" s="5" t="s">
        <v>2763</v>
      </c>
      <c r="H208" s="6" t="s">
        <v>752</v>
      </c>
    </row>
    <row r="209" customFormat="false" ht="46.25" hidden="false" customHeight="false" outlineLevel="0" collapsed="false">
      <c r="A209" s="11" t="s">
        <v>2872</v>
      </c>
      <c r="B209" s="6" t="s">
        <v>2874</v>
      </c>
      <c r="C209" s="5" t="s">
        <v>753</v>
      </c>
      <c r="D209" s="5" t="s">
        <v>497</v>
      </c>
      <c r="E209" s="5" t="s">
        <v>754</v>
      </c>
      <c r="F209" s="5" t="s">
        <v>755</v>
      </c>
      <c r="G209" s="5" t="s">
        <v>2912</v>
      </c>
      <c r="H209" s="6" t="s">
        <v>757</v>
      </c>
    </row>
    <row r="210" customFormat="false" ht="57.45" hidden="false" customHeight="false" outlineLevel="0" collapsed="false">
      <c r="A210" s="11" t="s">
        <v>2872</v>
      </c>
      <c r="B210" s="6" t="s">
        <v>2874</v>
      </c>
      <c r="C210" s="5" t="s">
        <v>758</v>
      </c>
      <c r="D210" s="5" t="s">
        <v>497</v>
      </c>
      <c r="E210" s="5" t="s">
        <v>759</v>
      </c>
      <c r="F210" s="5" t="s">
        <v>760</v>
      </c>
      <c r="G210" s="5" t="s">
        <v>2829</v>
      </c>
      <c r="H210" s="6" t="s">
        <v>762</v>
      </c>
    </row>
    <row r="211" customFormat="false" ht="46.25" hidden="false" customHeight="false" outlineLevel="0" collapsed="false">
      <c r="A211" s="11" t="s">
        <v>2872</v>
      </c>
      <c r="B211" s="6" t="s">
        <v>2874</v>
      </c>
      <c r="C211" s="5" t="s">
        <v>779</v>
      </c>
      <c r="D211" s="5" t="s">
        <v>497</v>
      </c>
      <c r="E211" s="5" t="s">
        <v>780</v>
      </c>
      <c r="F211" s="5" t="s">
        <v>781</v>
      </c>
      <c r="G211" s="5" t="s">
        <v>2827</v>
      </c>
      <c r="H211" s="6" t="s">
        <v>783</v>
      </c>
    </row>
    <row r="212" customFormat="false" ht="15" hidden="false" customHeight="false" outlineLevel="0" collapsed="false">
      <c r="A212" s="11" t="s">
        <v>2872</v>
      </c>
      <c r="B212" s="6" t="s">
        <v>2874</v>
      </c>
      <c r="C212" s="5" t="s">
        <v>819</v>
      </c>
      <c r="D212" s="5" t="s">
        <v>786</v>
      </c>
      <c r="E212" s="5" t="s">
        <v>820</v>
      </c>
      <c r="F212" s="5" t="s">
        <v>822</v>
      </c>
      <c r="G212" s="5" t="s">
        <v>2911</v>
      </c>
      <c r="H212" s="6" t="s">
        <v>823</v>
      </c>
    </row>
    <row r="213" customFormat="false" ht="15" hidden="false" customHeight="false" outlineLevel="0" collapsed="false">
      <c r="A213" s="11" t="s">
        <v>2872</v>
      </c>
      <c r="B213" s="6" t="s">
        <v>2874</v>
      </c>
      <c r="C213" s="5" t="s">
        <v>824</v>
      </c>
      <c r="D213" s="5" t="s">
        <v>786</v>
      </c>
      <c r="E213" s="5" t="s">
        <v>825</v>
      </c>
      <c r="F213" s="5" t="s">
        <v>826</v>
      </c>
      <c r="G213" s="5" t="s">
        <v>2771</v>
      </c>
      <c r="H213" s="6" t="s">
        <v>827</v>
      </c>
    </row>
    <row r="214" customFormat="false" ht="15" hidden="false" customHeight="false" outlineLevel="0" collapsed="false">
      <c r="A214" s="11" t="s">
        <v>2872</v>
      </c>
      <c r="B214" s="6" t="s">
        <v>2874</v>
      </c>
      <c r="C214" s="5" t="s">
        <v>828</v>
      </c>
      <c r="D214" s="5" t="s">
        <v>786</v>
      </c>
      <c r="E214" s="5" t="s">
        <v>829</v>
      </c>
      <c r="F214" s="5" t="s">
        <v>693</v>
      </c>
      <c r="G214" s="5" t="s">
        <v>2793</v>
      </c>
      <c r="H214" s="6" t="s">
        <v>830</v>
      </c>
    </row>
    <row r="215" customFormat="false" ht="23.85" hidden="false" customHeight="false" outlineLevel="0" collapsed="false">
      <c r="A215" s="11" t="s">
        <v>2872</v>
      </c>
      <c r="B215" s="6" t="s">
        <v>2874</v>
      </c>
      <c r="C215" s="5" t="s">
        <v>838</v>
      </c>
      <c r="D215" s="5" t="s">
        <v>786</v>
      </c>
      <c r="E215" s="5" t="s">
        <v>839</v>
      </c>
      <c r="F215" s="5" t="s">
        <v>841</v>
      </c>
      <c r="G215" s="5" t="s">
        <v>2834</v>
      </c>
      <c r="H215" s="6" t="s">
        <v>842</v>
      </c>
    </row>
    <row r="216" customFormat="false" ht="23.85" hidden="false" customHeight="false" outlineLevel="0" collapsed="false">
      <c r="A216" s="11" t="s">
        <v>2872</v>
      </c>
      <c r="B216" s="6" t="s">
        <v>2874</v>
      </c>
      <c r="C216" s="5" t="s">
        <v>843</v>
      </c>
      <c r="D216" s="5" t="s">
        <v>786</v>
      </c>
      <c r="E216" s="5" t="s">
        <v>844</v>
      </c>
      <c r="F216" s="5" t="s">
        <v>845</v>
      </c>
      <c r="G216" s="5" t="s">
        <v>2823</v>
      </c>
      <c r="H216" s="6" t="s">
        <v>846</v>
      </c>
    </row>
    <row r="217" customFormat="false" ht="15" hidden="false" customHeight="false" outlineLevel="0" collapsed="false">
      <c r="A217" s="11" t="s">
        <v>2872</v>
      </c>
      <c r="B217" s="6" t="s">
        <v>2874</v>
      </c>
      <c r="C217" s="5" t="s">
        <v>847</v>
      </c>
      <c r="D217" s="5" t="s">
        <v>786</v>
      </c>
      <c r="E217" s="5" t="s">
        <v>848</v>
      </c>
      <c r="F217" s="5" t="s">
        <v>849</v>
      </c>
      <c r="G217" s="5" t="s">
        <v>2751</v>
      </c>
      <c r="H217" s="6" t="s">
        <v>850</v>
      </c>
    </row>
    <row r="218" customFormat="false" ht="15" hidden="false" customHeight="false" outlineLevel="0" collapsed="false">
      <c r="A218" s="11" t="s">
        <v>2872</v>
      </c>
      <c r="B218" s="6" t="s">
        <v>2874</v>
      </c>
      <c r="C218" s="5" t="s">
        <v>851</v>
      </c>
      <c r="D218" s="5" t="s">
        <v>786</v>
      </c>
      <c r="E218" s="5" t="s">
        <v>852</v>
      </c>
      <c r="F218" s="5" t="s">
        <v>853</v>
      </c>
      <c r="G218" s="5" t="s">
        <v>2798</v>
      </c>
      <c r="H218" s="6" t="s">
        <v>854</v>
      </c>
    </row>
    <row r="219" customFormat="false" ht="15" hidden="false" customHeight="false" outlineLevel="0" collapsed="false">
      <c r="A219" s="11" t="s">
        <v>2872</v>
      </c>
      <c r="B219" s="6" t="s">
        <v>2874</v>
      </c>
      <c r="C219" s="5" t="s">
        <v>886</v>
      </c>
      <c r="D219" s="5" t="s">
        <v>786</v>
      </c>
      <c r="E219" s="5" t="s">
        <v>887</v>
      </c>
      <c r="F219" s="5" t="s">
        <v>889</v>
      </c>
      <c r="G219" s="5" t="s">
        <v>2803</v>
      </c>
      <c r="H219" s="6" t="s">
        <v>823</v>
      </c>
    </row>
    <row r="220" customFormat="false" ht="23.85" hidden="false" customHeight="false" outlineLevel="0" collapsed="false">
      <c r="A220" s="11" t="s">
        <v>2872</v>
      </c>
      <c r="B220" s="6" t="s">
        <v>2874</v>
      </c>
      <c r="C220" s="5" t="s">
        <v>890</v>
      </c>
      <c r="D220" s="5" t="s">
        <v>786</v>
      </c>
      <c r="E220" s="5" t="s">
        <v>891</v>
      </c>
      <c r="F220" s="5" t="s">
        <v>889</v>
      </c>
      <c r="G220" s="5" t="s">
        <v>2803</v>
      </c>
      <c r="H220" s="6" t="s">
        <v>892</v>
      </c>
    </row>
    <row r="221" customFormat="false" ht="15" hidden="false" customHeight="false" outlineLevel="0" collapsed="false">
      <c r="A221" s="11" t="s">
        <v>2872</v>
      </c>
      <c r="B221" s="6" t="s">
        <v>2874</v>
      </c>
      <c r="C221" s="5" t="s">
        <v>907</v>
      </c>
      <c r="D221" s="5" t="s">
        <v>786</v>
      </c>
      <c r="E221" s="5" t="s">
        <v>908</v>
      </c>
      <c r="F221" s="5" t="s">
        <v>909</v>
      </c>
      <c r="G221" s="5" t="s">
        <v>2806</v>
      </c>
      <c r="H221" s="6" t="s">
        <v>823</v>
      </c>
    </row>
    <row r="222" customFormat="false" ht="15" hidden="false" customHeight="false" outlineLevel="0" collapsed="false">
      <c r="A222" s="11" t="s">
        <v>2872</v>
      </c>
      <c r="B222" s="6" t="s">
        <v>2874</v>
      </c>
      <c r="C222" s="5" t="s">
        <v>935</v>
      </c>
      <c r="D222" s="5" t="s">
        <v>786</v>
      </c>
      <c r="E222" s="5" t="s">
        <v>936</v>
      </c>
      <c r="F222" s="5" t="s">
        <v>588</v>
      </c>
      <c r="G222" s="5" t="s">
        <v>2833</v>
      </c>
      <c r="H222" s="6" t="s">
        <v>939</v>
      </c>
    </row>
    <row r="223" customFormat="false" ht="35.05" hidden="false" customHeight="false" outlineLevel="0" collapsed="false">
      <c r="A223" s="11" t="s">
        <v>2872</v>
      </c>
      <c r="B223" s="6" t="s">
        <v>2874</v>
      </c>
      <c r="C223" s="5" t="s">
        <v>951</v>
      </c>
      <c r="D223" s="5" t="s">
        <v>786</v>
      </c>
      <c r="E223" s="5" t="s">
        <v>952</v>
      </c>
      <c r="F223" s="5" t="s">
        <v>954</v>
      </c>
      <c r="G223" s="5" t="s">
        <v>2852</v>
      </c>
      <c r="H223" s="6" t="s">
        <v>955</v>
      </c>
    </row>
    <row r="224" customFormat="false" ht="23.85" hidden="false" customHeight="false" outlineLevel="0" collapsed="false">
      <c r="A224" s="11" t="s">
        <v>2872</v>
      </c>
      <c r="B224" s="6" t="s">
        <v>2874</v>
      </c>
      <c r="C224" s="5" t="s">
        <v>980</v>
      </c>
      <c r="D224" s="5" t="s">
        <v>786</v>
      </c>
      <c r="E224" s="5" t="s">
        <v>981</v>
      </c>
      <c r="F224" s="5" t="s">
        <v>628</v>
      </c>
      <c r="G224" s="5" t="s">
        <v>2750</v>
      </c>
      <c r="H224" s="6" t="s">
        <v>982</v>
      </c>
    </row>
    <row r="225" customFormat="false" ht="46.25" hidden="false" customHeight="false" outlineLevel="0" collapsed="false">
      <c r="A225" s="11" t="s">
        <v>2872</v>
      </c>
      <c r="B225" s="6" t="s">
        <v>2874</v>
      </c>
      <c r="C225" s="5" t="s">
        <v>1119</v>
      </c>
      <c r="D225" s="5" t="s">
        <v>1005</v>
      </c>
      <c r="E225" s="5" t="s">
        <v>1120</v>
      </c>
      <c r="F225" s="5" t="s">
        <v>1120</v>
      </c>
      <c r="G225" s="5" t="s">
        <v>1123</v>
      </c>
      <c r="H225" s="6" t="s">
        <v>1124</v>
      </c>
    </row>
    <row r="226" customFormat="false" ht="46.25" hidden="false" customHeight="false" outlineLevel="0" collapsed="false">
      <c r="A226" s="11" t="s">
        <v>2872</v>
      </c>
      <c r="B226" s="6" t="s">
        <v>2874</v>
      </c>
      <c r="C226" s="5" t="s">
        <v>1125</v>
      </c>
      <c r="D226" s="5" t="s">
        <v>1005</v>
      </c>
      <c r="E226" s="5" t="s">
        <v>1126</v>
      </c>
      <c r="F226" s="5" t="s">
        <v>1126</v>
      </c>
      <c r="G226" s="5" t="s">
        <v>1129</v>
      </c>
      <c r="H226" s="6" t="s">
        <v>1130</v>
      </c>
    </row>
    <row r="227" customFormat="false" ht="35.05" hidden="false" customHeight="false" outlineLevel="0" collapsed="false">
      <c r="A227" s="11" t="s">
        <v>2872</v>
      </c>
      <c r="B227" s="6" t="s">
        <v>2874</v>
      </c>
      <c r="C227" s="5" t="s">
        <v>1136</v>
      </c>
      <c r="D227" s="5" t="s">
        <v>1005</v>
      </c>
      <c r="E227" s="5" t="s">
        <v>1137</v>
      </c>
      <c r="F227" s="5" t="s">
        <v>1137</v>
      </c>
      <c r="G227" s="5" t="s">
        <v>1139</v>
      </c>
      <c r="H227" s="6" t="s">
        <v>1140</v>
      </c>
    </row>
    <row r="228" customFormat="false" ht="57.45" hidden="false" customHeight="false" outlineLevel="0" collapsed="false">
      <c r="A228" s="11" t="s">
        <v>2872</v>
      </c>
      <c r="B228" s="6" t="s">
        <v>2874</v>
      </c>
      <c r="C228" s="5" t="s">
        <v>1141</v>
      </c>
      <c r="D228" s="5" t="s">
        <v>1005</v>
      </c>
      <c r="E228" s="5" t="s">
        <v>1142</v>
      </c>
      <c r="F228" s="5" t="s">
        <v>1142</v>
      </c>
      <c r="G228" s="5" t="s">
        <v>1144</v>
      </c>
      <c r="H228" s="6" t="s">
        <v>1145</v>
      </c>
    </row>
    <row r="229" customFormat="false" ht="46.25" hidden="false" customHeight="false" outlineLevel="0" collapsed="false">
      <c r="A229" s="11" t="s">
        <v>2872</v>
      </c>
      <c r="B229" s="6" t="s">
        <v>2874</v>
      </c>
      <c r="C229" s="5" t="s">
        <v>1146</v>
      </c>
      <c r="D229" s="5" t="s">
        <v>1005</v>
      </c>
      <c r="E229" s="5" t="s">
        <v>1147</v>
      </c>
      <c r="F229" s="5" t="s">
        <v>1147</v>
      </c>
      <c r="G229" s="5" t="s">
        <v>1149</v>
      </c>
      <c r="H229" s="6" t="s">
        <v>1150</v>
      </c>
    </row>
    <row r="230" customFormat="false" ht="46.25" hidden="false" customHeight="false" outlineLevel="0" collapsed="false">
      <c r="A230" s="11" t="s">
        <v>2872</v>
      </c>
      <c r="B230" s="6" t="s">
        <v>2874</v>
      </c>
      <c r="C230" s="5" t="s">
        <v>1163</v>
      </c>
      <c r="D230" s="5" t="s">
        <v>1005</v>
      </c>
      <c r="E230" s="5" t="s">
        <v>1164</v>
      </c>
      <c r="F230" s="5" t="s">
        <v>1164</v>
      </c>
      <c r="G230" s="5" t="s">
        <v>1166</v>
      </c>
      <c r="H230" s="6" t="s">
        <v>1167</v>
      </c>
    </row>
    <row r="231" customFormat="false" ht="91" hidden="false" customHeight="false" outlineLevel="0" collapsed="false">
      <c r="A231" s="11" t="s">
        <v>2872</v>
      </c>
      <c r="B231" s="6" t="s">
        <v>2874</v>
      </c>
      <c r="C231" s="5" t="s">
        <v>1196</v>
      </c>
      <c r="D231" s="5" t="s">
        <v>1005</v>
      </c>
      <c r="E231" s="5" t="s">
        <v>1197</v>
      </c>
      <c r="F231" s="5" t="s">
        <v>1197</v>
      </c>
      <c r="G231" s="5" t="s">
        <v>1199</v>
      </c>
      <c r="H231" s="6" t="s">
        <v>1200</v>
      </c>
    </row>
    <row r="232" customFormat="false" ht="23.85" hidden="false" customHeight="false" outlineLevel="0" collapsed="false">
      <c r="A232" s="11" t="s">
        <v>2872</v>
      </c>
      <c r="B232" s="6" t="s">
        <v>2874</v>
      </c>
      <c r="C232" s="5" t="s">
        <v>1212</v>
      </c>
      <c r="D232" s="5" t="s">
        <v>1203</v>
      </c>
      <c r="E232" s="5" t="s">
        <v>1213</v>
      </c>
      <c r="F232" s="5" t="s">
        <v>1215</v>
      </c>
      <c r="G232" s="5" t="s">
        <v>2869</v>
      </c>
      <c r="H232" s="6" t="s">
        <v>1218</v>
      </c>
    </row>
    <row r="233" customFormat="false" ht="15" hidden="false" customHeight="false" outlineLevel="0" collapsed="false">
      <c r="A233" s="11" t="s">
        <v>2872</v>
      </c>
      <c r="B233" s="6" t="s">
        <v>2874</v>
      </c>
      <c r="C233" s="5" t="s">
        <v>1257</v>
      </c>
      <c r="D233" s="5" t="s">
        <v>1203</v>
      </c>
      <c r="E233" s="5" t="s">
        <v>1258</v>
      </c>
      <c r="F233" s="5" t="s">
        <v>1259</v>
      </c>
      <c r="G233" s="5" t="s">
        <v>2744</v>
      </c>
      <c r="H233" s="6" t="s">
        <v>1260</v>
      </c>
    </row>
    <row r="234" customFormat="false" ht="23.85" hidden="false" customHeight="false" outlineLevel="0" collapsed="false">
      <c r="A234" s="11" t="s">
        <v>2872</v>
      </c>
      <c r="B234" s="6" t="s">
        <v>2874</v>
      </c>
      <c r="C234" s="5" t="s">
        <v>1275</v>
      </c>
      <c r="D234" s="5" t="s">
        <v>1203</v>
      </c>
      <c r="E234" s="5" t="s">
        <v>1276</v>
      </c>
      <c r="F234" s="5" t="s">
        <v>1278</v>
      </c>
      <c r="G234" s="5" t="s">
        <v>2741</v>
      </c>
      <c r="H234" s="6" t="s">
        <v>1279</v>
      </c>
    </row>
    <row r="235" customFormat="false" ht="23.85" hidden="false" customHeight="false" outlineLevel="0" collapsed="false">
      <c r="A235" s="11" t="s">
        <v>2872</v>
      </c>
      <c r="B235" s="6" t="s">
        <v>2874</v>
      </c>
      <c r="C235" s="5" t="s">
        <v>1294</v>
      </c>
      <c r="D235" s="5" t="s">
        <v>1203</v>
      </c>
      <c r="E235" s="5" t="s">
        <v>1295</v>
      </c>
      <c r="F235" s="5" t="s">
        <v>1296</v>
      </c>
      <c r="G235" s="5" t="s">
        <v>2750</v>
      </c>
      <c r="H235" s="6" t="s">
        <v>1297</v>
      </c>
    </row>
    <row r="236" customFormat="false" ht="35.05" hidden="false" customHeight="false" outlineLevel="0" collapsed="false">
      <c r="A236" s="11" t="s">
        <v>2872</v>
      </c>
      <c r="B236" s="6" t="s">
        <v>2874</v>
      </c>
      <c r="C236" s="5" t="s">
        <v>1298</v>
      </c>
      <c r="D236" s="5" t="s">
        <v>1203</v>
      </c>
      <c r="E236" s="5" t="s">
        <v>1299</v>
      </c>
      <c r="F236" s="5" t="s">
        <v>822</v>
      </c>
      <c r="G236" s="5" t="s">
        <v>2911</v>
      </c>
      <c r="H236" s="6" t="s">
        <v>1302</v>
      </c>
    </row>
    <row r="237" customFormat="false" ht="23.85" hidden="false" customHeight="false" outlineLevel="0" collapsed="false">
      <c r="A237" s="11" t="s">
        <v>2872</v>
      </c>
      <c r="B237" s="6" t="s">
        <v>2874</v>
      </c>
      <c r="C237" s="5" t="s">
        <v>1306</v>
      </c>
      <c r="D237" s="5" t="s">
        <v>1203</v>
      </c>
      <c r="E237" s="5" t="s">
        <v>1307</v>
      </c>
      <c r="F237" s="5" t="s">
        <v>826</v>
      </c>
      <c r="G237" s="5" t="s">
        <v>2771</v>
      </c>
      <c r="H237" s="6" t="s">
        <v>1309</v>
      </c>
    </row>
    <row r="238" customFormat="false" ht="23.85" hidden="false" customHeight="false" outlineLevel="0" collapsed="false">
      <c r="A238" s="11" t="s">
        <v>2872</v>
      </c>
      <c r="B238" s="6" t="s">
        <v>2874</v>
      </c>
      <c r="C238" s="5" t="s">
        <v>1316</v>
      </c>
      <c r="D238" s="5" t="s">
        <v>1203</v>
      </c>
      <c r="E238" s="5" t="s">
        <v>1317</v>
      </c>
      <c r="F238" s="5" t="s">
        <v>693</v>
      </c>
      <c r="G238" s="5" t="s">
        <v>2793</v>
      </c>
      <c r="H238" s="6" t="s">
        <v>1319</v>
      </c>
    </row>
    <row r="239" customFormat="false" ht="35.05" hidden="false" customHeight="false" outlineLevel="0" collapsed="false">
      <c r="A239" s="11" t="s">
        <v>2872</v>
      </c>
      <c r="B239" s="6" t="s">
        <v>2874</v>
      </c>
      <c r="C239" s="5" t="s">
        <v>1344</v>
      </c>
      <c r="D239" s="5" t="s">
        <v>1203</v>
      </c>
      <c r="E239" s="5" t="s">
        <v>1345</v>
      </c>
      <c r="F239" s="5" t="s">
        <v>750</v>
      </c>
      <c r="G239" s="5" t="s">
        <v>2763</v>
      </c>
      <c r="H239" s="6" t="s">
        <v>1346</v>
      </c>
    </row>
    <row r="240" customFormat="false" ht="15" hidden="false" customHeight="false" outlineLevel="0" collapsed="false">
      <c r="A240" s="11" t="s">
        <v>2872</v>
      </c>
      <c r="B240" s="6" t="s">
        <v>2874</v>
      </c>
      <c r="C240" s="5" t="s">
        <v>1354</v>
      </c>
      <c r="D240" s="5" t="s">
        <v>1203</v>
      </c>
      <c r="E240" s="5" t="s">
        <v>1355</v>
      </c>
      <c r="F240" s="5" t="s">
        <v>765</v>
      </c>
      <c r="G240" s="5" t="s">
        <v>2830</v>
      </c>
      <c r="H240" s="6" t="s">
        <v>1356</v>
      </c>
    </row>
    <row r="241" customFormat="false" ht="15" hidden="false" customHeight="false" outlineLevel="0" collapsed="false">
      <c r="A241" s="11" t="s">
        <v>2872</v>
      </c>
      <c r="B241" s="6" t="s">
        <v>2874</v>
      </c>
      <c r="C241" s="5" t="s">
        <v>1357</v>
      </c>
      <c r="D241" s="5" t="s">
        <v>1203</v>
      </c>
      <c r="E241" s="5" t="s">
        <v>1358</v>
      </c>
      <c r="F241" s="5" t="s">
        <v>770</v>
      </c>
      <c r="G241" s="5" t="s">
        <v>2824</v>
      </c>
      <c r="H241" s="6" t="s">
        <v>1356</v>
      </c>
    </row>
    <row r="242" customFormat="false" ht="15" hidden="false" customHeight="false" outlineLevel="0" collapsed="false">
      <c r="A242" s="11" t="s">
        <v>2872</v>
      </c>
      <c r="B242" s="6" t="s">
        <v>2874</v>
      </c>
      <c r="C242" s="5" t="s">
        <v>1359</v>
      </c>
      <c r="D242" s="5" t="s">
        <v>1203</v>
      </c>
      <c r="E242" s="5" t="s">
        <v>1360</v>
      </c>
      <c r="F242" s="5" t="s">
        <v>776</v>
      </c>
      <c r="G242" s="5" t="s">
        <v>2825</v>
      </c>
      <c r="H242" s="6" t="s">
        <v>1361</v>
      </c>
    </row>
    <row r="243" customFormat="false" ht="15" hidden="false" customHeight="false" outlineLevel="0" collapsed="false">
      <c r="A243" s="11" t="s">
        <v>2872</v>
      </c>
      <c r="B243" s="6" t="s">
        <v>2874</v>
      </c>
      <c r="C243" s="5" t="s">
        <v>1365</v>
      </c>
      <c r="D243" s="5" t="s">
        <v>1203</v>
      </c>
      <c r="E243" s="5" t="s">
        <v>1366</v>
      </c>
      <c r="F243" s="5" t="s">
        <v>1368</v>
      </c>
      <c r="G243" s="5" t="s">
        <v>2913</v>
      </c>
      <c r="H243" s="6" t="s">
        <v>1356</v>
      </c>
    </row>
    <row r="244" customFormat="false" ht="15" hidden="false" customHeight="false" outlineLevel="0" collapsed="false">
      <c r="A244" s="11" t="s">
        <v>2872</v>
      </c>
      <c r="B244" s="6" t="s">
        <v>2874</v>
      </c>
      <c r="C244" s="5" t="s">
        <v>1370</v>
      </c>
      <c r="D244" s="5" t="s">
        <v>1203</v>
      </c>
      <c r="E244" s="5" t="s">
        <v>1371</v>
      </c>
      <c r="F244" s="5" t="s">
        <v>1372</v>
      </c>
      <c r="G244" s="5" t="s">
        <v>2914</v>
      </c>
      <c r="H244" s="6" t="s">
        <v>1356</v>
      </c>
    </row>
    <row r="245" customFormat="false" ht="23.85" hidden="false" customHeight="false" outlineLevel="0" collapsed="false">
      <c r="A245" s="11" t="s">
        <v>2872</v>
      </c>
      <c r="B245" s="6" t="s">
        <v>2874</v>
      </c>
      <c r="C245" s="5" t="s">
        <v>1374</v>
      </c>
      <c r="D245" s="5" t="s">
        <v>1203</v>
      </c>
      <c r="E245" s="5" t="s">
        <v>1375</v>
      </c>
      <c r="F245" s="5" t="s">
        <v>1026</v>
      </c>
      <c r="G245" s="5" t="s">
        <v>2915</v>
      </c>
      <c r="H245" s="6" t="s">
        <v>1377</v>
      </c>
    </row>
    <row r="246" customFormat="false" ht="15" hidden="false" customHeight="false" outlineLevel="0" collapsed="false">
      <c r="A246" s="11" t="s">
        <v>2872</v>
      </c>
      <c r="B246" s="6" t="s">
        <v>2874</v>
      </c>
      <c r="C246" s="5" t="s">
        <v>1382</v>
      </c>
      <c r="D246" s="5" t="s">
        <v>1203</v>
      </c>
      <c r="E246" s="5" t="s">
        <v>1383</v>
      </c>
      <c r="F246" s="5" t="s">
        <v>1047</v>
      </c>
      <c r="G246" s="5" t="s">
        <v>2916</v>
      </c>
      <c r="H246" s="6" t="s">
        <v>1385</v>
      </c>
    </row>
    <row r="247" customFormat="false" ht="23.85" hidden="false" customHeight="false" outlineLevel="0" collapsed="false">
      <c r="A247" s="11" t="s">
        <v>2872</v>
      </c>
      <c r="B247" s="6" t="s">
        <v>2874</v>
      </c>
      <c r="C247" s="5" t="s">
        <v>1386</v>
      </c>
      <c r="D247" s="5" t="s">
        <v>1203</v>
      </c>
      <c r="E247" s="5" t="s">
        <v>1387</v>
      </c>
      <c r="F247" s="5" t="s">
        <v>1047</v>
      </c>
      <c r="G247" s="5" t="s">
        <v>2917</v>
      </c>
      <c r="H247" s="6" t="s">
        <v>1389</v>
      </c>
    </row>
    <row r="248" customFormat="false" ht="15" hidden="false" customHeight="false" outlineLevel="0" collapsed="false">
      <c r="A248" s="11" t="s">
        <v>2872</v>
      </c>
      <c r="B248" s="6" t="s">
        <v>2874</v>
      </c>
      <c r="C248" s="5" t="s">
        <v>1390</v>
      </c>
      <c r="D248" s="5" t="s">
        <v>1203</v>
      </c>
      <c r="E248" s="5" t="s">
        <v>1391</v>
      </c>
      <c r="F248" s="5" t="s">
        <v>1114</v>
      </c>
      <c r="G248" s="5" t="s">
        <v>2918</v>
      </c>
      <c r="H248" s="6" t="s">
        <v>1393</v>
      </c>
    </row>
    <row r="249" customFormat="false" ht="23.85" hidden="false" customHeight="false" outlineLevel="0" collapsed="false">
      <c r="A249" s="11" t="s">
        <v>2872</v>
      </c>
      <c r="B249" s="6" t="s">
        <v>2874</v>
      </c>
      <c r="C249" s="5" t="s">
        <v>1394</v>
      </c>
      <c r="D249" s="5" t="s">
        <v>1203</v>
      </c>
      <c r="E249" s="5" t="s">
        <v>1395</v>
      </c>
      <c r="F249" s="5" t="s">
        <v>1114</v>
      </c>
      <c r="G249" s="5" t="s">
        <v>2919</v>
      </c>
      <c r="H249" s="6" t="s">
        <v>1397</v>
      </c>
    </row>
    <row r="250" customFormat="false" ht="46.25" hidden="false" customHeight="false" outlineLevel="0" collapsed="false">
      <c r="A250" s="11" t="s">
        <v>2872</v>
      </c>
      <c r="B250" s="6" t="s">
        <v>2874</v>
      </c>
      <c r="C250" s="5" t="s">
        <v>1411</v>
      </c>
      <c r="D250" s="5" t="s">
        <v>1203</v>
      </c>
      <c r="E250" s="5" t="s">
        <v>1412</v>
      </c>
      <c r="F250" s="5" t="s">
        <v>1413</v>
      </c>
      <c r="G250" s="5" t="s">
        <v>2920</v>
      </c>
      <c r="H250" s="6" t="s">
        <v>1415</v>
      </c>
    </row>
    <row r="251" customFormat="false" ht="35.05" hidden="false" customHeight="false" outlineLevel="0" collapsed="false">
      <c r="A251" s="11" t="s">
        <v>2872</v>
      </c>
      <c r="B251" s="6" t="s">
        <v>2874</v>
      </c>
      <c r="C251" s="5" t="s">
        <v>1416</v>
      </c>
      <c r="D251" s="5" t="s">
        <v>1203</v>
      </c>
      <c r="E251" s="5" t="s">
        <v>1417</v>
      </c>
      <c r="F251" s="5" t="s">
        <v>1047</v>
      </c>
      <c r="G251" s="5" t="s">
        <v>2921</v>
      </c>
      <c r="H251" s="6" t="s">
        <v>1419</v>
      </c>
    </row>
    <row r="252" customFormat="false" ht="46.25" hidden="false" customHeight="false" outlineLevel="0" collapsed="false">
      <c r="A252" s="11" t="s">
        <v>2872</v>
      </c>
      <c r="B252" s="6" t="s">
        <v>2874</v>
      </c>
      <c r="C252" s="5" t="s">
        <v>1425</v>
      </c>
      <c r="D252" s="5" t="s">
        <v>1203</v>
      </c>
      <c r="E252" s="5" t="s">
        <v>1426</v>
      </c>
      <c r="F252" s="5" t="s">
        <v>1427</v>
      </c>
      <c r="G252" s="5" t="s">
        <v>2922</v>
      </c>
      <c r="H252" s="6" t="s">
        <v>1429</v>
      </c>
    </row>
    <row r="253" customFormat="false" ht="23.85" hidden="false" customHeight="false" outlineLevel="0" collapsed="false">
      <c r="A253" s="11" t="s">
        <v>2872</v>
      </c>
      <c r="B253" s="6" t="s">
        <v>2874</v>
      </c>
      <c r="C253" s="5" t="s">
        <v>1430</v>
      </c>
      <c r="D253" s="5" t="s">
        <v>1203</v>
      </c>
      <c r="E253" s="5" t="s">
        <v>1431</v>
      </c>
      <c r="F253" s="5" t="s">
        <v>1432</v>
      </c>
      <c r="G253" s="5" t="s">
        <v>2923</v>
      </c>
      <c r="H253" s="6" t="s">
        <v>1435</v>
      </c>
    </row>
    <row r="254" customFormat="false" ht="35.05" hidden="false" customHeight="false" outlineLevel="0" collapsed="false">
      <c r="A254" s="11" t="s">
        <v>2872</v>
      </c>
      <c r="B254" s="6" t="s">
        <v>2874</v>
      </c>
      <c r="C254" s="5" t="s">
        <v>1436</v>
      </c>
      <c r="D254" s="5" t="s">
        <v>1203</v>
      </c>
      <c r="E254" s="5" t="s">
        <v>1437</v>
      </c>
      <c r="F254" s="5" t="s">
        <v>1438</v>
      </c>
      <c r="G254" s="5" t="s">
        <v>2924</v>
      </c>
      <c r="H254" s="6" t="s">
        <v>1440</v>
      </c>
    </row>
    <row r="255" customFormat="false" ht="15" hidden="false" customHeight="false" outlineLevel="0" collapsed="false">
      <c r="A255" s="11" t="s">
        <v>2872</v>
      </c>
      <c r="B255" s="6" t="s">
        <v>2874</v>
      </c>
      <c r="C255" s="5" t="s">
        <v>1446</v>
      </c>
      <c r="D255" s="5" t="s">
        <v>1203</v>
      </c>
      <c r="E255" s="5" t="s">
        <v>1447</v>
      </c>
      <c r="F255" s="5" t="s">
        <v>1448</v>
      </c>
      <c r="G255" s="5" t="s">
        <v>2925</v>
      </c>
      <c r="H255" s="6" t="s">
        <v>1385</v>
      </c>
    </row>
    <row r="256" customFormat="false" ht="15" hidden="false" customHeight="false" outlineLevel="0" collapsed="false">
      <c r="A256" s="11" t="s">
        <v>2872</v>
      </c>
      <c r="B256" s="6" t="s">
        <v>2874</v>
      </c>
      <c r="C256" s="5" t="s">
        <v>1451</v>
      </c>
      <c r="D256" s="5" t="s">
        <v>1203</v>
      </c>
      <c r="E256" s="5" t="s">
        <v>1452</v>
      </c>
      <c r="F256" s="5" t="s">
        <v>1453</v>
      </c>
      <c r="G256" s="5" t="s">
        <v>2926</v>
      </c>
      <c r="H256" s="6" t="s">
        <v>1356</v>
      </c>
    </row>
    <row r="257" customFormat="false" ht="15" hidden="false" customHeight="false" outlineLevel="0" collapsed="false">
      <c r="A257" s="11" t="s">
        <v>2872</v>
      </c>
      <c r="B257" s="6" t="s">
        <v>2874</v>
      </c>
      <c r="C257" s="5" t="s">
        <v>1455</v>
      </c>
      <c r="D257" s="5" t="s">
        <v>1203</v>
      </c>
      <c r="E257" s="5" t="s">
        <v>1456</v>
      </c>
      <c r="F257" s="5" t="s">
        <v>1457</v>
      </c>
      <c r="G257" s="5" t="s">
        <v>2927</v>
      </c>
      <c r="H257" s="6" t="s">
        <v>1385</v>
      </c>
    </row>
    <row r="258" customFormat="false" ht="15" hidden="false" customHeight="false" outlineLevel="0" collapsed="false">
      <c r="A258" s="11" t="s">
        <v>2872</v>
      </c>
      <c r="B258" s="6" t="s">
        <v>2874</v>
      </c>
      <c r="C258" s="5" t="s">
        <v>1460</v>
      </c>
      <c r="D258" s="5" t="s">
        <v>1203</v>
      </c>
      <c r="E258" s="5" t="s">
        <v>1461</v>
      </c>
      <c r="F258" s="5" t="s">
        <v>1462</v>
      </c>
      <c r="G258" s="5" t="s">
        <v>2928</v>
      </c>
      <c r="H258" s="6" t="s">
        <v>1356</v>
      </c>
    </row>
    <row r="259" customFormat="false" ht="35.05" hidden="false" customHeight="false" outlineLevel="0" collapsed="false">
      <c r="A259" s="11" t="s">
        <v>2872</v>
      </c>
      <c r="B259" s="6" t="s">
        <v>2874</v>
      </c>
      <c r="C259" s="5" t="s">
        <v>1498</v>
      </c>
      <c r="D259" s="5" t="s">
        <v>1203</v>
      </c>
      <c r="E259" s="5" t="s">
        <v>1499</v>
      </c>
      <c r="F259" s="5" t="s">
        <v>1502</v>
      </c>
      <c r="G259" s="5" t="s">
        <v>2929</v>
      </c>
      <c r="H259" s="6" t="s">
        <v>1504</v>
      </c>
    </row>
    <row r="260" customFormat="false" ht="46.25" hidden="false" customHeight="false" outlineLevel="0" collapsed="false">
      <c r="A260" s="11" t="s">
        <v>2872</v>
      </c>
      <c r="B260" s="6" t="s">
        <v>2930</v>
      </c>
      <c r="C260" s="5" t="s">
        <v>1473</v>
      </c>
      <c r="D260" s="5" t="s">
        <v>1203</v>
      </c>
      <c r="E260" s="5" t="s">
        <v>1474</v>
      </c>
      <c r="F260" s="5" t="s">
        <v>1475</v>
      </c>
      <c r="G260" s="5" t="s">
        <v>2931</v>
      </c>
      <c r="H260" s="6" t="s">
        <v>1477</v>
      </c>
    </row>
    <row r="261" customFormat="false" ht="35.05" hidden="false" customHeight="false" outlineLevel="0" collapsed="false">
      <c r="A261" s="11" t="s">
        <v>2872</v>
      </c>
      <c r="B261" s="6" t="s">
        <v>2930</v>
      </c>
      <c r="C261" s="5" t="s">
        <v>1478</v>
      </c>
      <c r="D261" s="5" t="s">
        <v>1203</v>
      </c>
      <c r="E261" s="5" t="s">
        <v>1479</v>
      </c>
      <c r="F261" s="5" t="s">
        <v>1480</v>
      </c>
      <c r="G261" s="5" t="s">
        <v>2932</v>
      </c>
      <c r="H261" s="6" t="s">
        <v>1482</v>
      </c>
    </row>
    <row r="262" customFormat="false" ht="35.05" hidden="false" customHeight="false" outlineLevel="0" collapsed="false">
      <c r="A262" s="11" t="s">
        <v>2872</v>
      </c>
      <c r="B262" s="6" t="s">
        <v>2930</v>
      </c>
      <c r="C262" s="5" t="s">
        <v>1488</v>
      </c>
      <c r="D262" s="5" t="s">
        <v>1203</v>
      </c>
      <c r="E262" s="5" t="s">
        <v>1489</v>
      </c>
      <c r="F262" s="5" t="s">
        <v>1490</v>
      </c>
      <c r="G262" s="5" t="s">
        <v>2933</v>
      </c>
      <c r="H262" s="6" t="s">
        <v>1492</v>
      </c>
    </row>
    <row r="263" customFormat="false" ht="23.85" hidden="false" customHeight="false" outlineLevel="0" collapsed="false">
      <c r="A263" s="11" t="s">
        <v>2872</v>
      </c>
      <c r="B263" s="6" t="s">
        <v>2930</v>
      </c>
      <c r="C263" s="5" t="s">
        <v>1516</v>
      </c>
      <c r="D263" s="5" t="s">
        <v>1203</v>
      </c>
      <c r="E263" s="5" t="s">
        <v>1517</v>
      </c>
      <c r="F263" s="5" t="s">
        <v>1518</v>
      </c>
      <c r="G263" s="5" t="s">
        <v>2934</v>
      </c>
      <c r="H263" s="6" t="s">
        <v>1520</v>
      </c>
    </row>
    <row r="264" customFormat="false" ht="35.05" hidden="false" customHeight="false" outlineLevel="0" collapsed="false">
      <c r="A264" s="11" t="s">
        <v>2872</v>
      </c>
      <c r="B264" s="6" t="s">
        <v>2935</v>
      </c>
      <c r="C264" s="5" t="s">
        <v>869</v>
      </c>
      <c r="D264" s="5" t="s">
        <v>786</v>
      </c>
      <c r="E264" s="5" t="s">
        <v>870</v>
      </c>
      <c r="F264" s="5" t="s">
        <v>511</v>
      </c>
      <c r="G264" s="5" t="s">
        <v>2856</v>
      </c>
      <c r="H264" s="6" t="s">
        <v>874</v>
      </c>
    </row>
    <row r="265" customFormat="false" ht="35.05" hidden="false" customHeight="false" outlineLevel="0" collapsed="false">
      <c r="A265" s="11" t="s">
        <v>2872</v>
      </c>
      <c r="B265" s="6" t="s">
        <v>2935</v>
      </c>
      <c r="C265" s="5" t="s">
        <v>875</v>
      </c>
      <c r="D265" s="5" t="s">
        <v>786</v>
      </c>
      <c r="E265" s="5" t="s">
        <v>876</v>
      </c>
      <c r="F265" s="5" t="s">
        <v>501</v>
      </c>
      <c r="G265" s="5" t="s">
        <v>2738</v>
      </c>
      <c r="H265" s="6" t="s">
        <v>878</v>
      </c>
    </row>
    <row r="266" customFormat="false" ht="23.85" hidden="false" customHeight="false" outlineLevel="0" collapsed="false">
      <c r="A266" s="11" t="s">
        <v>2872</v>
      </c>
      <c r="B266" s="6" t="s">
        <v>2936</v>
      </c>
      <c r="C266" s="5" t="s">
        <v>232</v>
      </c>
      <c r="D266" s="5" t="s">
        <v>92</v>
      </c>
      <c r="E266" s="5" t="s">
        <v>233</v>
      </c>
      <c r="F266" s="5" t="s">
        <v>226</v>
      </c>
      <c r="G266" s="5" t="s">
        <v>2937</v>
      </c>
      <c r="H266" s="6" t="s">
        <v>237</v>
      </c>
    </row>
    <row r="267" customFormat="false" ht="46.25" hidden="false" customHeight="false" outlineLevel="0" collapsed="false">
      <c r="A267" s="11" t="s">
        <v>2872</v>
      </c>
      <c r="B267" s="6" t="s">
        <v>2936</v>
      </c>
      <c r="C267" s="5" t="s">
        <v>540</v>
      </c>
      <c r="D267" s="5" t="s">
        <v>497</v>
      </c>
      <c r="E267" s="5" t="s">
        <v>541</v>
      </c>
      <c r="F267" s="5" t="s">
        <v>545</v>
      </c>
      <c r="G267" s="5" t="s">
        <v>2806</v>
      </c>
      <c r="H267" s="6" t="s">
        <v>547</v>
      </c>
    </row>
    <row r="268" customFormat="false" ht="15" hidden="false" customHeight="false" outlineLevel="0" collapsed="false">
      <c r="A268" s="11" t="s">
        <v>2872</v>
      </c>
      <c r="B268" s="6" t="s">
        <v>2936</v>
      </c>
      <c r="C268" s="5" t="s">
        <v>901</v>
      </c>
      <c r="D268" s="5" t="s">
        <v>786</v>
      </c>
      <c r="E268" s="5" t="s">
        <v>902</v>
      </c>
      <c r="F268" s="5" t="s">
        <v>905</v>
      </c>
      <c r="G268" s="5" t="s">
        <v>2787</v>
      </c>
      <c r="H268" s="6" t="s">
        <v>906</v>
      </c>
    </row>
    <row r="269" customFormat="false" ht="23.85" hidden="false" customHeight="false" outlineLevel="0" collapsed="false">
      <c r="A269" s="11" t="s">
        <v>2872</v>
      </c>
      <c r="B269" s="6" t="s">
        <v>2936</v>
      </c>
      <c r="C269" s="5" t="s">
        <v>910</v>
      </c>
      <c r="D269" s="5" t="s">
        <v>786</v>
      </c>
      <c r="E269" s="5" t="s">
        <v>911</v>
      </c>
      <c r="F269" s="5" t="s">
        <v>914</v>
      </c>
      <c r="G269" s="5" t="s">
        <v>2805</v>
      </c>
      <c r="H269" s="6" t="s">
        <v>915</v>
      </c>
    </row>
    <row r="270" customFormat="false" ht="23.85" hidden="false" customHeight="false" outlineLevel="0" collapsed="false">
      <c r="A270" s="11" t="s">
        <v>2872</v>
      </c>
      <c r="B270" s="6" t="s">
        <v>2936</v>
      </c>
      <c r="C270" s="5" t="s">
        <v>928</v>
      </c>
      <c r="D270" s="5" t="s">
        <v>786</v>
      </c>
      <c r="E270" s="5" t="s">
        <v>929</v>
      </c>
      <c r="F270" s="5" t="s">
        <v>930</v>
      </c>
      <c r="G270" s="5" t="s">
        <v>2910</v>
      </c>
      <c r="H270" s="6" t="s">
        <v>931</v>
      </c>
    </row>
    <row r="271" customFormat="false" ht="23.85" hidden="false" customHeight="false" outlineLevel="0" collapsed="false">
      <c r="A271" s="11" t="s">
        <v>2872</v>
      </c>
      <c r="B271" s="6" t="s">
        <v>2936</v>
      </c>
      <c r="C271" s="5" t="s">
        <v>1228</v>
      </c>
      <c r="D271" s="5" t="s">
        <v>1203</v>
      </c>
      <c r="E271" s="5" t="s">
        <v>1229</v>
      </c>
      <c r="F271" s="5" t="s">
        <v>1232</v>
      </c>
      <c r="G271" s="5" t="s">
        <v>2772</v>
      </c>
      <c r="H271" s="6" t="s">
        <v>1233</v>
      </c>
    </row>
    <row r="272" customFormat="false" ht="23.85" hidden="false" customHeight="false" outlineLevel="0" collapsed="false">
      <c r="A272" s="11" t="s">
        <v>2872</v>
      </c>
      <c r="B272" s="6" t="s">
        <v>2936</v>
      </c>
      <c r="C272" s="5" t="s">
        <v>1234</v>
      </c>
      <c r="D272" s="5" t="s">
        <v>1203</v>
      </c>
      <c r="E272" s="5" t="s">
        <v>1235</v>
      </c>
      <c r="F272" s="5" t="s">
        <v>1236</v>
      </c>
      <c r="G272" s="5" t="s">
        <v>2803</v>
      </c>
      <c r="H272" s="6" t="s">
        <v>1237</v>
      </c>
    </row>
    <row r="273" customFormat="false" ht="23.85" hidden="false" customHeight="false" outlineLevel="0" collapsed="false">
      <c r="A273" s="11" t="s">
        <v>2872</v>
      </c>
      <c r="B273" s="6" t="s">
        <v>2936</v>
      </c>
      <c r="C273" s="5" t="s">
        <v>1265</v>
      </c>
      <c r="D273" s="5" t="s">
        <v>1203</v>
      </c>
      <c r="E273" s="5" t="s">
        <v>1266</v>
      </c>
      <c r="F273" s="5" t="s">
        <v>1268</v>
      </c>
      <c r="G273" s="5" t="s">
        <v>2852</v>
      </c>
      <c r="H273" s="6" t="s">
        <v>1270</v>
      </c>
    </row>
    <row r="274" customFormat="false" ht="23.85" hidden="false" customHeight="false" outlineLevel="0" collapsed="false">
      <c r="A274" s="11" t="s">
        <v>2872</v>
      </c>
      <c r="B274" s="6" t="s">
        <v>2936</v>
      </c>
      <c r="C274" s="5" t="s">
        <v>1334</v>
      </c>
      <c r="D274" s="5" t="s">
        <v>1203</v>
      </c>
      <c r="E274" s="5" t="s">
        <v>1335</v>
      </c>
      <c r="F274" s="5" t="s">
        <v>740</v>
      </c>
      <c r="G274" s="5" t="s">
        <v>2826</v>
      </c>
      <c r="H274" s="6" t="s">
        <v>1338</v>
      </c>
    </row>
    <row r="275" customFormat="false" ht="23.85" hidden="false" customHeight="false" outlineLevel="0" collapsed="false">
      <c r="A275" s="11" t="s">
        <v>2872</v>
      </c>
      <c r="B275" s="6" t="s">
        <v>2936</v>
      </c>
      <c r="C275" s="5" t="s">
        <v>1351</v>
      </c>
      <c r="D275" s="5" t="s">
        <v>1203</v>
      </c>
      <c r="E275" s="5" t="s">
        <v>1352</v>
      </c>
      <c r="F275" s="5" t="s">
        <v>760</v>
      </c>
      <c r="G275" s="5" t="s">
        <v>2829</v>
      </c>
      <c r="H275" s="6" t="s">
        <v>1353</v>
      </c>
    </row>
    <row r="276" customFormat="false" ht="23.85" hidden="false" customHeight="false" outlineLevel="0" collapsed="false">
      <c r="A276" s="11" t="s">
        <v>2872</v>
      </c>
      <c r="B276" s="6" t="s">
        <v>2936</v>
      </c>
      <c r="C276" s="5" t="s">
        <v>1362</v>
      </c>
      <c r="D276" s="5" t="s">
        <v>1203</v>
      </c>
      <c r="E276" s="5" t="s">
        <v>1363</v>
      </c>
      <c r="F276" s="5" t="s">
        <v>781</v>
      </c>
      <c r="G276" s="5" t="s">
        <v>2827</v>
      </c>
      <c r="H276" s="6" t="s">
        <v>1364</v>
      </c>
    </row>
  </sheetData>
  <autoFilter ref="A1:H2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62"/>
    <col collapsed="false" customWidth="true" hidden="false" outlineLevel="0" max="4" min="4" style="0" width="12"/>
    <col collapsed="false" customWidth="true" hidden="false" outlineLevel="0" max="5" min="5" style="0" width="8"/>
    <col collapsed="false" customWidth="true" hidden="false" outlineLevel="0" max="6" min="6" style="0" width="32"/>
  </cols>
  <sheetData>
    <row r="1" customFormat="false" ht="33.75" hidden="false" customHeight="true" outlineLevel="0" collapsed="false">
      <c r="A1" s="4" t="s">
        <v>2938</v>
      </c>
      <c r="B1" s="4" t="s">
        <v>2939</v>
      </c>
      <c r="C1" s="4" t="s">
        <v>2940</v>
      </c>
      <c r="D1" s="4" t="s">
        <v>2941</v>
      </c>
      <c r="E1" s="4" t="s">
        <v>2942</v>
      </c>
      <c r="F1" s="4" t="s">
        <v>2943</v>
      </c>
    </row>
    <row r="2" customFormat="false" ht="15" hidden="false" customHeight="false" outlineLevel="0" collapsed="false">
      <c r="A2" s="5" t="s">
        <v>2944</v>
      </c>
      <c r="B2" s="5" t="s">
        <v>2753</v>
      </c>
      <c r="C2" s="5" t="s">
        <v>2945</v>
      </c>
      <c r="D2" s="5" t="n">
        <v>176301</v>
      </c>
      <c r="E2" s="5" t="n">
        <v>2</v>
      </c>
      <c r="F2" s="5" t="s">
        <v>2946</v>
      </c>
    </row>
    <row r="3" customFormat="false" ht="15" hidden="false" customHeight="false" outlineLevel="0" collapsed="false">
      <c r="A3" s="5" t="s">
        <v>2947</v>
      </c>
      <c r="B3" s="5" t="s">
        <v>2875</v>
      </c>
      <c r="C3" s="5" t="s">
        <v>2948</v>
      </c>
      <c r="D3" s="5" t="n">
        <v>176500</v>
      </c>
      <c r="E3" s="5" t="n">
        <v>2</v>
      </c>
      <c r="F3" s="5" t="s">
        <v>2946</v>
      </c>
    </row>
    <row r="4" customFormat="false" ht="15" hidden="false" customHeight="false" outlineLevel="0" collapsed="false">
      <c r="A4" s="5" t="s">
        <v>2949</v>
      </c>
      <c r="B4" s="5" t="s">
        <v>2767</v>
      </c>
      <c r="C4" s="5" t="s">
        <v>2950</v>
      </c>
      <c r="D4" s="5" t="n">
        <v>174938</v>
      </c>
      <c r="E4" s="5" t="n">
        <v>2</v>
      </c>
      <c r="F4" s="5" t="s">
        <v>2946</v>
      </c>
    </row>
    <row r="5" customFormat="false" ht="15" hidden="false" customHeight="false" outlineLevel="0" collapsed="false">
      <c r="A5" s="5" t="s">
        <v>2951</v>
      </c>
      <c r="B5" s="5" t="s">
        <v>2876</v>
      </c>
      <c r="C5" s="5" t="s">
        <v>2952</v>
      </c>
      <c r="D5" s="5" t="n">
        <v>175990</v>
      </c>
      <c r="E5" s="5" t="n">
        <v>2</v>
      </c>
      <c r="F5" s="5" t="s">
        <v>2946</v>
      </c>
    </row>
    <row r="6" customFormat="false" ht="15" hidden="false" customHeight="false" outlineLevel="0" collapsed="false">
      <c r="A6" s="5" t="s">
        <v>2953</v>
      </c>
      <c r="B6" s="5" t="s">
        <v>2877</v>
      </c>
      <c r="C6" s="5" t="s">
        <v>2954</v>
      </c>
      <c r="D6" s="5" t="n">
        <v>180541</v>
      </c>
      <c r="E6" s="5" t="n">
        <v>2</v>
      </c>
      <c r="F6" s="5" t="s">
        <v>2946</v>
      </c>
    </row>
    <row r="7" customFormat="false" ht="15" hidden="false" customHeight="false" outlineLevel="0" collapsed="false">
      <c r="A7" s="5" t="s">
        <v>2955</v>
      </c>
      <c r="B7" s="5" t="s">
        <v>2754</v>
      </c>
      <c r="C7" s="5" t="s">
        <v>2956</v>
      </c>
      <c r="D7" s="5" t="n">
        <v>175730</v>
      </c>
      <c r="E7" s="5" t="n">
        <v>2</v>
      </c>
      <c r="F7" s="5" t="s">
        <v>2946</v>
      </c>
    </row>
    <row r="8" customFormat="false" ht="15" hidden="false" customHeight="false" outlineLevel="0" collapsed="false">
      <c r="A8" s="5" t="s">
        <v>2957</v>
      </c>
      <c r="B8" s="5" t="s">
        <v>2878</v>
      </c>
      <c r="C8" s="5" t="s">
        <v>2958</v>
      </c>
      <c r="D8" s="5" t="n">
        <v>183679</v>
      </c>
      <c r="E8" s="5" t="n">
        <v>2</v>
      </c>
      <c r="F8" s="5" t="s">
        <v>2946</v>
      </c>
    </row>
    <row r="9" customFormat="false" ht="15" hidden="false" customHeight="false" outlineLevel="0" collapsed="false">
      <c r="A9" s="5" t="s">
        <v>2959</v>
      </c>
      <c r="B9" s="5" t="s">
        <v>2879</v>
      </c>
      <c r="C9" s="5" t="s">
        <v>2960</v>
      </c>
      <c r="D9" s="5" t="n">
        <v>175928</v>
      </c>
      <c r="E9" s="5" t="n">
        <v>2</v>
      </c>
      <c r="F9" s="5" t="s">
        <v>2946</v>
      </c>
    </row>
    <row r="10" customFormat="false" ht="15" hidden="false" customHeight="false" outlineLevel="0" collapsed="false">
      <c r="A10" s="5" t="s">
        <v>2961</v>
      </c>
      <c r="B10" s="5" t="s">
        <v>2768</v>
      </c>
      <c r="C10" s="5" t="s">
        <v>2962</v>
      </c>
      <c r="D10" s="5" t="n">
        <v>180128</v>
      </c>
      <c r="E10" s="5" t="n">
        <v>2</v>
      </c>
      <c r="F10" s="5" t="s">
        <v>2946</v>
      </c>
    </row>
    <row r="11" customFormat="false" ht="15" hidden="false" customHeight="false" outlineLevel="0" collapsed="false">
      <c r="A11" s="5" t="s">
        <v>2963</v>
      </c>
      <c r="B11" s="5" t="s">
        <v>2880</v>
      </c>
      <c r="C11" s="5" t="s">
        <v>2964</v>
      </c>
      <c r="D11" s="5" t="n">
        <v>176416</v>
      </c>
      <c r="E11" s="5" t="n">
        <v>2</v>
      </c>
      <c r="F11" s="5" t="s">
        <v>2946</v>
      </c>
    </row>
    <row r="12" customFormat="false" ht="15" hidden="false" customHeight="false" outlineLevel="0" collapsed="false">
      <c r="A12" s="5" t="s">
        <v>2965</v>
      </c>
      <c r="B12" s="5" t="s">
        <v>2769</v>
      </c>
      <c r="C12" s="5" t="s">
        <v>2966</v>
      </c>
      <c r="D12" s="5" t="n">
        <v>176653</v>
      </c>
      <c r="E12" s="5" t="n">
        <v>2</v>
      </c>
      <c r="F12" s="5" t="s">
        <v>2946</v>
      </c>
    </row>
    <row r="13" customFormat="false" ht="15" hidden="false" customHeight="false" outlineLevel="0" collapsed="false">
      <c r="A13" s="5" t="s">
        <v>2967</v>
      </c>
      <c r="B13" s="5" t="s">
        <v>2850</v>
      </c>
      <c r="C13" s="5" t="s">
        <v>2968</v>
      </c>
      <c r="D13" s="5" t="n">
        <v>175135</v>
      </c>
      <c r="E13" s="5" t="n">
        <v>2</v>
      </c>
      <c r="F13" s="5" t="s">
        <v>2946</v>
      </c>
    </row>
    <row r="14" customFormat="false" ht="15" hidden="false" customHeight="false" outlineLevel="0" collapsed="false">
      <c r="A14" s="5" t="s">
        <v>2969</v>
      </c>
      <c r="B14" s="5" t="s">
        <v>2881</v>
      </c>
      <c r="C14" s="5" t="s">
        <v>2970</v>
      </c>
      <c r="D14" s="5" t="n">
        <v>157724</v>
      </c>
      <c r="E14" s="5" t="n">
        <v>2</v>
      </c>
      <c r="F14" s="5" t="s">
        <v>2946</v>
      </c>
    </row>
    <row r="15" customFormat="false" ht="15" hidden="false" customHeight="false" outlineLevel="0" collapsed="false">
      <c r="A15" s="5" t="s">
        <v>2971</v>
      </c>
      <c r="B15" s="5" t="s">
        <v>2837</v>
      </c>
      <c r="C15" s="5" t="s">
        <v>2972</v>
      </c>
      <c r="D15" s="5" t="n">
        <v>167582</v>
      </c>
      <c r="E15" s="5" t="n">
        <v>2</v>
      </c>
      <c r="F15" s="5" t="s">
        <v>2946</v>
      </c>
    </row>
    <row r="16" customFormat="false" ht="15" hidden="false" customHeight="false" outlineLevel="0" collapsed="false">
      <c r="A16" s="5" t="s">
        <v>2973</v>
      </c>
      <c r="B16" s="5" t="s">
        <v>2838</v>
      </c>
      <c r="C16" s="5" t="s">
        <v>2974</v>
      </c>
      <c r="D16" s="5" t="n">
        <v>158202</v>
      </c>
      <c r="E16" s="5" t="n">
        <v>2</v>
      </c>
      <c r="F16" s="5" t="s">
        <v>2946</v>
      </c>
    </row>
    <row r="17" customFormat="false" ht="15" hidden="false" customHeight="false" outlineLevel="0" collapsed="false">
      <c r="A17" s="5" t="s">
        <v>2975</v>
      </c>
      <c r="B17" s="5" t="s">
        <v>2839</v>
      </c>
      <c r="C17" s="5" t="s">
        <v>2976</v>
      </c>
      <c r="D17" s="5" t="n">
        <v>169765</v>
      </c>
      <c r="E17" s="5" t="n">
        <v>2</v>
      </c>
      <c r="F17" s="5" t="s">
        <v>2946</v>
      </c>
    </row>
    <row r="18" customFormat="false" ht="15" hidden="false" customHeight="false" outlineLevel="0" collapsed="false">
      <c r="A18" s="5" t="s">
        <v>2977</v>
      </c>
      <c r="B18" s="5" t="s">
        <v>2770</v>
      </c>
      <c r="C18" s="5" t="s">
        <v>2978</v>
      </c>
      <c r="D18" s="5" t="n">
        <v>159147</v>
      </c>
      <c r="E18" s="5" t="n">
        <v>2</v>
      </c>
      <c r="F18" s="5" t="s">
        <v>2946</v>
      </c>
    </row>
    <row r="19" customFormat="false" ht="15" hidden="false" customHeight="false" outlineLevel="0" collapsed="false">
      <c r="A19" s="5" t="s">
        <v>2979</v>
      </c>
      <c r="B19" s="5" t="s">
        <v>2840</v>
      </c>
      <c r="C19" s="5" t="s">
        <v>2980</v>
      </c>
      <c r="D19" s="5" t="n">
        <v>169627</v>
      </c>
      <c r="E19" s="5" t="n">
        <v>2</v>
      </c>
      <c r="F19" s="5" t="s">
        <v>2946</v>
      </c>
    </row>
    <row r="20" customFormat="false" ht="15" hidden="false" customHeight="false" outlineLevel="0" collapsed="false">
      <c r="A20" s="5" t="s">
        <v>2981</v>
      </c>
      <c r="B20" s="5" t="s">
        <v>2841</v>
      </c>
      <c r="C20" s="5" t="s">
        <v>2982</v>
      </c>
      <c r="D20" s="5" t="n">
        <v>156837</v>
      </c>
      <c r="E20" s="5" t="n">
        <v>2</v>
      </c>
      <c r="F20" s="5" t="s">
        <v>2946</v>
      </c>
    </row>
    <row r="21" customFormat="false" ht="15" hidden="false" customHeight="false" outlineLevel="0" collapsed="false">
      <c r="A21" s="5" t="s">
        <v>2983</v>
      </c>
      <c r="B21" s="5" t="s">
        <v>2937</v>
      </c>
      <c r="C21" s="5" t="s">
        <v>2984</v>
      </c>
      <c r="D21" s="5" t="n">
        <v>169825</v>
      </c>
      <c r="E21" s="5" t="n">
        <v>2</v>
      </c>
      <c r="F21" s="5" t="s">
        <v>2946</v>
      </c>
    </row>
    <row r="22" customFormat="false" ht="15" hidden="false" customHeight="false" outlineLevel="0" collapsed="false">
      <c r="A22" s="5" t="s">
        <v>2985</v>
      </c>
      <c r="B22" s="5" t="s">
        <v>2882</v>
      </c>
      <c r="C22" s="5" t="s">
        <v>2986</v>
      </c>
      <c r="D22" s="5" t="n">
        <v>167721</v>
      </c>
      <c r="E22" s="5" t="n">
        <v>2</v>
      </c>
      <c r="F22" s="5" t="s">
        <v>2946</v>
      </c>
    </row>
    <row r="23" customFormat="false" ht="15" hidden="false" customHeight="false" outlineLevel="0" collapsed="false">
      <c r="A23" s="5" t="s">
        <v>2987</v>
      </c>
      <c r="B23" s="5" t="s">
        <v>2883</v>
      </c>
      <c r="C23" s="5" t="s">
        <v>2988</v>
      </c>
      <c r="D23" s="5" t="n">
        <v>183126</v>
      </c>
      <c r="E23" s="5" t="n">
        <v>2</v>
      </c>
      <c r="F23" s="5" t="s">
        <v>2946</v>
      </c>
    </row>
    <row r="24" customFormat="false" ht="15" hidden="false" customHeight="false" outlineLevel="0" collapsed="false">
      <c r="A24" s="5" t="s">
        <v>2989</v>
      </c>
      <c r="B24" s="5" t="s">
        <v>2884</v>
      </c>
      <c r="C24" s="5" t="s">
        <v>2990</v>
      </c>
      <c r="D24" s="5" t="n">
        <v>168715</v>
      </c>
      <c r="E24" s="5" t="n">
        <v>2</v>
      </c>
      <c r="F24" s="5" t="s">
        <v>2946</v>
      </c>
    </row>
    <row r="25" customFormat="false" ht="15" hidden="false" customHeight="false" outlineLevel="0" collapsed="false">
      <c r="A25" s="5" t="s">
        <v>2991</v>
      </c>
      <c r="B25" s="5" t="s">
        <v>2814</v>
      </c>
      <c r="C25" s="5" t="s">
        <v>2992</v>
      </c>
      <c r="D25" s="5" t="n">
        <v>187525</v>
      </c>
      <c r="E25" s="5" t="n">
        <v>2</v>
      </c>
      <c r="F25" s="5" t="s">
        <v>2946</v>
      </c>
    </row>
    <row r="26" customFormat="false" ht="15" hidden="false" customHeight="false" outlineLevel="0" collapsed="false">
      <c r="A26" s="5" t="s">
        <v>2993</v>
      </c>
      <c r="B26" s="5" t="s">
        <v>2885</v>
      </c>
      <c r="C26" s="5" t="s">
        <v>2994</v>
      </c>
      <c r="D26" s="5" t="n">
        <v>167327</v>
      </c>
      <c r="E26" s="5" t="n">
        <v>2</v>
      </c>
      <c r="F26" s="5" t="s">
        <v>2946</v>
      </c>
    </row>
    <row r="27" customFormat="false" ht="15" hidden="false" customHeight="false" outlineLevel="0" collapsed="false">
      <c r="A27" s="5" t="s">
        <v>2995</v>
      </c>
      <c r="B27" s="5" t="s">
        <v>2815</v>
      </c>
      <c r="C27" s="5" t="s">
        <v>2996</v>
      </c>
      <c r="D27" s="5" t="n">
        <v>188349</v>
      </c>
      <c r="E27" s="5" t="n">
        <v>2</v>
      </c>
      <c r="F27" s="5" t="s">
        <v>2946</v>
      </c>
    </row>
    <row r="28" customFormat="false" ht="15" hidden="false" customHeight="false" outlineLevel="0" collapsed="false">
      <c r="A28" s="5" t="s">
        <v>2997</v>
      </c>
      <c r="B28" s="5" t="s">
        <v>2886</v>
      </c>
      <c r="C28" s="5" t="s">
        <v>2998</v>
      </c>
      <c r="D28" s="5" t="n">
        <v>164436</v>
      </c>
      <c r="E28" s="5" t="n">
        <v>2</v>
      </c>
      <c r="F28" s="5" t="s">
        <v>2946</v>
      </c>
    </row>
    <row r="29" customFormat="false" ht="15" hidden="false" customHeight="false" outlineLevel="0" collapsed="false">
      <c r="A29" s="5" t="s">
        <v>2999</v>
      </c>
      <c r="B29" s="5" t="s">
        <v>2887</v>
      </c>
      <c r="C29" s="5" t="s">
        <v>3000</v>
      </c>
      <c r="D29" s="5" t="n">
        <v>185525</v>
      </c>
      <c r="E29" s="5" t="n">
        <v>2</v>
      </c>
      <c r="F29" s="5" t="s">
        <v>2946</v>
      </c>
    </row>
    <row r="30" customFormat="false" ht="15" hidden="false" customHeight="false" outlineLevel="0" collapsed="false">
      <c r="A30" s="5" t="s">
        <v>3001</v>
      </c>
      <c r="B30" s="5" t="s">
        <v>2888</v>
      </c>
      <c r="C30" s="5" t="s">
        <v>3002</v>
      </c>
      <c r="D30" s="5" t="n">
        <v>163504</v>
      </c>
      <c r="E30" s="5" t="n">
        <v>2</v>
      </c>
      <c r="F30" s="5" t="s">
        <v>2946</v>
      </c>
    </row>
    <row r="31" customFormat="false" ht="15" hidden="false" customHeight="false" outlineLevel="0" collapsed="false">
      <c r="A31" s="5" t="s">
        <v>3003</v>
      </c>
      <c r="B31" s="5" t="s">
        <v>2842</v>
      </c>
      <c r="C31" s="5" t="s">
        <v>3004</v>
      </c>
      <c r="D31" s="5" t="n">
        <v>185607</v>
      </c>
      <c r="E31" s="5" t="n">
        <v>2</v>
      </c>
      <c r="F31" s="5" t="s">
        <v>2946</v>
      </c>
    </row>
    <row r="32" customFormat="false" ht="15" hidden="false" customHeight="false" outlineLevel="0" collapsed="false">
      <c r="A32" s="5" t="s">
        <v>3005</v>
      </c>
      <c r="B32" s="5" t="s">
        <v>2889</v>
      </c>
      <c r="C32" s="5" t="s">
        <v>3006</v>
      </c>
      <c r="D32" s="5" t="n">
        <v>166684</v>
      </c>
      <c r="E32" s="5" t="n">
        <v>2</v>
      </c>
      <c r="F32" s="5" t="s">
        <v>2946</v>
      </c>
    </row>
    <row r="33" customFormat="false" ht="15" hidden="false" customHeight="false" outlineLevel="0" collapsed="false">
      <c r="A33" s="5" t="s">
        <v>3007</v>
      </c>
      <c r="B33" s="5" t="s">
        <v>2890</v>
      </c>
      <c r="C33" s="5" t="s">
        <v>3008</v>
      </c>
      <c r="D33" s="5" t="n">
        <v>185840</v>
      </c>
      <c r="E33" s="5" t="n">
        <v>2</v>
      </c>
      <c r="F33" s="5" t="s">
        <v>2946</v>
      </c>
    </row>
    <row r="34" customFormat="false" ht="15" hidden="false" customHeight="false" outlineLevel="0" collapsed="false">
      <c r="A34" s="5" t="s">
        <v>3009</v>
      </c>
      <c r="B34" s="5" t="s">
        <v>2891</v>
      </c>
      <c r="C34" s="5" t="s">
        <v>3010</v>
      </c>
      <c r="D34" s="5" t="n">
        <v>166532</v>
      </c>
      <c r="E34" s="5" t="n">
        <v>2</v>
      </c>
      <c r="F34" s="5" t="s">
        <v>2946</v>
      </c>
    </row>
    <row r="35" customFormat="false" ht="15" hidden="false" customHeight="false" outlineLevel="0" collapsed="false">
      <c r="A35" s="5" t="s">
        <v>3011</v>
      </c>
      <c r="B35" s="5" t="s">
        <v>2892</v>
      </c>
      <c r="C35" s="5" t="s">
        <v>3012</v>
      </c>
      <c r="D35" s="5" t="n">
        <v>187266</v>
      </c>
      <c r="E35" s="5" t="n">
        <v>2</v>
      </c>
      <c r="F35" s="5" t="s">
        <v>2946</v>
      </c>
    </row>
    <row r="36" customFormat="false" ht="15" hidden="false" customHeight="false" outlineLevel="0" collapsed="false">
      <c r="A36" s="5" t="s">
        <v>3013</v>
      </c>
      <c r="B36" s="5" t="s">
        <v>2893</v>
      </c>
      <c r="C36" s="5" t="s">
        <v>3014</v>
      </c>
      <c r="D36" s="5" t="n">
        <v>164628</v>
      </c>
      <c r="E36" s="5" t="n">
        <v>2</v>
      </c>
      <c r="F36" s="5" t="s">
        <v>2946</v>
      </c>
    </row>
    <row r="37" customFormat="false" ht="15" hidden="false" customHeight="false" outlineLevel="0" collapsed="false">
      <c r="A37" s="5" t="s">
        <v>3015</v>
      </c>
      <c r="B37" s="5" t="s">
        <v>2816</v>
      </c>
      <c r="C37" s="5" t="s">
        <v>3016</v>
      </c>
      <c r="D37" s="5" t="n">
        <v>186503</v>
      </c>
      <c r="E37" s="5" t="n">
        <v>2</v>
      </c>
      <c r="F37" s="5" t="s">
        <v>2946</v>
      </c>
    </row>
    <row r="38" customFormat="false" ht="15" hidden="false" customHeight="false" outlineLevel="0" collapsed="false">
      <c r="A38" s="5" t="s">
        <v>3017</v>
      </c>
      <c r="B38" s="5" t="s">
        <v>2894</v>
      </c>
      <c r="C38" s="5" t="s">
        <v>3018</v>
      </c>
      <c r="D38" s="5" t="n">
        <v>167894</v>
      </c>
      <c r="E38" s="5" t="n">
        <v>2</v>
      </c>
      <c r="F38" s="5" t="s">
        <v>2946</v>
      </c>
    </row>
    <row r="39" customFormat="false" ht="15" hidden="false" customHeight="false" outlineLevel="0" collapsed="false">
      <c r="A39" s="5" t="s">
        <v>3019</v>
      </c>
      <c r="B39" s="5" t="s">
        <v>2817</v>
      </c>
      <c r="C39" s="5" t="s">
        <v>3020</v>
      </c>
      <c r="D39" s="5" t="n">
        <v>184945</v>
      </c>
      <c r="E39" s="5" t="n">
        <v>2</v>
      </c>
      <c r="F39" s="5" t="s">
        <v>2946</v>
      </c>
    </row>
    <row r="40" customFormat="false" ht="15" hidden="false" customHeight="false" outlineLevel="0" collapsed="false">
      <c r="A40" s="5" t="s">
        <v>3021</v>
      </c>
      <c r="B40" s="5" t="s">
        <v>2895</v>
      </c>
      <c r="C40" s="5" t="s">
        <v>3022</v>
      </c>
      <c r="D40" s="5" t="n">
        <v>165700</v>
      </c>
      <c r="E40" s="5" t="n">
        <v>2</v>
      </c>
      <c r="F40" s="5" t="s">
        <v>2946</v>
      </c>
    </row>
    <row r="41" customFormat="false" ht="15" hidden="false" customHeight="false" outlineLevel="0" collapsed="false">
      <c r="A41" s="5" t="s">
        <v>3023</v>
      </c>
      <c r="B41" s="5" t="s">
        <v>2896</v>
      </c>
      <c r="C41" s="5" t="s">
        <v>3024</v>
      </c>
      <c r="D41" s="5" t="n">
        <v>185769</v>
      </c>
      <c r="E41" s="5" t="n">
        <v>2</v>
      </c>
      <c r="F41" s="5" t="s">
        <v>2946</v>
      </c>
    </row>
    <row r="42" customFormat="false" ht="15" hidden="false" customHeight="false" outlineLevel="0" collapsed="false">
      <c r="A42" s="5" t="s">
        <v>3025</v>
      </c>
      <c r="B42" s="5" t="s">
        <v>2897</v>
      </c>
      <c r="C42" s="5" t="s">
        <v>3026</v>
      </c>
      <c r="D42" s="5" t="n">
        <v>169571</v>
      </c>
      <c r="E42" s="5" t="n">
        <v>2</v>
      </c>
      <c r="F42" s="5" t="s">
        <v>2946</v>
      </c>
    </row>
    <row r="43" customFormat="false" ht="15" hidden="false" customHeight="false" outlineLevel="0" collapsed="false">
      <c r="A43" s="5" t="s">
        <v>3027</v>
      </c>
      <c r="B43" s="5" t="s">
        <v>2818</v>
      </c>
      <c r="C43" s="5" t="s">
        <v>3028</v>
      </c>
      <c r="D43" s="5" t="n">
        <v>181456</v>
      </c>
      <c r="E43" s="5" t="n">
        <v>2</v>
      </c>
      <c r="F43" s="5" t="s">
        <v>2946</v>
      </c>
    </row>
    <row r="44" customFormat="false" ht="15" hidden="false" customHeight="false" outlineLevel="0" collapsed="false">
      <c r="A44" s="5" t="s">
        <v>3029</v>
      </c>
      <c r="B44" s="5" t="s">
        <v>2898</v>
      </c>
      <c r="C44" s="5" t="s">
        <v>3030</v>
      </c>
      <c r="D44" s="5" t="n">
        <v>166006</v>
      </c>
      <c r="E44" s="5" t="n">
        <v>2</v>
      </c>
      <c r="F44" s="5" t="s">
        <v>2946</v>
      </c>
    </row>
    <row r="45" customFormat="false" ht="15" hidden="false" customHeight="false" outlineLevel="0" collapsed="false">
      <c r="A45" s="5" t="s">
        <v>3031</v>
      </c>
      <c r="B45" s="5" t="s">
        <v>2899</v>
      </c>
      <c r="C45" s="5" t="s">
        <v>3032</v>
      </c>
      <c r="D45" s="5" t="n">
        <v>187595</v>
      </c>
      <c r="E45" s="5" t="n">
        <v>2</v>
      </c>
      <c r="F45" s="5" t="s">
        <v>2946</v>
      </c>
    </row>
    <row r="46" customFormat="false" ht="15" hidden="false" customHeight="false" outlineLevel="0" collapsed="false">
      <c r="A46" s="5" t="s">
        <v>3033</v>
      </c>
      <c r="B46" s="5" t="s">
        <v>2900</v>
      </c>
      <c r="C46" s="5" t="s">
        <v>3034</v>
      </c>
      <c r="D46" s="5" t="n">
        <v>170361</v>
      </c>
      <c r="E46" s="5" t="n">
        <v>2</v>
      </c>
      <c r="F46" s="5" t="s">
        <v>2946</v>
      </c>
    </row>
    <row r="47" customFormat="false" ht="15" hidden="false" customHeight="false" outlineLevel="0" collapsed="false">
      <c r="A47" s="5" t="s">
        <v>3035</v>
      </c>
      <c r="B47" s="5" t="s">
        <v>2901</v>
      </c>
      <c r="C47" s="5" t="s">
        <v>3036</v>
      </c>
      <c r="D47" s="5" t="n">
        <v>180468</v>
      </c>
      <c r="E47" s="5" t="n">
        <v>2</v>
      </c>
      <c r="F47" s="5" t="s">
        <v>2946</v>
      </c>
    </row>
    <row r="48" customFormat="false" ht="15" hidden="false" customHeight="false" outlineLevel="0" collapsed="false">
      <c r="A48" s="5" t="s">
        <v>3037</v>
      </c>
      <c r="B48" s="5" t="s">
        <v>2902</v>
      </c>
      <c r="C48" s="5" t="s">
        <v>3038</v>
      </c>
      <c r="D48" s="5" t="n">
        <v>164835</v>
      </c>
      <c r="E48" s="5" t="n">
        <v>2</v>
      </c>
      <c r="F48" s="5" t="s">
        <v>2946</v>
      </c>
    </row>
    <row r="49" customFormat="false" ht="15" hidden="false" customHeight="false" outlineLevel="0" collapsed="false">
      <c r="A49" s="5" t="s">
        <v>3039</v>
      </c>
      <c r="B49" s="5" t="s">
        <v>2819</v>
      </c>
      <c r="C49" s="5" t="s">
        <v>3040</v>
      </c>
      <c r="D49" s="5" t="n">
        <v>184298</v>
      </c>
      <c r="E49" s="5" t="n">
        <v>2</v>
      </c>
      <c r="F49" s="5" t="s">
        <v>2946</v>
      </c>
    </row>
    <row r="50" customFormat="false" ht="15" hidden="false" customHeight="false" outlineLevel="0" collapsed="false">
      <c r="A50" s="5" t="s">
        <v>3041</v>
      </c>
      <c r="B50" s="5" t="s">
        <v>2843</v>
      </c>
      <c r="C50" s="5" t="s">
        <v>3042</v>
      </c>
      <c r="D50" s="5" t="n">
        <v>170160</v>
      </c>
      <c r="E50" s="5" t="n">
        <v>2</v>
      </c>
      <c r="F50" s="5" t="s">
        <v>2946</v>
      </c>
    </row>
    <row r="51" customFormat="false" ht="15" hidden="false" customHeight="false" outlineLevel="0" collapsed="false">
      <c r="A51" s="5" t="s">
        <v>3043</v>
      </c>
      <c r="B51" s="5" t="s">
        <v>2844</v>
      </c>
      <c r="C51" s="5" t="s">
        <v>3044</v>
      </c>
      <c r="D51" s="5" t="n">
        <v>187137</v>
      </c>
      <c r="E51" s="5" t="n">
        <v>2</v>
      </c>
      <c r="F51" s="5" t="s">
        <v>2946</v>
      </c>
    </row>
    <row r="52" customFormat="false" ht="15" hidden="false" customHeight="false" outlineLevel="0" collapsed="false">
      <c r="A52" s="5" t="s">
        <v>3045</v>
      </c>
      <c r="B52" s="5" t="s">
        <v>2903</v>
      </c>
      <c r="C52" s="5" t="s">
        <v>3046</v>
      </c>
      <c r="D52" s="5" t="n">
        <v>166345</v>
      </c>
      <c r="E52" s="5" t="n">
        <v>2</v>
      </c>
      <c r="F52" s="5" t="s">
        <v>2946</v>
      </c>
    </row>
    <row r="53" customFormat="false" ht="15" hidden="false" customHeight="false" outlineLevel="0" collapsed="false">
      <c r="A53" s="5" t="s">
        <v>3047</v>
      </c>
      <c r="B53" s="5" t="s">
        <v>2904</v>
      </c>
      <c r="C53" s="5" t="s">
        <v>3048</v>
      </c>
      <c r="D53" s="5" t="n">
        <v>184617</v>
      </c>
      <c r="E53" s="5" t="n">
        <v>2</v>
      </c>
      <c r="F53" s="5" t="s">
        <v>2946</v>
      </c>
    </row>
    <row r="54" customFormat="false" ht="15" hidden="false" customHeight="false" outlineLevel="0" collapsed="false">
      <c r="A54" s="5" t="s">
        <v>3049</v>
      </c>
      <c r="B54" s="5" t="s">
        <v>2845</v>
      </c>
      <c r="C54" s="5" t="s">
        <v>3050</v>
      </c>
      <c r="D54" s="5" t="n">
        <v>166853</v>
      </c>
      <c r="E54" s="5" t="n">
        <v>2</v>
      </c>
      <c r="F54" s="5" t="s">
        <v>2946</v>
      </c>
    </row>
    <row r="55" customFormat="false" ht="15" hidden="false" customHeight="false" outlineLevel="0" collapsed="false">
      <c r="A55" s="5" t="s">
        <v>3051</v>
      </c>
      <c r="B55" s="5" t="s">
        <v>2851</v>
      </c>
      <c r="C55" s="5" t="s">
        <v>3052</v>
      </c>
      <c r="D55" s="5" t="n">
        <v>185038</v>
      </c>
      <c r="E55" s="5" t="n">
        <v>2</v>
      </c>
      <c r="F55" s="5" t="s">
        <v>2946</v>
      </c>
    </row>
    <row r="56" customFormat="false" ht="15" hidden="false" customHeight="false" outlineLevel="0" collapsed="false">
      <c r="A56" s="5" t="s">
        <v>3053</v>
      </c>
      <c r="B56" s="5" t="s">
        <v>2846</v>
      </c>
      <c r="C56" s="5" t="s">
        <v>3054</v>
      </c>
      <c r="D56" s="5" t="n">
        <v>165191</v>
      </c>
      <c r="E56" s="5" t="n">
        <v>2</v>
      </c>
      <c r="F56" s="5" t="s">
        <v>2946</v>
      </c>
    </row>
    <row r="57" customFormat="false" ht="15" hidden="false" customHeight="false" outlineLevel="0" collapsed="false">
      <c r="A57" s="5" t="s">
        <v>3055</v>
      </c>
      <c r="B57" s="5" t="s">
        <v>2905</v>
      </c>
      <c r="C57" s="5" t="s">
        <v>3056</v>
      </c>
      <c r="D57" s="5" t="n">
        <v>185126</v>
      </c>
      <c r="E57" s="5" t="n">
        <v>2</v>
      </c>
      <c r="F57" s="5" t="s">
        <v>2946</v>
      </c>
    </row>
    <row r="58" customFormat="false" ht="15" hidden="false" customHeight="false" outlineLevel="0" collapsed="false">
      <c r="A58" s="5" t="s">
        <v>3057</v>
      </c>
      <c r="B58" s="5" t="s">
        <v>2906</v>
      </c>
      <c r="C58" s="5" t="s">
        <v>3058</v>
      </c>
      <c r="D58" s="5" t="n">
        <v>163691</v>
      </c>
      <c r="E58" s="5" t="n">
        <v>2</v>
      </c>
      <c r="F58" s="5" t="s">
        <v>2946</v>
      </c>
    </row>
    <row r="59" customFormat="false" ht="15" hidden="false" customHeight="false" outlineLevel="0" collapsed="false">
      <c r="A59" s="5" t="s">
        <v>3059</v>
      </c>
      <c r="B59" s="5" t="s">
        <v>2907</v>
      </c>
      <c r="C59" s="5" t="s">
        <v>3060</v>
      </c>
      <c r="D59" s="5" t="n">
        <v>186973</v>
      </c>
      <c r="E59" s="5" t="n">
        <v>2</v>
      </c>
      <c r="F59" s="5" t="s">
        <v>2946</v>
      </c>
    </row>
    <row r="60" customFormat="false" ht="15" hidden="false" customHeight="false" outlineLevel="0" collapsed="false">
      <c r="A60" s="5" t="s">
        <v>3061</v>
      </c>
      <c r="B60" s="5" t="s">
        <v>2908</v>
      </c>
      <c r="C60" s="5" t="s">
        <v>3062</v>
      </c>
      <c r="D60" s="5" t="n">
        <v>163512</v>
      </c>
      <c r="E60" s="5" t="n">
        <v>2</v>
      </c>
      <c r="F60" s="5" t="s">
        <v>2946</v>
      </c>
    </row>
    <row r="61" customFormat="false" ht="15" hidden="false" customHeight="false" outlineLevel="0" collapsed="false">
      <c r="A61" s="5" t="s">
        <v>3063</v>
      </c>
      <c r="B61" s="5" t="s">
        <v>2820</v>
      </c>
      <c r="C61" s="5" t="s">
        <v>3064</v>
      </c>
      <c r="D61" s="5" t="n">
        <v>186474</v>
      </c>
      <c r="E61" s="5" t="n">
        <v>2</v>
      </c>
      <c r="F61" s="5" t="s">
        <v>2946</v>
      </c>
    </row>
    <row r="62" customFormat="false" ht="15" hidden="false" customHeight="false" outlineLevel="0" collapsed="false">
      <c r="A62" s="5" t="s">
        <v>3065</v>
      </c>
      <c r="B62" s="5" t="s">
        <v>2909</v>
      </c>
      <c r="C62" s="5" t="s">
        <v>3066</v>
      </c>
      <c r="D62" s="5" t="n">
        <v>167484</v>
      </c>
      <c r="E62" s="5" t="n">
        <v>2</v>
      </c>
      <c r="F62" s="5" t="s">
        <v>2946</v>
      </c>
    </row>
    <row r="63" customFormat="false" ht="15" hidden="false" customHeight="false" outlineLevel="0" collapsed="false">
      <c r="A63" s="5" t="s">
        <v>3067</v>
      </c>
      <c r="B63" s="5" t="s">
        <v>2821</v>
      </c>
      <c r="C63" s="5" t="s">
        <v>3068</v>
      </c>
      <c r="D63" s="5" t="n">
        <v>185864</v>
      </c>
      <c r="E63" s="5" t="n">
        <v>2</v>
      </c>
      <c r="F63" s="5" t="s">
        <v>2946</v>
      </c>
    </row>
    <row r="64" customFormat="false" ht="15" hidden="false" customHeight="false" outlineLevel="0" collapsed="false">
      <c r="A64" s="5" t="s">
        <v>3069</v>
      </c>
      <c r="B64" s="5" t="s">
        <v>2929</v>
      </c>
      <c r="C64" s="5" t="s">
        <v>3070</v>
      </c>
      <c r="D64" s="5" t="n">
        <v>597825</v>
      </c>
      <c r="E64" s="5" t="n">
        <v>1</v>
      </c>
      <c r="F64" s="5" t="s">
        <v>2946</v>
      </c>
    </row>
    <row r="65" customFormat="false" ht="15" hidden="false" customHeight="false" outlineLevel="0" collapsed="false">
      <c r="A65" s="5" t="s">
        <v>3071</v>
      </c>
      <c r="B65" s="5" t="s">
        <v>2864</v>
      </c>
      <c r="C65" s="5" t="s">
        <v>3072</v>
      </c>
      <c r="D65" s="5" t="n">
        <v>430261</v>
      </c>
      <c r="E65" s="5" t="n">
        <v>1</v>
      </c>
      <c r="F65" s="5" t="s">
        <v>2946</v>
      </c>
    </row>
    <row r="66" customFormat="false" ht="15" hidden="false" customHeight="false" outlineLevel="0" collapsed="false">
      <c r="A66" s="5" t="s">
        <v>3073</v>
      </c>
      <c r="B66" s="5" t="s">
        <v>2835</v>
      </c>
      <c r="C66" s="5" t="s">
        <v>3074</v>
      </c>
      <c r="D66" s="5" t="n">
        <v>430305</v>
      </c>
      <c r="E66" s="5" t="n">
        <v>1</v>
      </c>
      <c r="F66" s="5" t="s">
        <v>2946</v>
      </c>
    </row>
    <row r="67" customFormat="false" ht="15" hidden="false" customHeight="false" outlineLevel="0" collapsed="false">
      <c r="A67" s="5" t="s">
        <v>3075</v>
      </c>
      <c r="B67" s="5" t="s">
        <v>2934</v>
      </c>
      <c r="C67" s="5" t="s">
        <v>3076</v>
      </c>
      <c r="D67" s="5" t="n">
        <v>430310</v>
      </c>
      <c r="E67" s="5" t="n">
        <v>1</v>
      </c>
      <c r="F67" s="5" t="s">
        <v>2946</v>
      </c>
    </row>
    <row r="68" customFormat="false" ht="15" hidden="false" customHeight="false" outlineLevel="0" collapsed="false">
      <c r="A68" s="5" t="s">
        <v>3077</v>
      </c>
      <c r="B68" s="5" t="s">
        <v>2862</v>
      </c>
      <c r="C68" s="5" t="s">
        <v>3078</v>
      </c>
      <c r="D68" s="5" t="n">
        <v>234407</v>
      </c>
      <c r="E68" s="5" t="n">
        <v>1</v>
      </c>
      <c r="F68" s="5" t="s">
        <v>2946</v>
      </c>
    </row>
    <row r="69" customFormat="false" ht="15" hidden="false" customHeight="false" outlineLevel="0" collapsed="false">
      <c r="A69" s="5" t="s">
        <v>3079</v>
      </c>
      <c r="B69" s="5" t="s">
        <v>2829</v>
      </c>
      <c r="C69" s="5" t="s">
        <v>3080</v>
      </c>
      <c r="D69" s="5" t="n">
        <v>1571017</v>
      </c>
      <c r="E69" s="5" t="n">
        <v>6</v>
      </c>
      <c r="F69" s="5" t="s">
        <v>2946</v>
      </c>
    </row>
    <row r="70" customFormat="false" ht="15" hidden="false" customHeight="false" outlineLevel="0" collapsed="false">
      <c r="A70" s="5" t="s">
        <v>3081</v>
      </c>
      <c r="B70" s="5" t="s">
        <v>2869</v>
      </c>
      <c r="C70" s="5" t="s">
        <v>3082</v>
      </c>
      <c r="D70" s="5" t="n">
        <v>1483469</v>
      </c>
      <c r="E70" s="5" t="n">
        <v>6</v>
      </c>
      <c r="F70" s="5" t="s">
        <v>2946</v>
      </c>
    </row>
    <row r="71" customFormat="false" ht="15" hidden="false" customHeight="false" outlineLevel="0" collapsed="false">
      <c r="A71" s="5" t="s">
        <v>3083</v>
      </c>
      <c r="B71" s="5" t="s">
        <v>2791</v>
      </c>
      <c r="C71" s="5" t="s">
        <v>3084</v>
      </c>
      <c r="D71" s="5" t="n">
        <v>3719171</v>
      </c>
      <c r="E71" s="5" t="n">
        <v>12</v>
      </c>
      <c r="F71" s="5" t="s">
        <v>2946</v>
      </c>
    </row>
    <row r="72" customFormat="false" ht="15" hidden="false" customHeight="false" outlineLevel="0" collapsed="false">
      <c r="A72" s="5" t="s">
        <v>3085</v>
      </c>
      <c r="B72" s="5" t="s">
        <v>2742</v>
      </c>
      <c r="C72" s="5" t="s">
        <v>3086</v>
      </c>
      <c r="D72" s="5" t="n">
        <v>1405441</v>
      </c>
      <c r="E72" s="5" t="n">
        <v>6</v>
      </c>
      <c r="F72" s="5" t="s">
        <v>2946</v>
      </c>
    </row>
    <row r="73" customFormat="false" ht="15" hidden="false" customHeight="false" outlineLevel="0" collapsed="false">
      <c r="A73" s="5" t="s">
        <v>3087</v>
      </c>
      <c r="B73" s="5" t="s">
        <v>2833</v>
      </c>
      <c r="C73" s="5" t="s">
        <v>3088</v>
      </c>
      <c r="D73" s="5" t="n">
        <v>1548143</v>
      </c>
      <c r="E73" s="5" t="n">
        <v>6</v>
      </c>
      <c r="F73" s="5" t="s">
        <v>2946</v>
      </c>
    </row>
    <row r="74" customFormat="false" ht="15" hidden="false" customHeight="false" outlineLevel="0" collapsed="false">
      <c r="A74" s="5" t="s">
        <v>3089</v>
      </c>
      <c r="B74" s="5" t="s">
        <v>2774</v>
      </c>
      <c r="C74" s="5" t="s">
        <v>3090</v>
      </c>
      <c r="D74" s="5" t="n">
        <v>1560887</v>
      </c>
      <c r="E74" s="5" t="n">
        <v>6</v>
      </c>
      <c r="F74" s="5" t="s">
        <v>2946</v>
      </c>
    </row>
    <row r="75" customFormat="false" ht="15" hidden="false" customHeight="false" outlineLevel="0" collapsed="false">
      <c r="A75" s="5" t="s">
        <v>3091</v>
      </c>
      <c r="B75" s="5" t="s">
        <v>2750</v>
      </c>
      <c r="C75" s="5" t="s">
        <v>3092</v>
      </c>
      <c r="D75" s="5" t="n">
        <v>1553175</v>
      </c>
      <c r="E75" s="5" t="n">
        <v>6</v>
      </c>
      <c r="F75" s="5" t="s">
        <v>2946</v>
      </c>
    </row>
    <row r="76" customFormat="false" ht="15" hidden="false" customHeight="false" outlineLevel="0" collapsed="false">
      <c r="A76" s="5" t="s">
        <v>3093</v>
      </c>
      <c r="B76" s="5" t="s">
        <v>2759</v>
      </c>
      <c r="C76" s="5" t="s">
        <v>3094</v>
      </c>
      <c r="D76" s="5" t="n">
        <v>1563748</v>
      </c>
      <c r="E76" s="5" t="n">
        <v>6</v>
      </c>
      <c r="F76" s="5" t="s">
        <v>2946</v>
      </c>
    </row>
    <row r="77" customFormat="false" ht="15" hidden="false" customHeight="false" outlineLevel="0" collapsed="false">
      <c r="A77" s="5" t="s">
        <v>3095</v>
      </c>
      <c r="B77" s="5" t="s">
        <v>2911</v>
      </c>
      <c r="C77" s="5" t="s">
        <v>3096</v>
      </c>
      <c r="D77" s="5" t="n">
        <v>1560157</v>
      </c>
      <c r="E77" s="5" t="n">
        <v>6</v>
      </c>
      <c r="F77" s="5" t="s">
        <v>2946</v>
      </c>
    </row>
    <row r="78" customFormat="false" ht="15" hidden="false" customHeight="false" outlineLevel="0" collapsed="false">
      <c r="A78" s="5" t="s">
        <v>3095</v>
      </c>
      <c r="B78" s="5" t="s">
        <v>2911</v>
      </c>
      <c r="C78" s="5" t="s">
        <v>3097</v>
      </c>
      <c r="D78" s="5" t="n">
        <v>1560157</v>
      </c>
      <c r="E78" s="5" t="n">
        <v>6</v>
      </c>
      <c r="F78" s="5" t="s">
        <v>2946</v>
      </c>
    </row>
    <row r="79" customFormat="false" ht="15" hidden="false" customHeight="false" outlineLevel="0" collapsed="false">
      <c r="A79" s="5" t="s">
        <v>3095</v>
      </c>
      <c r="B79" s="5" t="s">
        <v>2911</v>
      </c>
      <c r="C79" s="5" t="s">
        <v>3098</v>
      </c>
      <c r="D79" s="5" t="n">
        <v>1560157</v>
      </c>
      <c r="E79" s="5" t="n">
        <v>6</v>
      </c>
      <c r="F79" s="5" t="s">
        <v>2946</v>
      </c>
    </row>
    <row r="80" customFormat="false" ht="15" hidden="false" customHeight="false" outlineLevel="0" collapsed="false">
      <c r="A80" s="5" t="s">
        <v>3099</v>
      </c>
      <c r="B80" s="5" t="s">
        <v>2771</v>
      </c>
      <c r="C80" s="5" t="s">
        <v>3100</v>
      </c>
      <c r="D80" s="5" t="n">
        <v>1624245</v>
      </c>
      <c r="E80" s="5" t="n">
        <v>6</v>
      </c>
      <c r="F80" s="5" t="s">
        <v>2946</v>
      </c>
    </row>
    <row r="81" customFormat="false" ht="15" hidden="false" customHeight="false" outlineLevel="0" collapsed="false">
      <c r="A81" s="5" t="s">
        <v>3099</v>
      </c>
      <c r="B81" s="5" t="s">
        <v>2771</v>
      </c>
      <c r="C81" s="5" t="s">
        <v>3101</v>
      </c>
      <c r="D81" s="5" t="n">
        <v>1624245</v>
      </c>
      <c r="E81" s="5" t="n">
        <v>6</v>
      </c>
      <c r="F81" s="5" t="s">
        <v>2946</v>
      </c>
    </row>
    <row r="82" customFormat="false" ht="15" hidden="false" customHeight="false" outlineLevel="0" collapsed="false">
      <c r="A82" s="5" t="s">
        <v>3099</v>
      </c>
      <c r="B82" s="5" t="s">
        <v>2771</v>
      </c>
      <c r="C82" s="5" t="s">
        <v>3102</v>
      </c>
      <c r="D82" s="5" t="n">
        <v>1624245</v>
      </c>
      <c r="E82" s="5" t="n">
        <v>6</v>
      </c>
      <c r="F82" s="5" t="s">
        <v>2946</v>
      </c>
    </row>
    <row r="83" customFormat="false" ht="15" hidden="false" customHeight="false" outlineLevel="0" collapsed="false">
      <c r="A83" s="5" t="s">
        <v>3103</v>
      </c>
      <c r="B83" s="5" t="s">
        <v>2764</v>
      </c>
      <c r="C83" s="5" t="s">
        <v>3104</v>
      </c>
      <c r="D83" s="5" t="n">
        <v>1570389</v>
      </c>
      <c r="E83" s="5" t="n">
        <v>6</v>
      </c>
      <c r="F83" s="5" t="s">
        <v>2946</v>
      </c>
    </row>
    <row r="84" customFormat="false" ht="15" hidden="false" customHeight="false" outlineLevel="0" collapsed="false">
      <c r="A84" s="5" t="s">
        <v>3105</v>
      </c>
      <c r="B84" s="5" t="s">
        <v>2763</v>
      </c>
      <c r="C84" s="5" t="s">
        <v>3106</v>
      </c>
      <c r="D84" s="5" t="n">
        <v>1575596</v>
      </c>
      <c r="E84" s="5" t="n">
        <v>6</v>
      </c>
      <c r="F84" s="5" t="s">
        <v>2946</v>
      </c>
    </row>
    <row r="85" customFormat="false" ht="15" hidden="false" customHeight="false" outlineLevel="0" collapsed="false">
      <c r="A85" s="5" t="s">
        <v>3107</v>
      </c>
      <c r="B85" s="5" t="s">
        <v>2824</v>
      </c>
      <c r="C85" s="5" t="s">
        <v>3108</v>
      </c>
      <c r="D85" s="5" t="n">
        <v>1569798</v>
      </c>
      <c r="E85" s="5" t="n">
        <v>6</v>
      </c>
      <c r="F85" s="5" t="s">
        <v>2946</v>
      </c>
    </row>
    <row r="86" customFormat="false" ht="15" hidden="false" customHeight="false" outlineLevel="0" collapsed="false">
      <c r="A86" s="5" t="s">
        <v>3109</v>
      </c>
      <c r="B86" s="5" t="s">
        <v>2760</v>
      </c>
      <c r="C86" s="5" t="s">
        <v>3110</v>
      </c>
      <c r="D86" s="5" t="n">
        <v>1408118</v>
      </c>
      <c r="E86" s="5" t="n">
        <v>6</v>
      </c>
      <c r="F86" s="5" t="s">
        <v>2946</v>
      </c>
    </row>
    <row r="87" customFormat="false" ht="15" hidden="false" customHeight="false" outlineLevel="0" collapsed="false">
      <c r="A87" s="5" t="s">
        <v>3111</v>
      </c>
      <c r="B87" s="5" t="s">
        <v>2793</v>
      </c>
      <c r="C87" s="5" t="s">
        <v>3112</v>
      </c>
      <c r="D87" s="5" t="n">
        <v>1613100</v>
      </c>
      <c r="E87" s="5" t="n">
        <v>6</v>
      </c>
      <c r="F87" s="5" t="s">
        <v>2946</v>
      </c>
    </row>
    <row r="88" customFormat="false" ht="15" hidden="false" customHeight="false" outlineLevel="0" collapsed="false">
      <c r="A88" s="5" t="s">
        <v>3113</v>
      </c>
      <c r="B88" s="5" t="s">
        <v>3114</v>
      </c>
      <c r="C88" s="5" t="s">
        <v>3115</v>
      </c>
      <c r="D88" s="5" t="n">
        <v>644999</v>
      </c>
      <c r="E88" s="5" t="n">
        <v>2</v>
      </c>
      <c r="F88" s="5" t="s">
        <v>2946</v>
      </c>
    </row>
    <row r="89" customFormat="false" ht="15" hidden="false" customHeight="false" outlineLevel="0" collapsed="false">
      <c r="A89" s="5" t="s">
        <v>3116</v>
      </c>
      <c r="B89" s="5" t="s">
        <v>2772</v>
      </c>
      <c r="C89" s="5" t="s">
        <v>2811</v>
      </c>
      <c r="D89" s="5" t="n">
        <v>1373765</v>
      </c>
      <c r="E89" s="5" t="n">
        <v>6</v>
      </c>
      <c r="F89" s="5" t="s">
        <v>2946</v>
      </c>
    </row>
    <row r="90" customFormat="false" ht="15" hidden="false" customHeight="false" outlineLevel="0" collapsed="false">
      <c r="A90" s="5" t="s">
        <v>3117</v>
      </c>
      <c r="B90" s="5" t="s">
        <v>2773</v>
      </c>
      <c r="C90" s="5" t="s">
        <v>2807</v>
      </c>
      <c r="D90" s="5" t="n">
        <v>1400771</v>
      </c>
      <c r="E90" s="5" t="n">
        <v>6</v>
      </c>
      <c r="F90" s="5" t="s">
        <v>2946</v>
      </c>
    </row>
    <row r="91" customFormat="false" ht="15" hidden="false" customHeight="false" outlineLevel="0" collapsed="false">
      <c r="A91" s="5" t="s">
        <v>3118</v>
      </c>
      <c r="B91" s="5" t="s">
        <v>2748</v>
      </c>
      <c r="C91" s="5" t="s">
        <v>3119</v>
      </c>
      <c r="D91" s="5" t="n">
        <v>1556330</v>
      </c>
      <c r="E91" s="5" t="n">
        <v>6</v>
      </c>
      <c r="F91" s="5" t="s">
        <v>2946</v>
      </c>
    </row>
    <row r="92" customFormat="false" ht="15" hidden="false" customHeight="false" outlineLevel="0" collapsed="false">
      <c r="A92" s="5" t="s">
        <v>3118</v>
      </c>
      <c r="B92" s="5" t="s">
        <v>2748</v>
      </c>
      <c r="C92" s="5" t="s">
        <v>3120</v>
      </c>
      <c r="D92" s="5" t="n">
        <v>1556330</v>
      </c>
      <c r="E92" s="5" t="n">
        <v>6</v>
      </c>
      <c r="F92" s="5" t="s">
        <v>2946</v>
      </c>
    </row>
    <row r="93" customFormat="false" ht="15" hidden="false" customHeight="false" outlineLevel="0" collapsed="false">
      <c r="A93" s="5" t="s">
        <v>3121</v>
      </c>
      <c r="B93" s="5" t="s">
        <v>2781</v>
      </c>
      <c r="C93" s="5" t="s">
        <v>3122</v>
      </c>
      <c r="D93" s="5" t="n">
        <v>1811879</v>
      </c>
      <c r="E93" s="5" t="n">
        <v>7</v>
      </c>
      <c r="F93" s="5" t="s">
        <v>2946</v>
      </c>
    </row>
    <row r="94" customFormat="false" ht="15" hidden="false" customHeight="false" outlineLevel="0" collapsed="false">
      <c r="A94" s="5" t="s">
        <v>3123</v>
      </c>
      <c r="B94" s="5" t="s">
        <v>2751</v>
      </c>
      <c r="C94" s="5" t="s">
        <v>3124</v>
      </c>
      <c r="D94" s="5" t="n">
        <v>1608548</v>
      </c>
      <c r="E94" s="5" t="n">
        <v>6</v>
      </c>
      <c r="F94" s="5" t="s">
        <v>2946</v>
      </c>
    </row>
    <row r="95" customFormat="false" ht="15" hidden="false" customHeight="false" outlineLevel="0" collapsed="false">
      <c r="A95" s="5" t="s">
        <v>3125</v>
      </c>
      <c r="B95" s="5" t="s">
        <v>2798</v>
      </c>
      <c r="C95" s="5" t="s">
        <v>3126</v>
      </c>
      <c r="D95" s="5" t="n">
        <v>1615894</v>
      </c>
      <c r="E95" s="5" t="n">
        <v>6</v>
      </c>
      <c r="F95" s="5" t="s">
        <v>2946</v>
      </c>
    </row>
    <row r="96" customFormat="false" ht="15" hidden="false" customHeight="false" outlineLevel="0" collapsed="false">
      <c r="A96" s="5" t="s">
        <v>3127</v>
      </c>
      <c r="B96" s="5" t="s">
        <v>2803</v>
      </c>
      <c r="C96" s="5" t="s">
        <v>2812</v>
      </c>
      <c r="D96" s="5" t="n">
        <v>1576230</v>
      </c>
      <c r="E96" s="5" t="n">
        <v>7</v>
      </c>
      <c r="F96" s="5" t="s">
        <v>2946</v>
      </c>
    </row>
    <row r="97" customFormat="false" ht="15" hidden="false" customHeight="false" outlineLevel="0" collapsed="false">
      <c r="A97" s="5" t="s">
        <v>3128</v>
      </c>
      <c r="B97" s="5" t="s">
        <v>2822</v>
      </c>
      <c r="C97" s="5" t="s">
        <v>3129</v>
      </c>
      <c r="D97" s="5" t="n">
        <v>1525276</v>
      </c>
      <c r="E97" s="5" t="n">
        <v>6</v>
      </c>
      <c r="F97" s="5" t="s">
        <v>2946</v>
      </c>
    </row>
    <row r="98" customFormat="false" ht="15" hidden="false" customHeight="false" outlineLevel="0" collapsed="false">
      <c r="A98" s="5" t="s">
        <v>3130</v>
      </c>
      <c r="B98" s="5" t="s">
        <v>2805</v>
      </c>
      <c r="C98" s="5" t="s">
        <v>2808</v>
      </c>
      <c r="D98" s="5" t="n">
        <v>1417453</v>
      </c>
      <c r="E98" s="5" t="n">
        <v>6</v>
      </c>
      <c r="F98" s="5" t="s">
        <v>2946</v>
      </c>
    </row>
    <row r="99" customFormat="false" ht="15" hidden="false" customHeight="false" outlineLevel="0" collapsed="false">
      <c r="A99" s="5" t="s">
        <v>3131</v>
      </c>
      <c r="B99" s="5" t="s">
        <v>2744</v>
      </c>
      <c r="C99" s="5" t="s">
        <v>3132</v>
      </c>
      <c r="D99" s="5" t="n">
        <v>1525960</v>
      </c>
      <c r="E99" s="5" t="n">
        <v>6</v>
      </c>
      <c r="F99" s="5" t="s">
        <v>2946</v>
      </c>
    </row>
    <row r="100" customFormat="false" ht="15" hidden="false" customHeight="false" outlineLevel="0" collapsed="false">
      <c r="A100" s="5" t="s">
        <v>3133</v>
      </c>
      <c r="B100" s="5" t="s">
        <v>2834</v>
      </c>
      <c r="C100" s="5" t="s">
        <v>3134</v>
      </c>
      <c r="D100" s="5" t="n">
        <v>1620851</v>
      </c>
      <c r="E100" s="5" t="n">
        <v>6</v>
      </c>
      <c r="F100" s="5" t="s">
        <v>2946</v>
      </c>
    </row>
    <row r="101" customFormat="false" ht="15" hidden="false" customHeight="false" outlineLevel="0" collapsed="false">
      <c r="A101" s="5" t="s">
        <v>3135</v>
      </c>
      <c r="B101" s="5" t="s">
        <v>2823</v>
      </c>
      <c r="C101" s="5" t="s">
        <v>3136</v>
      </c>
      <c r="D101" s="5" t="n">
        <v>1620076</v>
      </c>
      <c r="E101" s="5" t="n">
        <v>6</v>
      </c>
      <c r="F101" s="5" t="s">
        <v>2946</v>
      </c>
    </row>
    <row r="102" customFormat="false" ht="15" hidden="false" customHeight="false" outlineLevel="0" collapsed="false">
      <c r="A102" s="5" t="s">
        <v>3137</v>
      </c>
      <c r="B102" s="5" t="s">
        <v>2827</v>
      </c>
      <c r="C102" s="5" t="s">
        <v>3138</v>
      </c>
      <c r="D102" s="5" t="n">
        <v>1568928</v>
      </c>
      <c r="E102" s="5" t="n">
        <v>6</v>
      </c>
      <c r="F102" s="5" t="s">
        <v>2946</v>
      </c>
    </row>
    <row r="103" customFormat="false" ht="15" hidden="false" customHeight="false" outlineLevel="0" collapsed="false">
      <c r="A103" s="5" t="s">
        <v>3139</v>
      </c>
      <c r="B103" s="5" t="s">
        <v>2755</v>
      </c>
      <c r="C103" s="5" t="s">
        <v>3140</v>
      </c>
      <c r="D103" s="5" t="n">
        <v>1565582</v>
      </c>
      <c r="E103" s="5" t="n">
        <v>6</v>
      </c>
      <c r="F103" s="5" t="s">
        <v>2946</v>
      </c>
    </row>
    <row r="104" customFormat="false" ht="15" hidden="false" customHeight="false" outlineLevel="0" collapsed="false">
      <c r="A104" s="5" t="s">
        <v>3141</v>
      </c>
      <c r="B104" s="5" t="s">
        <v>3142</v>
      </c>
      <c r="C104" s="5" t="s">
        <v>3143</v>
      </c>
      <c r="D104" s="5" t="n">
        <v>637866</v>
      </c>
      <c r="E104" s="5" t="n">
        <v>2</v>
      </c>
      <c r="F104" s="5" t="s">
        <v>2946</v>
      </c>
    </row>
    <row r="105" customFormat="false" ht="15" hidden="false" customHeight="false" outlineLevel="0" collapsed="false">
      <c r="A105" s="5" t="s">
        <v>3144</v>
      </c>
      <c r="B105" s="5" t="s">
        <v>2746</v>
      </c>
      <c r="C105" s="5" t="s">
        <v>3145</v>
      </c>
      <c r="D105" s="5" t="n">
        <v>1452168</v>
      </c>
      <c r="E105" s="5" t="n">
        <v>6</v>
      </c>
      <c r="F105" s="5" t="s">
        <v>2946</v>
      </c>
    </row>
    <row r="106" customFormat="false" ht="15" hidden="false" customHeight="false" outlineLevel="0" collapsed="false">
      <c r="A106" s="5" t="s">
        <v>3146</v>
      </c>
      <c r="B106" s="5" t="s">
        <v>2857</v>
      </c>
      <c r="C106" s="5" t="s">
        <v>3147</v>
      </c>
      <c r="D106" s="5" t="n">
        <v>2323496</v>
      </c>
      <c r="E106" s="5" t="n">
        <v>9</v>
      </c>
      <c r="F106" s="5" t="s">
        <v>2946</v>
      </c>
    </row>
    <row r="107" customFormat="false" ht="15" hidden="false" customHeight="false" outlineLevel="0" collapsed="false">
      <c r="A107" s="5" t="s">
        <v>3148</v>
      </c>
      <c r="B107" s="5" t="s">
        <v>2738</v>
      </c>
      <c r="C107" s="5" t="s">
        <v>3149</v>
      </c>
      <c r="D107" s="5" t="n">
        <v>2046408</v>
      </c>
      <c r="E107" s="5" t="n">
        <v>8</v>
      </c>
      <c r="F107" s="5" t="s">
        <v>2946</v>
      </c>
    </row>
    <row r="108" customFormat="false" ht="15" hidden="false" customHeight="false" outlineLevel="0" collapsed="false">
      <c r="A108" s="5" t="s">
        <v>3150</v>
      </c>
      <c r="B108" s="5" t="s">
        <v>2787</v>
      </c>
      <c r="C108" s="5" t="s">
        <v>2809</v>
      </c>
      <c r="D108" s="5" t="n">
        <v>1335844</v>
      </c>
      <c r="E108" s="5" t="n">
        <v>6</v>
      </c>
      <c r="F108" s="5" t="s">
        <v>2946</v>
      </c>
    </row>
    <row r="109" customFormat="false" ht="15" hidden="false" customHeight="false" outlineLevel="0" collapsed="false">
      <c r="A109" s="5" t="s">
        <v>3151</v>
      </c>
      <c r="B109" s="5" t="s">
        <v>2789</v>
      </c>
      <c r="C109" s="5" t="s">
        <v>3152</v>
      </c>
      <c r="D109" s="5" t="n">
        <v>1546593</v>
      </c>
      <c r="E109" s="5" t="n">
        <v>6</v>
      </c>
      <c r="F109" s="5" t="s">
        <v>2946</v>
      </c>
    </row>
    <row r="110" customFormat="false" ht="15" hidden="false" customHeight="false" outlineLevel="0" collapsed="false">
      <c r="A110" s="5" t="s">
        <v>3153</v>
      </c>
      <c r="B110" s="5" t="s">
        <v>2741</v>
      </c>
      <c r="C110" s="5" t="s">
        <v>3154</v>
      </c>
      <c r="D110" s="5" t="n">
        <v>1549129</v>
      </c>
      <c r="E110" s="5" t="n">
        <v>6</v>
      </c>
      <c r="F110" s="5" t="s">
        <v>2946</v>
      </c>
    </row>
    <row r="111" customFormat="false" ht="15" hidden="false" customHeight="false" outlineLevel="0" collapsed="false">
      <c r="A111" s="5" t="s">
        <v>3155</v>
      </c>
      <c r="B111" s="5" t="s">
        <v>2825</v>
      </c>
      <c r="C111" s="5" t="s">
        <v>3156</v>
      </c>
      <c r="D111" s="5" t="n">
        <v>1585272</v>
      </c>
      <c r="E111" s="5" t="n">
        <v>6</v>
      </c>
      <c r="F111" s="5" t="s">
        <v>2946</v>
      </c>
    </row>
    <row r="112" customFormat="false" ht="15" hidden="false" customHeight="false" outlineLevel="0" collapsed="false">
      <c r="A112" s="5" t="s">
        <v>3157</v>
      </c>
      <c r="B112" s="5" t="s">
        <v>3158</v>
      </c>
      <c r="C112" s="5" t="s">
        <v>3159</v>
      </c>
      <c r="D112" s="5" t="n">
        <v>647093</v>
      </c>
      <c r="E112" s="5" t="n">
        <v>2</v>
      </c>
      <c r="F112" s="5" t="s">
        <v>2946</v>
      </c>
    </row>
    <row r="113" customFormat="false" ht="15" hidden="false" customHeight="false" outlineLevel="0" collapsed="false">
      <c r="A113" s="5" t="s">
        <v>3160</v>
      </c>
      <c r="B113" s="5" t="s">
        <v>2806</v>
      </c>
      <c r="C113" s="5" t="s">
        <v>2810</v>
      </c>
      <c r="D113" s="5" t="n">
        <v>1380248</v>
      </c>
      <c r="E113" s="5" t="n">
        <v>6</v>
      </c>
      <c r="F113" s="5" t="s">
        <v>2946</v>
      </c>
    </row>
    <row r="114" customFormat="false" ht="15" hidden="false" customHeight="false" outlineLevel="0" collapsed="false">
      <c r="A114" s="5" t="s">
        <v>3161</v>
      </c>
      <c r="B114" s="5" t="s">
        <v>2910</v>
      </c>
      <c r="C114" s="5" t="s">
        <v>3162</v>
      </c>
      <c r="D114" s="5" t="n">
        <v>1568824</v>
      </c>
      <c r="E114" s="5" t="n">
        <v>6</v>
      </c>
      <c r="F114" s="5" t="s">
        <v>2946</v>
      </c>
    </row>
    <row r="115" customFormat="false" ht="15" hidden="false" customHeight="false" outlineLevel="0" collapsed="false">
      <c r="A115" s="5" t="s">
        <v>3163</v>
      </c>
      <c r="B115" s="5" t="s">
        <v>2852</v>
      </c>
      <c r="C115" s="5" t="s">
        <v>3164</v>
      </c>
      <c r="D115" s="5" t="n">
        <v>1552569</v>
      </c>
      <c r="E115" s="5" t="n">
        <v>6</v>
      </c>
      <c r="F115" s="5" t="s">
        <v>2946</v>
      </c>
    </row>
    <row r="116" customFormat="false" ht="15" hidden="false" customHeight="false" outlineLevel="0" collapsed="false">
      <c r="A116" s="5" t="s">
        <v>3165</v>
      </c>
      <c r="B116" s="5" t="s">
        <v>2856</v>
      </c>
      <c r="C116" s="5" t="s">
        <v>3166</v>
      </c>
      <c r="D116" s="5" t="n">
        <v>2612839</v>
      </c>
      <c r="E116" s="5" t="n">
        <v>10</v>
      </c>
      <c r="F116" s="5" t="s">
        <v>2946</v>
      </c>
    </row>
    <row r="117" customFormat="false" ht="15" hidden="false" customHeight="false" outlineLevel="0" collapsed="false">
      <c r="A117" s="5" t="s">
        <v>3167</v>
      </c>
      <c r="B117" s="5" t="s">
        <v>2778</v>
      </c>
      <c r="C117" s="5" t="s">
        <v>3168</v>
      </c>
      <c r="D117" s="5" t="n">
        <v>1628051</v>
      </c>
      <c r="E117" s="5" t="n">
        <v>6</v>
      </c>
      <c r="F117" s="5" t="s">
        <v>2946</v>
      </c>
    </row>
    <row r="118" customFormat="false" ht="15" hidden="false" customHeight="false" outlineLevel="0" collapsed="false">
      <c r="A118" s="5" t="s">
        <v>3169</v>
      </c>
      <c r="B118" s="5" t="s">
        <v>2912</v>
      </c>
      <c r="C118" s="5" t="s">
        <v>3170</v>
      </c>
      <c r="D118" s="5" t="n">
        <v>1575405</v>
      </c>
      <c r="E118" s="5" t="n">
        <v>6</v>
      </c>
      <c r="F118" s="5" t="s">
        <v>2946</v>
      </c>
    </row>
    <row r="119" customFormat="false" ht="15" hidden="false" customHeight="false" outlineLevel="0" collapsed="false">
      <c r="A119" s="5" t="s">
        <v>3171</v>
      </c>
      <c r="B119" s="5" t="s">
        <v>2871</v>
      </c>
      <c r="C119" s="5" t="s">
        <v>3172</v>
      </c>
      <c r="D119" s="5" t="n">
        <v>1570205</v>
      </c>
      <c r="E119" s="5" t="n">
        <v>6</v>
      </c>
      <c r="F119" s="5" t="s">
        <v>2946</v>
      </c>
    </row>
    <row r="120" customFormat="false" ht="15" hidden="false" customHeight="false" outlineLevel="0" collapsed="false">
      <c r="A120" s="5" t="s">
        <v>3173</v>
      </c>
      <c r="B120" s="5" t="s">
        <v>2797</v>
      </c>
      <c r="C120" s="5" t="s">
        <v>3174</v>
      </c>
      <c r="D120" s="5" t="n">
        <v>1632717</v>
      </c>
      <c r="E120" s="5" t="n">
        <v>6</v>
      </c>
      <c r="F120" s="5" t="s">
        <v>2946</v>
      </c>
    </row>
    <row r="121" customFormat="false" ht="15" hidden="false" customHeight="false" outlineLevel="0" collapsed="false">
      <c r="A121" s="5" t="s">
        <v>3173</v>
      </c>
      <c r="B121" s="5" t="s">
        <v>2797</v>
      </c>
      <c r="C121" s="5" t="s">
        <v>3175</v>
      </c>
      <c r="D121" s="5" t="n">
        <v>1632717</v>
      </c>
      <c r="E121" s="5" t="n">
        <v>6</v>
      </c>
      <c r="F121" s="5" t="s">
        <v>2946</v>
      </c>
    </row>
    <row r="122" customFormat="false" ht="15" hidden="false" customHeight="false" outlineLevel="0" collapsed="false">
      <c r="A122" s="5" t="s">
        <v>3173</v>
      </c>
      <c r="B122" s="5" t="s">
        <v>2797</v>
      </c>
      <c r="C122" s="5" t="s">
        <v>3176</v>
      </c>
      <c r="D122" s="5" t="n">
        <v>1632717</v>
      </c>
      <c r="E122" s="5" t="n">
        <v>6</v>
      </c>
      <c r="F122" s="5" t="s">
        <v>2946</v>
      </c>
    </row>
    <row r="123" customFormat="false" ht="15" hidden="false" customHeight="false" outlineLevel="0" collapsed="false">
      <c r="A123" s="5" t="s">
        <v>3177</v>
      </c>
      <c r="B123" s="5" t="s">
        <v>2868</v>
      </c>
      <c r="C123" s="5" t="s">
        <v>3178</v>
      </c>
      <c r="D123" s="5" t="n">
        <v>1573523</v>
      </c>
      <c r="E123" s="5" t="n">
        <v>6</v>
      </c>
      <c r="F123" s="5" t="s">
        <v>2946</v>
      </c>
    </row>
    <row r="124" customFormat="false" ht="15" hidden="false" customHeight="false" outlineLevel="0" collapsed="false">
      <c r="A124" s="5" t="s">
        <v>3179</v>
      </c>
      <c r="B124" s="5" t="s">
        <v>2913</v>
      </c>
      <c r="C124" s="5" t="s">
        <v>3180</v>
      </c>
      <c r="D124" s="5" t="n">
        <v>272448</v>
      </c>
      <c r="E124" s="5" t="n">
        <v>1</v>
      </c>
      <c r="F124" s="5" t="s">
        <v>2946</v>
      </c>
    </row>
    <row r="125" customFormat="false" ht="15" hidden="false" customHeight="false" outlineLevel="0" collapsed="false">
      <c r="A125" s="5" t="s">
        <v>3181</v>
      </c>
      <c r="B125" s="5" t="s">
        <v>2914</v>
      </c>
      <c r="C125" s="5" t="s">
        <v>3182</v>
      </c>
      <c r="D125" s="5" t="n">
        <v>272659</v>
      </c>
      <c r="E125" s="5" t="n">
        <v>1</v>
      </c>
      <c r="F125" s="5" t="s">
        <v>2946</v>
      </c>
    </row>
    <row r="126" customFormat="false" ht="15" hidden="false" customHeight="false" outlineLevel="0" collapsed="false">
      <c r="A126" s="5" t="s">
        <v>3183</v>
      </c>
      <c r="B126" s="5" t="s">
        <v>2915</v>
      </c>
      <c r="C126" s="5" t="s">
        <v>3184</v>
      </c>
      <c r="D126" s="5" t="n">
        <v>272064</v>
      </c>
      <c r="E126" s="5" t="n">
        <v>1</v>
      </c>
      <c r="F126" s="5" t="s">
        <v>2946</v>
      </c>
    </row>
    <row r="127" customFormat="false" ht="15" hidden="false" customHeight="false" outlineLevel="0" collapsed="false">
      <c r="A127" s="5" t="s">
        <v>3185</v>
      </c>
      <c r="B127" s="5" t="s">
        <v>2756</v>
      </c>
      <c r="C127" s="5" t="s">
        <v>3186</v>
      </c>
      <c r="D127" s="5" t="n">
        <v>274108</v>
      </c>
      <c r="E127" s="5" t="n">
        <v>1</v>
      </c>
      <c r="F127" s="5" t="s">
        <v>2946</v>
      </c>
    </row>
    <row r="128" customFormat="false" ht="15" hidden="false" customHeight="false" outlineLevel="0" collapsed="false">
      <c r="A128" s="5" t="s">
        <v>3187</v>
      </c>
      <c r="B128" s="5" t="s">
        <v>2916</v>
      </c>
      <c r="C128" s="5" t="s">
        <v>3188</v>
      </c>
      <c r="D128" s="5" t="n">
        <v>272914</v>
      </c>
      <c r="E128" s="5" t="n">
        <v>1</v>
      </c>
      <c r="F128" s="5" t="s">
        <v>2946</v>
      </c>
    </row>
    <row r="129" customFormat="false" ht="15" hidden="false" customHeight="false" outlineLevel="0" collapsed="false">
      <c r="A129" s="5" t="s">
        <v>3189</v>
      </c>
      <c r="B129" s="5" t="s">
        <v>2917</v>
      </c>
      <c r="C129" s="5" t="s">
        <v>3190</v>
      </c>
      <c r="D129" s="5" t="n">
        <v>275155</v>
      </c>
      <c r="E129" s="5" t="n">
        <v>1</v>
      </c>
      <c r="F129" s="5" t="s">
        <v>2946</v>
      </c>
    </row>
    <row r="130" customFormat="false" ht="15" hidden="false" customHeight="false" outlineLevel="0" collapsed="false">
      <c r="A130" s="5" t="s">
        <v>3191</v>
      </c>
      <c r="B130" s="5" t="s">
        <v>2918</v>
      </c>
      <c r="C130" s="5" t="s">
        <v>3192</v>
      </c>
      <c r="D130" s="5" t="n">
        <v>274161</v>
      </c>
      <c r="E130" s="5" t="n">
        <v>1</v>
      </c>
      <c r="F130" s="5" t="s">
        <v>2946</v>
      </c>
    </row>
    <row r="131" customFormat="false" ht="15" hidden="false" customHeight="false" outlineLevel="0" collapsed="false">
      <c r="A131" s="5" t="s">
        <v>3193</v>
      </c>
      <c r="B131" s="5" t="s">
        <v>2919</v>
      </c>
      <c r="C131" s="5" t="s">
        <v>3194</v>
      </c>
      <c r="D131" s="5" t="n">
        <v>271384</v>
      </c>
      <c r="E131" s="5" t="n">
        <v>1</v>
      </c>
      <c r="F131" s="5" t="s">
        <v>2946</v>
      </c>
    </row>
    <row r="132" customFormat="false" ht="15" hidden="false" customHeight="false" outlineLevel="0" collapsed="false">
      <c r="A132" s="5" t="s">
        <v>3195</v>
      </c>
      <c r="B132" s="5" t="s">
        <v>2866</v>
      </c>
      <c r="C132" s="5" t="s">
        <v>3196</v>
      </c>
      <c r="D132" s="5" t="n">
        <v>279692</v>
      </c>
      <c r="E132" s="5" t="n">
        <v>1</v>
      </c>
      <c r="F132" s="5" t="s">
        <v>2946</v>
      </c>
    </row>
    <row r="133" customFormat="false" ht="15" hidden="false" customHeight="false" outlineLevel="0" collapsed="false">
      <c r="A133" s="5" t="s">
        <v>3197</v>
      </c>
      <c r="B133" s="5" t="s">
        <v>2757</v>
      </c>
      <c r="C133" s="5" t="s">
        <v>3198</v>
      </c>
      <c r="D133" s="5" t="n">
        <v>276869</v>
      </c>
      <c r="E133" s="5" t="n">
        <v>1</v>
      </c>
      <c r="F133" s="5" t="s">
        <v>2946</v>
      </c>
    </row>
    <row r="134" customFormat="false" ht="15" hidden="false" customHeight="false" outlineLevel="0" collapsed="false">
      <c r="A134" s="5" t="s">
        <v>3199</v>
      </c>
      <c r="B134" s="5" t="s">
        <v>2920</v>
      </c>
      <c r="C134" s="5" t="s">
        <v>3200</v>
      </c>
      <c r="D134" s="5" t="n">
        <v>278401</v>
      </c>
      <c r="E134" s="5" t="n">
        <v>1</v>
      </c>
      <c r="F134" s="5" t="s">
        <v>2946</v>
      </c>
    </row>
    <row r="135" customFormat="false" ht="15" hidden="false" customHeight="false" outlineLevel="0" collapsed="false">
      <c r="A135" s="5" t="s">
        <v>3201</v>
      </c>
      <c r="B135" s="5" t="s">
        <v>2921</v>
      </c>
      <c r="C135" s="5" t="s">
        <v>3202</v>
      </c>
      <c r="D135" s="5" t="n">
        <v>279725</v>
      </c>
      <c r="E135" s="5" t="n">
        <v>1</v>
      </c>
      <c r="F135" s="5" t="s">
        <v>2946</v>
      </c>
    </row>
    <row r="136" customFormat="false" ht="15" hidden="false" customHeight="false" outlineLevel="0" collapsed="false">
      <c r="A136" s="5" t="s">
        <v>3203</v>
      </c>
      <c r="B136" s="5" t="s">
        <v>2831</v>
      </c>
      <c r="C136" s="5" t="s">
        <v>3204</v>
      </c>
      <c r="D136" s="5" t="n">
        <v>278283</v>
      </c>
      <c r="E136" s="5" t="n">
        <v>1</v>
      </c>
      <c r="F136" s="5" t="s">
        <v>2946</v>
      </c>
    </row>
    <row r="137" customFormat="false" ht="15" hidden="false" customHeight="false" outlineLevel="0" collapsed="false">
      <c r="A137" s="5" t="s">
        <v>3205</v>
      </c>
      <c r="B137" s="5" t="s">
        <v>2922</v>
      </c>
      <c r="C137" s="5" t="s">
        <v>3206</v>
      </c>
      <c r="D137" s="5" t="n">
        <v>277271</v>
      </c>
      <c r="E137" s="5" t="n">
        <v>1</v>
      </c>
      <c r="F137" s="5" t="s">
        <v>2946</v>
      </c>
    </row>
    <row r="138" customFormat="false" ht="15" hidden="false" customHeight="false" outlineLevel="0" collapsed="false">
      <c r="A138" s="5" t="s">
        <v>3207</v>
      </c>
      <c r="B138" s="5" t="s">
        <v>2923</v>
      </c>
      <c r="C138" s="5" t="s">
        <v>3208</v>
      </c>
      <c r="D138" s="5" t="n">
        <v>276291</v>
      </c>
      <c r="E138" s="5" t="n">
        <v>1</v>
      </c>
      <c r="F138" s="5" t="s">
        <v>2946</v>
      </c>
    </row>
    <row r="139" customFormat="false" ht="15" hidden="false" customHeight="false" outlineLevel="0" collapsed="false">
      <c r="A139" s="5" t="s">
        <v>3209</v>
      </c>
      <c r="B139" s="5" t="s">
        <v>2924</v>
      </c>
      <c r="C139" s="5" t="s">
        <v>3210</v>
      </c>
      <c r="D139" s="5" t="n">
        <v>272206</v>
      </c>
      <c r="E139" s="5" t="n">
        <v>1</v>
      </c>
      <c r="F139" s="5" t="s">
        <v>2946</v>
      </c>
    </row>
    <row r="140" customFormat="false" ht="15" hidden="false" customHeight="false" outlineLevel="0" collapsed="false">
      <c r="A140" s="5" t="s">
        <v>3211</v>
      </c>
      <c r="B140" s="5" t="s">
        <v>2854</v>
      </c>
      <c r="C140" s="5" t="s">
        <v>3212</v>
      </c>
      <c r="D140" s="5" t="n">
        <v>273128</v>
      </c>
      <c r="E140" s="5" t="n">
        <v>1</v>
      </c>
      <c r="F140" s="5" t="s">
        <v>2946</v>
      </c>
    </row>
    <row r="141" customFormat="false" ht="15" hidden="false" customHeight="false" outlineLevel="0" collapsed="false">
      <c r="A141" s="5" t="s">
        <v>3213</v>
      </c>
      <c r="B141" s="5" t="s">
        <v>2925</v>
      </c>
      <c r="C141" s="5" t="s">
        <v>3214</v>
      </c>
      <c r="D141" s="5" t="n">
        <v>275430</v>
      </c>
      <c r="E141" s="5" t="n">
        <v>1</v>
      </c>
      <c r="F141" s="5" t="s">
        <v>2946</v>
      </c>
    </row>
    <row r="142" customFormat="false" ht="15" hidden="false" customHeight="false" outlineLevel="0" collapsed="false">
      <c r="A142" s="5" t="s">
        <v>3215</v>
      </c>
      <c r="B142" s="5" t="s">
        <v>2926</v>
      </c>
      <c r="C142" s="5" t="s">
        <v>3216</v>
      </c>
      <c r="D142" s="5" t="n">
        <v>274622</v>
      </c>
      <c r="E142" s="5" t="n">
        <v>1</v>
      </c>
      <c r="F142" s="5" t="s">
        <v>2946</v>
      </c>
    </row>
    <row r="143" customFormat="false" ht="15" hidden="false" customHeight="false" outlineLevel="0" collapsed="false">
      <c r="A143" s="5" t="s">
        <v>3217</v>
      </c>
      <c r="B143" s="5" t="s">
        <v>2927</v>
      </c>
      <c r="C143" s="5" t="s">
        <v>3218</v>
      </c>
      <c r="D143" s="5" t="n">
        <v>274537</v>
      </c>
      <c r="E143" s="5" t="n">
        <v>1</v>
      </c>
      <c r="F143" s="5" t="s">
        <v>2946</v>
      </c>
    </row>
    <row r="144" customFormat="false" ht="15" hidden="false" customHeight="false" outlineLevel="0" collapsed="false">
      <c r="A144" s="5" t="s">
        <v>3219</v>
      </c>
      <c r="B144" s="5" t="s">
        <v>2928</v>
      </c>
      <c r="C144" s="5" t="s">
        <v>3220</v>
      </c>
      <c r="D144" s="5" t="n">
        <v>274610</v>
      </c>
      <c r="E144" s="5" t="n">
        <v>1</v>
      </c>
      <c r="F144" s="5" t="s">
        <v>2946</v>
      </c>
    </row>
    <row r="145" customFormat="false" ht="15" hidden="false" customHeight="false" outlineLevel="0" collapsed="false">
      <c r="A145" s="5" t="s">
        <v>3221</v>
      </c>
      <c r="B145" s="5" t="s">
        <v>2859</v>
      </c>
      <c r="C145" s="5" t="s">
        <v>3222</v>
      </c>
      <c r="D145" s="5" t="n">
        <v>288489</v>
      </c>
      <c r="E145" s="5" t="n">
        <v>1</v>
      </c>
      <c r="F145" s="5" t="s">
        <v>2946</v>
      </c>
    </row>
    <row r="146" customFormat="false" ht="15" hidden="false" customHeight="false" outlineLevel="0" collapsed="false">
      <c r="A146" s="5" t="s">
        <v>3223</v>
      </c>
      <c r="B146" s="5" t="s">
        <v>2931</v>
      </c>
      <c r="C146" s="5" t="s">
        <v>3224</v>
      </c>
      <c r="D146" s="5" t="n">
        <v>289436</v>
      </c>
      <c r="E146" s="5" t="n">
        <v>1</v>
      </c>
      <c r="F146" s="5" t="s">
        <v>2946</v>
      </c>
    </row>
    <row r="147" customFormat="false" ht="15" hidden="false" customHeight="false" outlineLevel="0" collapsed="false">
      <c r="A147" s="5" t="s">
        <v>3225</v>
      </c>
      <c r="B147" s="5" t="s">
        <v>2932</v>
      </c>
      <c r="C147" s="5" t="s">
        <v>3226</v>
      </c>
      <c r="D147" s="5" t="n">
        <v>288062</v>
      </c>
      <c r="E147" s="5" t="n">
        <v>1</v>
      </c>
      <c r="F147" s="5" t="s">
        <v>2946</v>
      </c>
    </row>
    <row r="148" customFormat="false" ht="15" hidden="false" customHeight="false" outlineLevel="0" collapsed="false">
      <c r="A148" s="5" t="s">
        <v>3227</v>
      </c>
      <c r="B148" s="5" t="s">
        <v>2860</v>
      </c>
      <c r="C148" s="5" t="s">
        <v>3228</v>
      </c>
      <c r="D148" s="5" t="n">
        <v>287873</v>
      </c>
      <c r="E148" s="5" t="n">
        <v>1</v>
      </c>
      <c r="F148" s="5" t="s">
        <v>2946</v>
      </c>
    </row>
    <row r="149" customFormat="false" ht="15" hidden="false" customHeight="false" outlineLevel="0" collapsed="false">
      <c r="A149" s="5" t="s">
        <v>3229</v>
      </c>
      <c r="B149" s="5" t="s">
        <v>2933</v>
      </c>
      <c r="C149" s="5" t="s">
        <v>3230</v>
      </c>
      <c r="D149" s="5" t="n">
        <v>287524</v>
      </c>
      <c r="E149" s="5" t="n">
        <v>1</v>
      </c>
      <c r="F149" s="5" t="s">
        <v>2946</v>
      </c>
    </row>
    <row r="150" customFormat="false" ht="15" hidden="false" customHeight="false" outlineLevel="0" collapsed="false">
      <c r="A150" s="5" t="s">
        <v>3231</v>
      </c>
      <c r="B150" s="5" t="s">
        <v>2861</v>
      </c>
      <c r="C150" s="5" t="s">
        <v>3232</v>
      </c>
      <c r="D150" s="5" t="n">
        <v>288904</v>
      </c>
      <c r="E150" s="5" t="n">
        <v>1</v>
      </c>
      <c r="F150" s="5" t="s">
        <v>2946</v>
      </c>
    </row>
    <row r="151" customFormat="false" ht="15" hidden="false" customHeight="false" outlineLevel="0" collapsed="false">
      <c r="A151" s="5" t="s">
        <v>3233</v>
      </c>
      <c r="B151" s="5" t="s">
        <v>2785</v>
      </c>
      <c r="C151" s="5" t="s">
        <v>3234</v>
      </c>
      <c r="D151" s="5" t="n">
        <v>231426</v>
      </c>
      <c r="E151" s="5" t="n">
        <v>2</v>
      </c>
      <c r="F151" s="5" t="s">
        <v>2946</v>
      </c>
    </row>
  </sheetData>
  <autoFilter ref="A1:F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3" min="3" style="0" width="24"/>
    <col collapsed="false" customWidth="true" hidden="false" outlineLevel="0" max="4" min="4" style="0" width="8"/>
    <col collapsed="false" customWidth="true" hidden="false" outlineLevel="0" max="5" min="5" style="0" width="12"/>
    <col collapsed="false" customWidth="true" hidden="false" outlineLevel="0" max="6" min="6" style="0" width="22"/>
    <col collapsed="false" customWidth="true" hidden="false" outlineLevel="0" max="7" min="7" style="0" width="14"/>
    <col collapsed="false" customWidth="true" hidden="false" outlineLevel="0" max="8" min="8" style="0" width="22"/>
    <col collapsed="false" customWidth="true" hidden="false" outlineLevel="0" max="9" min="9" style="0" width="62"/>
    <col collapsed="false" customWidth="true" hidden="false" outlineLevel="0" max="10" min="10" style="0" width="70"/>
  </cols>
  <sheetData>
    <row r="1" customFormat="false" ht="33.75" hidden="false" customHeight="true" outlineLevel="0" collapsed="false">
      <c r="A1" s="4" t="s">
        <v>66</v>
      </c>
      <c r="B1" s="4" t="s">
        <v>3235</v>
      </c>
      <c r="C1" s="4" t="s">
        <v>3236</v>
      </c>
      <c r="D1" s="4" t="s">
        <v>2942</v>
      </c>
      <c r="E1" s="4" t="s">
        <v>68</v>
      </c>
      <c r="F1" s="4" t="s">
        <v>1539</v>
      </c>
      <c r="G1" s="4" t="s">
        <v>3237</v>
      </c>
      <c r="H1" s="4" t="s">
        <v>1540</v>
      </c>
      <c r="I1" s="4" t="s">
        <v>3238</v>
      </c>
      <c r="J1" s="4" t="s">
        <v>2943</v>
      </c>
    </row>
    <row r="2" customFormat="false" ht="23.85" hidden="false" customHeight="false" outlineLevel="0" collapsed="false">
      <c r="A2" s="5" t="s">
        <v>192</v>
      </c>
      <c r="B2" s="5" t="s">
        <v>2838</v>
      </c>
      <c r="C2" s="5" t="s">
        <v>199</v>
      </c>
      <c r="D2" s="5" t="n">
        <v>2</v>
      </c>
      <c r="E2" s="5" t="s">
        <v>92</v>
      </c>
      <c r="F2" s="5" t="s">
        <v>193</v>
      </c>
      <c r="G2" s="5" t="s">
        <v>3239</v>
      </c>
      <c r="H2" s="6" t="s">
        <v>195</v>
      </c>
      <c r="I2" s="6" t="s">
        <v>3240</v>
      </c>
      <c r="J2" s="6" t="s">
        <v>3241</v>
      </c>
    </row>
    <row r="3" customFormat="false" ht="23.85" hidden="false" customHeight="false" outlineLevel="0" collapsed="false">
      <c r="A3" s="5" t="s">
        <v>201</v>
      </c>
      <c r="B3" s="5" t="s">
        <v>2839</v>
      </c>
      <c r="C3" s="5" t="s">
        <v>106</v>
      </c>
      <c r="D3" s="5" t="n">
        <v>2</v>
      </c>
      <c r="E3" s="5" t="s">
        <v>92</v>
      </c>
      <c r="F3" s="5" t="s">
        <v>202</v>
      </c>
      <c r="G3" s="5" t="s">
        <v>3239</v>
      </c>
      <c r="H3" s="6" t="s">
        <v>203</v>
      </c>
      <c r="I3" s="6" t="s">
        <v>3242</v>
      </c>
      <c r="J3" s="6" t="s">
        <v>3241</v>
      </c>
    </row>
    <row r="4" customFormat="false" ht="23.85" hidden="false" customHeight="false" outlineLevel="0" collapsed="false">
      <c r="A4" s="5" t="s">
        <v>207</v>
      </c>
      <c r="B4" s="5" t="s">
        <v>2770</v>
      </c>
      <c r="C4" s="5" t="s">
        <v>213</v>
      </c>
      <c r="D4" s="5" t="n">
        <v>2</v>
      </c>
      <c r="E4" s="5" t="s">
        <v>92</v>
      </c>
      <c r="F4" s="5" t="s">
        <v>208</v>
      </c>
      <c r="G4" s="5" t="s">
        <v>3239</v>
      </c>
      <c r="H4" s="5" t="s">
        <v>210</v>
      </c>
      <c r="I4" s="6" t="s">
        <v>3243</v>
      </c>
      <c r="J4" s="6" t="s">
        <v>3241</v>
      </c>
    </row>
    <row r="5" customFormat="false" ht="23.85" hidden="false" customHeight="false" outlineLevel="0" collapsed="false">
      <c r="A5" s="5" t="s">
        <v>215</v>
      </c>
      <c r="B5" s="5" t="s">
        <v>2840</v>
      </c>
      <c r="C5" s="5" t="s">
        <v>221</v>
      </c>
      <c r="D5" s="5" t="n">
        <v>2</v>
      </c>
      <c r="E5" s="5" t="s">
        <v>92</v>
      </c>
      <c r="F5" s="5" t="s">
        <v>216</v>
      </c>
      <c r="G5" s="5" t="s">
        <v>3239</v>
      </c>
      <c r="H5" s="5" t="s">
        <v>218</v>
      </c>
      <c r="I5" s="6" t="s">
        <v>3244</v>
      </c>
      <c r="J5" s="6" t="s">
        <v>3241</v>
      </c>
    </row>
    <row r="6" customFormat="false" ht="23.85" hidden="false" customHeight="false" outlineLevel="0" collapsed="false">
      <c r="A6" s="5" t="s">
        <v>223</v>
      </c>
      <c r="B6" s="5" t="s">
        <v>2841</v>
      </c>
      <c r="C6" s="5" t="s">
        <v>230</v>
      </c>
      <c r="D6" s="5" t="n">
        <v>3</v>
      </c>
      <c r="E6" s="5" t="s">
        <v>92</v>
      </c>
      <c r="F6" s="5" t="s">
        <v>224</v>
      </c>
      <c r="G6" s="5" t="s">
        <v>3239</v>
      </c>
      <c r="H6" s="5" t="s">
        <v>226</v>
      </c>
      <c r="I6" s="6" t="s">
        <v>3245</v>
      </c>
      <c r="J6" s="6" t="s">
        <v>3241</v>
      </c>
    </row>
    <row r="7" customFormat="false" ht="23.85" hidden="false" customHeight="false" outlineLevel="0" collapsed="false">
      <c r="A7" s="5" t="s">
        <v>1351</v>
      </c>
      <c r="B7" s="5" t="s">
        <v>2829</v>
      </c>
      <c r="C7" s="5" t="s">
        <v>800</v>
      </c>
      <c r="D7" s="5" t="n">
        <v>1</v>
      </c>
      <c r="E7" s="5" t="s">
        <v>1203</v>
      </c>
      <c r="F7" s="5" t="s">
        <v>1352</v>
      </c>
      <c r="G7" s="5" t="s">
        <v>3246</v>
      </c>
      <c r="H7" s="5" t="s">
        <v>760</v>
      </c>
      <c r="I7" s="6" t="s">
        <v>3247</v>
      </c>
      <c r="J7" s="6" t="s">
        <v>3241</v>
      </c>
    </row>
    <row r="8" customFormat="false" ht="23.85" hidden="false" customHeight="false" outlineLevel="0" collapsed="false">
      <c r="A8" s="5" t="s">
        <v>948</v>
      </c>
      <c r="B8" s="5" t="s">
        <v>2829</v>
      </c>
      <c r="C8" s="5" t="s">
        <v>794</v>
      </c>
      <c r="D8" s="5" t="n">
        <v>1</v>
      </c>
      <c r="E8" s="5" t="s">
        <v>786</v>
      </c>
      <c r="F8" s="5" t="s">
        <v>949</v>
      </c>
      <c r="G8" s="5" t="s">
        <v>3248</v>
      </c>
      <c r="H8" s="5" t="s">
        <v>760</v>
      </c>
      <c r="I8" s="6" t="s">
        <v>3249</v>
      </c>
      <c r="J8" s="6" t="s">
        <v>3241</v>
      </c>
    </row>
    <row r="9" customFormat="false" ht="23.85" hidden="false" customHeight="false" outlineLevel="0" collapsed="false">
      <c r="A9" s="5" t="s">
        <v>758</v>
      </c>
      <c r="B9" s="5" t="s">
        <v>2829</v>
      </c>
      <c r="C9" s="5" t="s">
        <v>538</v>
      </c>
      <c r="D9" s="5" t="n">
        <v>4</v>
      </c>
      <c r="E9" s="5" t="s">
        <v>497</v>
      </c>
      <c r="F9" s="5" t="s">
        <v>759</v>
      </c>
      <c r="G9" s="5" t="s">
        <v>3250</v>
      </c>
      <c r="H9" s="5" t="s">
        <v>760</v>
      </c>
      <c r="I9" s="6" t="s">
        <v>3251</v>
      </c>
      <c r="J9" s="6" t="s">
        <v>3241</v>
      </c>
    </row>
    <row r="10" customFormat="false" ht="23.85" hidden="false" customHeight="false" outlineLevel="0" collapsed="false">
      <c r="A10" s="5" t="s">
        <v>1212</v>
      </c>
      <c r="B10" s="5" t="s">
        <v>2869</v>
      </c>
      <c r="C10" s="5" t="s">
        <v>800</v>
      </c>
      <c r="D10" s="5" t="n">
        <v>1</v>
      </c>
      <c r="E10" s="5" t="s">
        <v>1203</v>
      </c>
      <c r="F10" s="5" t="s">
        <v>1213</v>
      </c>
      <c r="G10" s="5" t="s">
        <v>3252</v>
      </c>
      <c r="H10" s="5" t="s">
        <v>1215</v>
      </c>
      <c r="I10" s="6" t="s">
        <v>3253</v>
      </c>
      <c r="J10" s="6" t="s">
        <v>3241</v>
      </c>
    </row>
    <row r="11" customFormat="false" ht="23.85" hidden="false" customHeight="false" outlineLevel="0" collapsed="false">
      <c r="A11" s="5" t="s">
        <v>731</v>
      </c>
      <c r="B11" s="5" t="s">
        <v>2869</v>
      </c>
      <c r="C11" s="5" t="s">
        <v>531</v>
      </c>
      <c r="D11" s="5" t="n">
        <v>4</v>
      </c>
      <c r="E11" s="5" t="s">
        <v>497</v>
      </c>
      <c r="F11" s="5" t="s">
        <v>732</v>
      </c>
      <c r="G11" s="5" t="s">
        <v>3254</v>
      </c>
      <c r="H11" s="5" t="s">
        <v>733</v>
      </c>
      <c r="I11" s="6" t="s">
        <v>3255</v>
      </c>
      <c r="J11" s="6" t="s">
        <v>3241</v>
      </c>
    </row>
    <row r="12" customFormat="false" ht="23.85" hidden="false" customHeight="false" outlineLevel="0" collapsed="false">
      <c r="A12" s="5" t="s">
        <v>860</v>
      </c>
      <c r="B12" s="5" t="s">
        <v>2869</v>
      </c>
      <c r="C12" s="5" t="s">
        <v>807</v>
      </c>
      <c r="D12" s="5" t="n">
        <v>1</v>
      </c>
      <c r="E12" s="5" t="s">
        <v>786</v>
      </c>
      <c r="F12" s="5" t="s">
        <v>861</v>
      </c>
      <c r="G12" s="5" t="s">
        <v>3256</v>
      </c>
      <c r="H12" s="5" t="s">
        <v>733</v>
      </c>
      <c r="I12" s="6" t="s">
        <v>3257</v>
      </c>
      <c r="J12" s="6" t="s">
        <v>3241</v>
      </c>
    </row>
    <row r="13" customFormat="false" ht="23.85" hidden="false" customHeight="false" outlineLevel="0" collapsed="false">
      <c r="A13" s="5" t="s">
        <v>1533</v>
      </c>
      <c r="B13" s="5" t="s">
        <v>2791</v>
      </c>
      <c r="C13" s="5" t="s">
        <v>800</v>
      </c>
      <c r="D13" s="5" t="n">
        <v>1</v>
      </c>
      <c r="E13" s="5" t="s">
        <v>1535</v>
      </c>
      <c r="F13" s="5"/>
      <c r="G13" s="5" t="s">
        <v>3258</v>
      </c>
      <c r="H13" s="5"/>
      <c r="I13" s="6" t="s">
        <v>3259</v>
      </c>
      <c r="J13" s="6" t="s">
        <v>3241</v>
      </c>
    </row>
    <row r="14" customFormat="false" ht="23.85" hidden="false" customHeight="false" outlineLevel="0" collapsed="false">
      <c r="A14" s="5" t="s">
        <v>483</v>
      </c>
      <c r="B14" s="5" t="s">
        <v>2791</v>
      </c>
      <c r="C14" s="5" t="s">
        <v>493</v>
      </c>
      <c r="D14" s="5" t="n">
        <v>2</v>
      </c>
      <c r="E14" s="5" t="s">
        <v>92</v>
      </c>
      <c r="F14" s="5" t="s">
        <v>484</v>
      </c>
      <c r="G14" s="5" t="s">
        <v>3260</v>
      </c>
      <c r="H14" s="5" t="s">
        <v>489</v>
      </c>
      <c r="I14" s="6" t="s">
        <v>3261</v>
      </c>
      <c r="J14" s="6" t="s">
        <v>3241</v>
      </c>
    </row>
    <row r="15" customFormat="false" ht="23.85" hidden="false" customHeight="false" outlineLevel="0" collapsed="false">
      <c r="A15" s="5" t="s">
        <v>815</v>
      </c>
      <c r="B15" s="5" t="s">
        <v>2791</v>
      </c>
      <c r="C15" s="5" t="s">
        <v>817</v>
      </c>
      <c r="D15" s="5" t="n">
        <v>1</v>
      </c>
      <c r="E15" s="5" t="s">
        <v>786</v>
      </c>
      <c r="F15" s="5" t="s">
        <v>816</v>
      </c>
      <c r="G15" s="5" t="s">
        <v>3262</v>
      </c>
      <c r="H15" s="5" t="s">
        <v>669</v>
      </c>
      <c r="I15" s="6" t="s">
        <v>3263</v>
      </c>
      <c r="J15" s="6" t="s">
        <v>3241</v>
      </c>
    </row>
    <row r="16" customFormat="false" ht="23.85" hidden="false" customHeight="false" outlineLevel="0" collapsed="false">
      <c r="A16" s="5" t="s">
        <v>990</v>
      </c>
      <c r="B16" s="5" t="s">
        <v>2791</v>
      </c>
      <c r="C16" s="5" t="s">
        <v>996</v>
      </c>
      <c r="D16" s="5" t="n">
        <v>3</v>
      </c>
      <c r="E16" s="5" t="s">
        <v>992</v>
      </c>
      <c r="F16" s="5" t="s">
        <v>993</v>
      </c>
      <c r="G16" s="5" t="s">
        <v>3258</v>
      </c>
      <c r="H16" s="5"/>
      <c r="I16" s="6" t="s">
        <v>3264</v>
      </c>
      <c r="J16" s="6" t="s">
        <v>3241</v>
      </c>
    </row>
    <row r="17" customFormat="false" ht="23.85" hidden="false" customHeight="false" outlineLevel="0" collapsed="false">
      <c r="A17" s="5" t="s">
        <v>998</v>
      </c>
      <c r="B17" s="5" t="s">
        <v>2791</v>
      </c>
      <c r="C17" s="5" t="s">
        <v>1001</v>
      </c>
      <c r="D17" s="5" t="n">
        <v>3</v>
      </c>
      <c r="E17" s="5" t="s">
        <v>992</v>
      </c>
      <c r="F17" s="5" t="s">
        <v>999</v>
      </c>
      <c r="G17" s="5" t="s">
        <v>3258</v>
      </c>
      <c r="H17" s="5"/>
      <c r="I17" s="6" t="s">
        <v>3265</v>
      </c>
      <c r="J17" s="6" t="s">
        <v>3241</v>
      </c>
    </row>
    <row r="18" customFormat="false" ht="23.85" hidden="false" customHeight="false" outlineLevel="0" collapsed="false">
      <c r="A18" s="5" t="s">
        <v>665</v>
      </c>
      <c r="B18" s="5" t="s">
        <v>2791</v>
      </c>
      <c r="C18" s="5" t="s">
        <v>671</v>
      </c>
      <c r="D18" s="5" t="n">
        <v>2</v>
      </c>
      <c r="E18" s="5" t="s">
        <v>497</v>
      </c>
      <c r="F18" s="5" t="s">
        <v>666</v>
      </c>
      <c r="G18" s="5" t="s">
        <v>3266</v>
      </c>
      <c r="H18" s="5" t="s">
        <v>669</v>
      </c>
      <c r="I18" s="6" t="s">
        <v>3267</v>
      </c>
      <c r="J18" s="6" t="s">
        <v>3241</v>
      </c>
    </row>
    <row r="19" customFormat="false" ht="23.85" hidden="false" customHeight="false" outlineLevel="0" collapsed="false">
      <c r="A19" s="5" t="s">
        <v>1219</v>
      </c>
      <c r="B19" s="5" t="s">
        <v>2742</v>
      </c>
      <c r="C19" s="5" t="s">
        <v>800</v>
      </c>
      <c r="D19" s="5" t="n">
        <v>1</v>
      </c>
      <c r="E19" s="5" t="s">
        <v>1203</v>
      </c>
      <c r="F19" s="5" t="s">
        <v>1220</v>
      </c>
      <c r="G19" s="5" t="s">
        <v>3252</v>
      </c>
      <c r="H19" s="5" t="s">
        <v>1221</v>
      </c>
      <c r="I19" s="6" t="s">
        <v>3268</v>
      </c>
      <c r="J19" s="6" t="s">
        <v>3241</v>
      </c>
    </row>
    <row r="20" customFormat="false" ht="23.85" hidden="false" customHeight="false" outlineLevel="0" collapsed="false">
      <c r="A20" s="5" t="s">
        <v>726</v>
      </c>
      <c r="B20" s="5" t="s">
        <v>2742</v>
      </c>
      <c r="C20" s="5" t="s">
        <v>531</v>
      </c>
      <c r="D20" s="5" t="n">
        <v>4</v>
      </c>
      <c r="E20" s="5" t="s">
        <v>497</v>
      </c>
      <c r="F20" s="5" t="s">
        <v>727</v>
      </c>
      <c r="G20" s="5" t="s">
        <v>3254</v>
      </c>
      <c r="H20" s="5" t="s">
        <v>728</v>
      </c>
      <c r="I20" s="6" t="s">
        <v>3269</v>
      </c>
      <c r="J20" s="6" t="s">
        <v>3241</v>
      </c>
    </row>
    <row r="21" customFormat="false" ht="23.85" hidden="false" customHeight="false" outlineLevel="0" collapsed="false">
      <c r="A21" s="5" t="s">
        <v>855</v>
      </c>
      <c r="B21" s="5" t="s">
        <v>2742</v>
      </c>
      <c r="C21" s="5" t="s">
        <v>807</v>
      </c>
      <c r="D21" s="5" t="n">
        <v>1</v>
      </c>
      <c r="E21" s="5" t="s">
        <v>786</v>
      </c>
      <c r="F21" s="5" t="s">
        <v>856</v>
      </c>
      <c r="G21" s="5" t="s">
        <v>3256</v>
      </c>
      <c r="H21" s="5" t="s">
        <v>728</v>
      </c>
      <c r="I21" s="6" t="s">
        <v>3270</v>
      </c>
      <c r="J21" s="6" t="s">
        <v>3241</v>
      </c>
    </row>
    <row r="22" customFormat="false" ht="23.85" hidden="false" customHeight="false" outlineLevel="0" collapsed="false">
      <c r="A22" s="5" t="s">
        <v>1261</v>
      </c>
      <c r="B22" s="5" t="s">
        <v>2833</v>
      </c>
      <c r="C22" s="5" t="s">
        <v>800</v>
      </c>
      <c r="D22" s="5" t="n">
        <v>1</v>
      </c>
      <c r="E22" s="5" t="s">
        <v>1203</v>
      </c>
      <c r="F22" s="5" t="s">
        <v>1262</v>
      </c>
      <c r="G22" s="5" t="s">
        <v>3271</v>
      </c>
      <c r="H22" s="5" t="s">
        <v>1263</v>
      </c>
      <c r="I22" s="6" t="s">
        <v>3272</v>
      </c>
      <c r="J22" s="6" t="s">
        <v>3241</v>
      </c>
    </row>
    <row r="23" customFormat="false" ht="23.85" hidden="false" customHeight="false" outlineLevel="0" collapsed="false">
      <c r="A23" s="5" t="s">
        <v>586</v>
      </c>
      <c r="B23" s="5" t="s">
        <v>2833</v>
      </c>
      <c r="C23" s="5" t="s">
        <v>531</v>
      </c>
      <c r="D23" s="5" t="n">
        <v>4</v>
      </c>
      <c r="E23" s="5" t="s">
        <v>497</v>
      </c>
      <c r="F23" s="5" t="s">
        <v>587</v>
      </c>
      <c r="G23" s="5" t="s">
        <v>3273</v>
      </c>
      <c r="H23" s="5" t="s">
        <v>588</v>
      </c>
      <c r="I23" s="6" t="s">
        <v>3274</v>
      </c>
      <c r="J23" s="6" t="s">
        <v>3241</v>
      </c>
    </row>
    <row r="24" customFormat="false" ht="23.85" hidden="false" customHeight="false" outlineLevel="0" collapsed="false">
      <c r="A24" s="5" t="s">
        <v>935</v>
      </c>
      <c r="B24" s="5" t="s">
        <v>2833</v>
      </c>
      <c r="C24" s="5" t="s">
        <v>807</v>
      </c>
      <c r="D24" s="5" t="n">
        <v>1</v>
      </c>
      <c r="E24" s="5" t="s">
        <v>786</v>
      </c>
      <c r="F24" s="5" t="s">
        <v>936</v>
      </c>
      <c r="G24" s="5" t="s">
        <v>3275</v>
      </c>
      <c r="H24" s="5" t="s">
        <v>588</v>
      </c>
      <c r="I24" s="6" t="s">
        <v>3276</v>
      </c>
      <c r="J24" s="6" t="s">
        <v>3241</v>
      </c>
    </row>
    <row r="25" customFormat="false" ht="23.85" hidden="false" customHeight="false" outlineLevel="0" collapsed="false">
      <c r="A25" s="5" t="s">
        <v>1289</v>
      </c>
      <c r="B25" s="5" t="s">
        <v>2774</v>
      </c>
      <c r="C25" s="5" t="s">
        <v>800</v>
      </c>
      <c r="D25" s="5" t="n">
        <v>1</v>
      </c>
      <c r="E25" s="5" t="s">
        <v>1203</v>
      </c>
      <c r="F25" s="5" t="s">
        <v>1290</v>
      </c>
      <c r="G25" s="5" t="s">
        <v>3277</v>
      </c>
      <c r="H25" s="5" t="s">
        <v>1291</v>
      </c>
      <c r="I25" s="6" t="s">
        <v>3278</v>
      </c>
      <c r="J25" s="6" t="s">
        <v>3241</v>
      </c>
    </row>
    <row r="26" customFormat="false" ht="23.85" hidden="false" customHeight="false" outlineLevel="0" collapsed="false">
      <c r="A26" s="5" t="s">
        <v>631</v>
      </c>
      <c r="B26" s="5" t="s">
        <v>2774</v>
      </c>
      <c r="C26" s="5" t="s">
        <v>635</v>
      </c>
      <c r="D26" s="5" t="n">
        <v>4</v>
      </c>
      <c r="E26" s="5" t="s">
        <v>497</v>
      </c>
      <c r="F26" s="5" t="s">
        <v>632</v>
      </c>
      <c r="G26" s="5" t="s">
        <v>3279</v>
      </c>
      <c r="H26" s="5" t="s">
        <v>633</v>
      </c>
      <c r="I26" s="6" t="s">
        <v>3280</v>
      </c>
      <c r="J26" s="6" t="s">
        <v>3241</v>
      </c>
    </row>
    <row r="27" customFormat="false" ht="23.85" hidden="false" customHeight="false" outlineLevel="0" collapsed="false">
      <c r="A27" s="5" t="s">
        <v>987</v>
      </c>
      <c r="B27" s="5" t="s">
        <v>2774</v>
      </c>
      <c r="C27" s="5" t="s">
        <v>807</v>
      </c>
      <c r="D27" s="5" t="n">
        <v>1</v>
      </c>
      <c r="E27" s="5" t="s">
        <v>786</v>
      </c>
      <c r="F27" s="5" t="s">
        <v>988</v>
      </c>
      <c r="G27" s="5" t="s">
        <v>3277</v>
      </c>
      <c r="H27" s="5" t="s">
        <v>633</v>
      </c>
      <c r="I27" s="6" t="s">
        <v>3281</v>
      </c>
      <c r="J27" s="6" t="s">
        <v>3241</v>
      </c>
    </row>
    <row r="28" customFormat="false" ht="23.85" hidden="false" customHeight="false" outlineLevel="0" collapsed="false">
      <c r="A28" s="5" t="s">
        <v>1294</v>
      </c>
      <c r="B28" s="5" t="s">
        <v>2750</v>
      </c>
      <c r="C28" s="5" t="s">
        <v>800</v>
      </c>
      <c r="D28" s="5" t="n">
        <v>1</v>
      </c>
      <c r="E28" s="5" t="s">
        <v>1203</v>
      </c>
      <c r="F28" s="5" t="s">
        <v>1295</v>
      </c>
      <c r="G28" s="5" t="s">
        <v>3277</v>
      </c>
      <c r="H28" s="5" t="s">
        <v>1296</v>
      </c>
      <c r="I28" s="6" t="s">
        <v>3282</v>
      </c>
      <c r="J28" s="6" t="s">
        <v>3241</v>
      </c>
    </row>
    <row r="29" customFormat="false" ht="23.85" hidden="false" customHeight="false" outlineLevel="0" collapsed="false">
      <c r="A29" s="5" t="s">
        <v>980</v>
      </c>
      <c r="B29" s="5" t="s">
        <v>2750</v>
      </c>
      <c r="C29" s="5" t="s">
        <v>794</v>
      </c>
      <c r="D29" s="5" t="n">
        <v>1</v>
      </c>
      <c r="E29" s="5" t="s">
        <v>786</v>
      </c>
      <c r="F29" s="5" t="s">
        <v>981</v>
      </c>
      <c r="G29" s="5" t="s">
        <v>3277</v>
      </c>
      <c r="H29" s="5" t="s">
        <v>628</v>
      </c>
      <c r="I29" s="6" t="s">
        <v>3283</v>
      </c>
      <c r="J29" s="6" t="s">
        <v>3241</v>
      </c>
    </row>
    <row r="30" customFormat="false" ht="23.85" hidden="false" customHeight="false" outlineLevel="0" collapsed="false">
      <c r="A30" s="5" t="s">
        <v>625</v>
      </c>
      <c r="B30" s="5" t="s">
        <v>2750</v>
      </c>
      <c r="C30" s="5" t="s">
        <v>538</v>
      </c>
      <c r="D30" s="5" t="n">
        <v>4</v>
      </c>
      <c r="E30" s="5" t="s">
        <v>497</v>
      </c>
      <c r="F30" s="5" t="s">
        <v>626</v>
      </c>
      <c r="G30" s="5" t="s">
        <v>3279</v>
      </c>
      <c r="H30" s="5" t="s">
        <v>628</v>
      </c>
      <c r="I30" s="6" t="s">
        <v>3284</v>
      </c>
      <c r="J30" s="6" t="s">
        <v>3241</v>
      </c>
    </row>
    <row r="31" customFormat="false" ht="23.85" hidden="false" customHeight="false" outlineLevel="0" collapsed="false">
      <c r="A31" s="5" t="s">
        <v>1303</v>
      </c>
      <c r="B31" s="5" t="s">
        <v>2759</v>
      </c>
      <c r="C31" s="5" t="s">
        <v>800</v>
      </c>
      <c r="D31" s="5" t="n">
        <v>1</v>
      </c>
      <c r="E31" s="5" t="s">
        <v>1203</v>
      </c>
      <c r="F31" s="5" t="s">
        <v>1304</v>
      </c>
      <c r="G31" s="5" t="s">
        <v>3285</v>
      </c>
      <c r="H31" s="5" t="s">
        <v>806</v>
      </c>
      <c r="I31" s="6" t="s">
        <v>3286</v>
      </c>
      <c r="J31" s="6" t="s">
        <v>3241</v>
      </c>
    </row>
    <row r="32" customFormat="false" ht="23.85" hidden="false" customHeight="false" outlineLevel="0" collapsed="false">
      <c r="A32" s="5" t="s">
        <v>659</v>
      </c>
      <c r="B32" s="5" t="s">
        <v>2759</v>
      </c>
      <c r="C32" s="5" t="s">
        <v>531</v>
      </c>
      <c r="D32" s="5" t="n">
        <v>4</v>
      </c>
      <c r="E32" s="5" t="s">
        <v>497</v>
      </c>
      <c r="F32" s="5" t="s">
        <v>660</v>
      </c>
      <c r="G32" s="5" t="s">
        <v>3287</v>
      </c>
      <c r="H32" s="5" t="s">
        <v>661</v>
      </c>
      <c r="I32" s="6" t="s">
        <v>3288</v>
      </c>
      <c r="J32" s="6" t="s">
        <v>3241</v>
      </c>
    </row>
    <row r="33" customFormat="false" ht="23.85" hidden="false" customHeight="false" outlineLevel="0" collapsed="false">
      <c r="A33" s="5" t="s">
        <v>802</v>
      </c>
      <c r="B33" s="5" t="s">
        <v>2759</v>
      </c>
      <c r="C33" s="5" t="s">
        <v>807</v>
      </c>
      <c r="D33" s="5" t="n">
        <v>1</v>
      </c>
      <c r="E33" s="5" t="s">
        <v>786</v>
      </c>
      <c r="F33" s="5" t="s">
        <v>803</v>
      </c>
      <c r="G33" s="5" t="s">
        <v>3289</v>
      </c>
      <c r="H33" s="5" t="s">
        <v>806</v>
      </c>
      <c r="I33" s="6" t="s">
        <v>3290</v>
      </c>
      <c r="J33" s="6" t="s">
        <v>3241</v>
      </c>
    </row>
    <row r="34" customFormat="false" ht="23.85" hidden="false" customHeight="false" outlineLevel="0" collapsed="false">
      <c r="A34" s="5" t="s">
        <v>1298</v>
      </c>
      <c r="B34" s="5" t="s">
        <v>2911</v>
      </c>
      <c r="C34" s="5" t="s">
        <v>800</v>
      </c>
      <c r="D34" s="5" t="n">
        <v>1</v>
      </c>
      <c r="E34" s="5" t="s">
        <v>1203</v>
      </c>
      <c r="F34" s="5" t="s">
        <v>1299</v>
      </c>
      <c r="G34" s="5" t="s">
        <v>3285</v>
      </c>
      <c r="H34" s="5" t="s">
        <v>822</v>
      </c>
      <c r="I34" s="6" t="s">
        <v>3291</v>
      </c>
      <c r="J34" s="6" t="s">
        <v>3241</v>
      </c>
    </row>
    <row r="35" customFormat="false" ht="23.85" hidden="false" customHeight="false" outlineLevel="0" collapsed="false">
      <c r="A35" s="5" t="s">
        <v>819</v>
      </c>
      <c r="B35" s="5" t="s">
        <v>2911</v>
      </c>
      <c r="C35" s="5" t="s">
        <v>794</v>
      </c>
      <c r="D35" s="5" t="n">
        <v>1</v>
      </c>
      <c r="E35" s="5" t="s">
        <v>786</v>
      </c>
      <c r="F35" s="5" t="s">
        <v>820</v>
      </c>
      <c r="G35" s="5" t="s">
        <v>3266</v>
      </c>
      <c r="H35" s="5" t="s">
        <v>822</v>
      </c>
      <c r="I35" s="6" t="s">
        <v>3292</v>
      </c>
      <c r="J35" s="6" t="s">
        <v>3241</v>
      </c>
    </row>
    <row r="36" customFormat="false" ht="23.85" hidden="false" customHeight="false" outlineLevel="0" collapsed="false">
      <c r="A36" s="5" t="s">
        <v>650</v>
      </c>
      <c r="B36" s="5" t="s">
        <v>2911</v>
      </c>
      <c r="C36" s="5" t="s">
        <v>538</v>
      </c>
      <c r="D36" s="5" t="n">
        <v>4</v>
      </c>
      <c r="E36" s="5" t="s">
        <v>497</v>
      </c>
      <c r="F36" s="5" t="s">
        <v>651</v>
      </c>
      <c r="G36" s="5" t="s">
        <v>3287</v>
      </c>
      <c r="H36" s="5" t="s">
        <v>655</v>
      </c>
      <c r="I36" s="6" t="s">
        <v>3293</v>
      </c>
      <c r="J36" s="6" t="s">
        <v>3241</v>
      </c>
    </row>
    <row r="37" customFormat="false" ht="23.85" hidden="false" customHeight="false" outlineLevel="0" collapsed="false">
      <c r="A37" s="5" t="s">
        <v>1306</v>
      </c>
      <c r="B37" s="5" t="s">
        <v>2771</v>
      </c>
      <c r="C37" s="5" t="s">
        <v>800</v>
      </c>
      <c r="D37" s="5" t="n">
        <v>1</v>
      </c>
      <c r="E37" s="5" t="s">
        <v>1203</v>
      </c>
      <c r="F37" s="5" t="s">
        <v>1307</v>
      </c>
      <c r="G37" s="5" t="s">
        <v>3294</v>
      </c>
      <c r="H37" s="5" t="s">
        <v>826</v>
      </c>
      <c r="I37" s="6" t="s">
        <v>3295</v>
      </c>
      <c r="J37" s="6" t="s">
        <v>3241</v>
      </c>
    </row>
    <row r="38" customFormat="false" ht="23.85" hidden="false" customHeight="false" outlineLevel="0" collapsed="false">
      <c r="A38" s="5" t="s">
        <v>824</v>
      </c>
      <c r="B38" s="5" t="s">
        <v>2771</v>
      </c>
      <c r="C38" s="5" t="s">
        <v>794</v>
      </c>
      <c r="D38" s="5" t="n">
        <v>1</v>
      </c>
      <c r="E38" s="5" t="s">
        <v>786</v>
      </c>
      <c r="F38" s="5" t="s">
        <v>825</v>
      </c>
      <c r="G38" s="5" t="s">
        <v>3266</v>
      </c>
      <c r="H38" s="5" t="s">
        <v>826</v>
      </c>
      <c r="I38" s="6" t="s">
        <v>3296</v>
      </c>
      <c r="J38" s="6" t="s">
        <v>3241</v>
      </c>
    </row>
    <row r="39" customFormat="false" ht="23.85" hidden="false" customHeight="false" outlineLevel="0" collapsed="false">
      <c r="A39" s="5" t="s">
        <v>673</v>
      </c>
      <c r="B39" s="5" t="s">
        <v>2771</v>
      </c>
      <c r="C39" s="5" t="s">
        <v>538</v>
      </c>
      <c r="D39" s="5" t="n">
        <v>4</v>
      </c>
      <c r="E39" s="5" t="s">
        <v>497</v>
      </c>
      <c r="F39" s="5" t="s">
        <v>674</v>
      </c>
      <c r="G39" s="5" t="s">
        <v>3297</v>
      </c>
      <c r="H39" s="5" t="s">
        <v>677</v>
      </c>
      <c r="I39" s="6" t="s">
        <v>3298</v>
      </c>
      <c r="J39" s="6" t="s">
        <v>3241</v>
      </c>
    </row>
    <row r="40" customFormat="false" ht="23.85" hidden="false" customHeight="false" outlineLevel="0" collapsed="false">
      <c r="A40" s="5" t="s">
        <v>1339</v>
      </c>
      <c r="B40" s="5" t="s">
        <v>2764</v>
      </c>
      <c r="C40" s="5" t="s">
        <v>800</v>
      </c>
      <c r="D40" s="5" t="n">
        <v>1</v>
      </c>
      <c r="E40" s="5" t="s">
        <v>1203</v>
      </c>
      <c r="F40" s="5" t="s">
        <v>1340</v>
      </c>
      <c r="G40" s="5" t="s">
        <v>3246</v>
      </c>
      <c r="H40" s="5" t="s">
        <v>745</v>
      </c>
      <c r="I40" s="6" t="s">
        <v>3299</v>
      </c>
      <c r="J40" s="6" t="s">
        <v>3241</v>
      </c>
    </row>
    <row r="41" customFormat="false" ht="23.85" hidden="false" customHeight="false" outlineLevel="0" collapsed="false">
      <c r="A41" s="5" t="s">
        <v>965</v>
      </c>
      <c r="B41" s="5" t="s">
        <v>2764</v>
      </c>
      <c r="C41" s="5" t="s">
        <v>794</v>
      </c>
      <c r="D41" s="5" t="n">
        <v>1</v>
      </c>
      <c r="E41" s="5" t="s">
        <v>786</v>
      </c>
      <c r="F41" s="5" t="s">
        <v>962</v>
      </c>
      <c r="G41" s="5" t="s">
        <v>3248</v>
      </c>
      <c r="H41" s="5" t="s">
        <v>745</v>
      </c>
      <c r="I41" s="6" t="s">
        <v>3300</v>
      </c>
      <c r="J41" s="6" t="s">
        <v>3241</v>
      </c>
    </row>
    <row r="42" customFormat="false" ht="23.85" hidden="false" customHeight="false" outlineLevel="0" collapsed="false">
      <c r="A42" s="5" t="s">
        <v>743</v>
      </c>
      <c r="B42" s="5" t="s">
        <v>2764</v>
      </c>
      <c r="C42" s="5" t="s">
        <v>538</v>
      </c>
      <c r="D42" s="5" t="n">
        <v>4</v>
      </c>
      <c r="E42" s="5" t="s">
        <v>497</v>
      </c>
      <c r="F42" s="5" t="s">
        <v>744</v>
      </c>
      <c r="G42" s="5" t="s">
        <v>3250</v>
      </c>
      <c r="H42" s="5" t="s">
        <v>745</v>
      </c>
      <c r="I42" s="6" t="s">
        <v>3301</v>
      </c>
      <c r="J42" s="6" t="s">
        <v>3241</v>
      </c>
    </row>
    <row r="43" customFormat="false" ht="23.85" hidden="false" customHeight="false" outlineLevel="0" collapsed="false">
      <c r="A43" s="5" t="s">
        <v>1344</v>
      </c>
      <c r="B43" s="5" t="s">
        <v>2763</v>
      </c>
      <c r="C43" s="5" t="s">
        <v>800</v>
      </c>
      <c r="D43" s="5" t="n">
        <v>1</v>
      </c>
      <c r="E43" s="5" t="s">
        <v>1203</v>
      </c>
      <c r="F43" s="5" t="s">
        <v>1345</v>
      </c>
      <c r="G43" s="5" t="s">
        <v>3246</v>
      </c>
      <c r="H43" s="5" t="s">
        <v>750</v>
      </c>
      <c r="I43" s="6" t="s">
        <v>3302</v>
      </c>
      <c r="J43" s="6" t="s">
        <v>3241</v>
      </c>
    </row>
    <row r="44" customFormat="false" ht="23.85" hidden="false" customHeight="false" outlineLevel="0" collapsed="false">
      <c r="A44" s="5" t="s">
        <v>897</v>
      </c>
      <c r="B44" s="5" t="s">
        <v>2763</v>
      </c>
      <c r="C44" s="5" t="s">
        <v>794</v>
      </c>
      <c r="D44" s="5" t="n">
        <v>1</v>
      </c>
      <c r="E44" s="5" t="s">
        <v>786</v>
      </c>
      <c r="F44" s="5" t="s">
        <v>898</v>
      </c>
      <c r="G44" s="5" t="s">
        <v>3248</v>
      </c>
      <c r="H44" s="5" t="s">
        <v>750</v>
      </c>
      <c r="I44" s="6" t="s">
        <v>3303</v>
      </c>
      <c r="J44" s="6" t="s">
        <v>3241</v>
      </c>
    </row>
    <row r="45" customFormat="false" ht="23.85" hidden="false" customHeight="false" outlineLevel="0" collapsed="false">
      <c r="A45" s="5" t="s">
        <v>748</v>
      </c>
      <c r="B45" s="5" t="s">
        <v>2763</v>
      </c>
      <c r="C45" s="5" t="s">
        <v>538</v>
      </c>
      <c r="D45" s="5" t="n">
        <v>4</v>
      </c>
      <c r="E45" s="5" t="s">
        <v>497</v>
      </c>
      <c r="F45" s="5" t="s">
        <v>749</v>
      </c>
      <c r="G45" s="5" t="s">
        <v>3250</v>
      </c>
      <c r="H45" s="5" t="s">
        <v>750</v>
      </c>
      <c r="I45" s="6" t="s">
        <v>3304</v>
      </c>
      <c r="J45" s="6" t="s">
        <v>3241</v>
      </c>
    </row>
    <row r="46" customFormat="false" ht="23.85" hidden="false" customHeight="false" outlineLevel="0" collapsed="false">
      <c r="A46" s="5" t="s">
        <v>1357</v>
      </c>
      <c r="B46" s="5" t="s">
        <v>2824</v>
      </c>
      <c r="C46" s="5" t="s">
        <v>800</v>
      </c>
      <c r="D46" s="5" t="n">
        <v>1</v>
      </c>
      <c r="E46" s="5" t="s">
        <v>1203</v>
      </c>
      <c r="F46" s="5" t="s">
        <v>1358</v>
      </c>
      <c r="G46" s="5" t="s">
        <v>3246</v>
      </c>
      <c r="H46" s="5" t="s">
        <v>770</v>
      </c>
      <c r="I46" s="6" t="s">
        <v>3305</v>
      </c>
      <c r="J46" s="6" t="s">
        <v>3241</v>
      </c>
    </row>
    <row r="47" customFormat="false" ht="23.85" hidden="false" customHeight="false" outlineLevel="0" collapsed="false">
      <c r="A47" s="5" t="s">
        <v>784</v>
      </c>
      <c r="B47" s="5" t="s">
        <v>2824</v>
      </c>
      <c r="C47" s="5" t="s">
        <v>794</v>
      </c>
      <c r="D47" s="5" t="n">
        <v>1</v>
      </c>
      <c r="E47" s="5" t="s">
        <v>786</v>
      </c>
      <c r="F47" s="5" t="s">
        <v>787</v>
      </c>
      <c r="G47" s="5" t="s">
        <v>3248</v>
      </c>
      <c r="H47" s="5" t="s">
        <v>770</v>
      </c>
      <c r="I47" s="6" t="s">
        <v>3306</v>
      </c>
      <c r="J47" s="6" t="s">
        <v>3241</v>
      </c>
    </row>
    <row r="48" customFormat="false" ht="23.85" hidden="false" customHeight="false" outlineLevel="0" collapsed="false">
      <c r="A48" s="5" t="s">
        <v>768</v>
      </c>
      <c r="B48" s="5" t="s">
        <v>2824</v>
      </c>
      <c r="C48" s="5" t="s">
        <v>538</v>
      </c>
      <c r="D48" s="5" t="n">
        <v>4</v>
      </c>
      <c r="E48" s="5" t="s">
        <v>497</v>
      </c>
      <c r="F48" s="5" t="s">
        <v>769</v>
      </c>
      <c r="G48" s="5" t="s">
        <v>3250</v>
      </c>
      <c r="H48" s="5" t="s">
        <v>770</v>
      </c>
      <c r="I48" s="6" t="s">
        <v>3307</v>
      </c>
      <c r="J48" s="6" t="s">
        <v>3241</v>
      </c>
    </row>
    <row r="49" customFormat="false" ht="23.85" hidden="false" customHeight="false" outlineLevel="0" collapsed="false">
      <c r="A49" s="5" t="s">
        <v>1223</v>
      </c>
      <c r="B49" s="5" t="s">
        <v>2760</v>
      </c>
      <c r="C49" s="5" t="s">
        <v>800</v>
      </c>
      <c r="D49" s="5" t="n">
        <v>1</v>
      </c>
      <c r="E49" s="5" t="s">
        <v>1203</v>
      </c>
      <c r="F49" s="5" t="s">
        <v>1224</v>
      </c>
      <c r="G49" s="5" t="s">
        <v>3252</v>
      </c>
      <c r="H49" s="5" t="s">
        <v>1225</v>
      </c>
      <c r="I49" s="6" t="s">
        <v>3308</v>
      </c>
      <c r="J49" s="6" t="s">
        <v>3241</v>
      </c>
    </row>
    <row r="50" customFormat="false" ht="23.85" hidden="false" customHeight="false" outlineLevel="0" collapsed="false">
      <c r="A50" s="5" t="s">
        <v>719</v>
      </c>
      <c r="B50" s="5" t="s">
        <v>2760</v>
      </c>
      <c r="C50" s="5" t="s">
        <v>531</v>
      </c>
      <c r="D50" s="5" t="n">
        <v>4</v>
      </c>
      <c r="E50" s="5" t="s">
        <v>497</v>
      </c>
      <c r="F50" s="5" t="s">
        <v>720</v>
      </c>
      <c r="G50" s="5" t="s">
        <v>3254</v>
      </c>
      <c r="H50" s="5" t="s">
        <v>723</v>
      </c>
      <c r="I50" s="6" t="s">
        <v>3309</v>
      </c>
      <c r="J50" s="6" t="s">
        <v>3241</v>
      </c>
    </row>
    <row r="51" customFormat="false" ht="23.85" hidden="false" customHeight="false" outlineLevel="0" collapsed="false">
      <c r="A51" s="5" t="s">
        <v>863</v>
      </c>
      <c r="B51" s="5" t="s">
        <v>2760</v>
      </c>
      <c r="C51" s="5" t="s">
        <v>807</v>
      </c>
      <c r="D51" s="5" t="n">
        <v>1</v>
      </c>
      <c r="E51" s="5" t="s">
        <v>786</v>
      </c>
      <c r="F51" s="5" t="s">
        <v>864</v>
      </c>
      <c r="G51" s="5" t="s">
        <v>3256</v>
      </c>
      <c r="H51" s="5" t="s">
        <v>723</v>
      </c>
      <c r="I51" s="6" t="s">
        <v>3310</v>
      </c>
      <c r="J51" s="6" t="s">
        <v>3241</v>
      </c>
    </row>
    <row r="52" customFormat="false" ht="23.85" hidden="false" customHeight="false" outlineLevel="0" collapsed="false">
      <c r="A52" s="5" t="s">
        <v>1316</v>
      </c>
      <c r="B52" s="5" t="s">
        <v>2793</v>
      </c>
      <c r="C52" s="5" t="s">
        <v>800</v>
      </c>
      <c r="D52" s="5" t="n">
        <v>1</v>
      </c>
      <c r="E52" s="5" t="s">
        <v>1203</v>
      </c>
      <c r="F52" s="5" t="s">
        <v>1317</v>
      </c>
      <c r="G52" s="5" t="s">
        <v>3294</v>
      </c>
      <c r="H52" s="5" t="s">
        <v>693</v>
      </c>
      <c r="I52" s="6" t="s">
        <v>3311</v>
      </c>
      <c r="J52" s="6" t="s">
        <v>3241</v>
      </c>
    </row>
    <row r="53" customFormat="false" ht="23.85" hidden="false" customHeight="false" outlineLevel="0" collapsed="false">
      <c r="A53" s="5" t="s">
        <v>828</v>
      </c>
      <c r="B53" s="5" t="s">
        <v>2793</v>
      </c>
      <c r="C53" s="5" t="s">
        <v>794</v>
      </c>
      <c r="D53" s="5" t="n">
        <v>1</v>
      </c>
      <c r="E53" s="5" t="s">
        <v>786</v>
      </c>
      <c r="F53" s="5" t="s">
        <v>829</v>
      </c>
      <c r="G53" s="5" t="s">
        <v>3266</v>
      </c>
      <c r="H53" s="5" t="s">
        <v>693</v>
      </c>
      <c r="I53" s="6" t="s">
        <v>3312</v>
      </c>
      <c r="J53" s="6" t="s">
        <v>3241</v>
      </c>
    </row>
    <row r="54" customFormat="false" ht="23.85" hidden="false" customHeight="false" outlineLevel="0" collapsed="false">
      <c r="A54" s="5" t="s">
        <v>691</v>
      </c>
      <c r="B54" s="5" t="s">
        <v>2793</v>
      </c>
      <c r="C54" s="5" t="s">
        <v>695</v>
      </c>
      <c r="D54" s="5" t="n">
        <v>4</v>
      </c>
      <c r="E54" s="5" t="s">
        <v>497</v>
      </c>
      <c r="F54" s="5" t="s">
        <v>692</v>
      </c>
      <c r="G54" s="5" t="s">
        <v>3297</v>
      </c>
      <c r="H54" s="5" t="s">
        <v>693</v>
      </c>
      <c r="I54" s="6" t="s">
        <v>3313</v>
      </c>
      <c r="J54" s="6" t="s">
        <v>3241</v>
      </c>
    </row>
    <row r="55" customFormat="false" ht="23.85" hidden="false" customHeight="false" outlineLevel="0" collapsed="false">
      <c r="A55" s="5" t="s">
        <v>1228</v>
      </c>
      <c r="B55" s="5" t="s">
        <v>2772</v>
      </c>
      <c r="C55" s="5" t="s">
        <v>800</v>
      </c>
      <c r="D55" s="5" t="n">
        <v>1</v>
      </c>
      <c r="E55" s="5" t="s">
        <v>1203</v>
      </c>
      <c r="F55" s="5" t="s">
        <v>1229</v>
      </c>
      <c r="G55" s="5" t="s">
        <v>3314</v>
      </c>
      <c r="H55" s="5" t="s">
        <v>1232</v>
      </c>
      <c r="I55" s="6" t="s">
        <v>3315</v>
      </c>
      <c r="J55" s="6" t="s">
        <v>3241</v>
      </c>
    </row>
    <row r="56" customFormat="false" ht="23.85" hidden="false" customHeight="false" outlineLevel="0" collapsed="false">
      <c r="A56" s="5" t="s">
        <v>523</v>
      </c>
      <c r="B56" s="5" t="s">
        <v>2772</v>
      </c>
      <c r="C56" s="5" t="s">
        <v>531</v>
      </c>
      <c r="D56" s="5" t="n">
        <v>4</v>
      </c>
      <c r="E56" s="5" t="s">
        <v>497</v>
      </c>
      <c r="F56" s="5" t="s">
        <v>524</v>
      </c>
      <c r="G56" s="5" t="s">
        <v>3316</v>
      </c>
      <c r="H56" s="5" t="s">
        <v>527</v>
      </c>
      <c r="I56" s="6" t="s">
        <v>3317</v>
      </c>
      <c r="J56" s="6" t="s">
        <v>3241</v>
      </c>
    </row>
    <row r="57" customFormat="false" ht="23.85" hidden="false" customHeight="false" outlineLevel="0" collapsed="false">
      <c r="A57" s="5" t="s">
        <v>893</v>
      </c>
      <c r="B57" s="5" t="s">
        <v>2772</v>
      </c>
      <c r="C57" s="5" t="s">
        <v>807</v>
      </c>
      <c r="D57" s="5" t="n">
        <v>1</v>
      </c>
      <c r="E57" s="5" t="s">
        <v>786</v>
      </c>
      <c r="F57" s="5" t="s">
        <v>894</v>
      </c>
      <c r="G57" s="5" t="s">
        <v>3318</v>
      </c>
      <c r="H57" s="5" t="s">
        <v>895</v>
      </c>
      <c r="I57" s="6" t="s">
        <v>3319</v>
      </c>
      <c r="J57" s="6" t="s">
        <v>3241</v>
      </c>
    </row>
    <row r="58" customFormat="false" ht="23.85" hidden="false" customHeight="false" outlineLevel="0" collapsed="false">
      <c r="A58" s="5" t="s">
        <v>1247</v>
      </c>
      <c r="B58" s="5" t="s">
        <v>2773</v>
      </c>
      <c r="C58" s="5" t="s">
        <v>800</v>
      </c>
      <c r="D58" s="5" t="n">
        <v>1</v>
      </c>
      <c r="E58" s="5" t="s">
        <v>1203</v>
      </c>
      <c r="F58" s="5" t="s">
        <v>1248</v>
      </c>
      <c r="G58" s="5" t="s">
        <v>3320</v>
      </c>
      <c r="H58" s="5" t="s">
        <v>1249</v>
      </c>
      <c r="I58" s="6" t="s">
        <v>3321</v>
      </c>
      <c r="J58" s="6" t="s">
        <v>3241</v>
      </c>
    </row>
    <row r="59" customFormat="false" ht="23.85" hidden="false" customHeight="false" outlineLevel="0" collapsed="false">
      <c r="A59" s="5" t="s">
        <v>560</v>
      </c>
      <c r="B59" s="5" t="s">
        <v>2773</v>
      </c>
      <c r="C59" s="5" t="s">
        <v>531</v>
      </c>
      <c r="D59" s="5" t="n">
        <v>4</v>
      </c>
      <c r="E59" s="5" t="s">
        <v>497</v>
      </c>
      <c r="F59" s="5" t="s">
        <v>561</v>
      </c>
      <c r="G59" s="5" t="s">
        <v>3322</v>
      </c>
      <c r="H59" s="5" t="s">
        <v>562</v>
      </c>
      <c r="I59" s="6" t="s">
        <v>3323</v>
      </c>
      <c r="J59" s="6" t="s">
        <v>3241</v>
      </c>
    </row>
    <row r="60" customFormat="false" ht="23.85" hidden="false" customHeight="false" outlineLevel="0" collapsed="false">
      <c r="A60" s="5" t="s">
        <v>916</v>
      </c>
      <c r="B60" s="5" t="s">
        <v>2773</v>
      </c>
      <c r="C60" s="5" t="s">
        <v>807</v>
      </c>
      <c r="D60" s="5" t="n">
        <v>1</v>
      </c>
      <c r="E60" s="5" t="s">
        <v>786</v>
      </c>
      <c r="F60" s="5" t="s">
        <v>917</v>
      </c>
      <c r="G60" s="5" t="s">
        <v>3320</v>
      </c>
      <c r="H60" s="5" t="s">
        <v>918</v>
      </c>
      <c r="I60" s="6" t="s">
        <v>3324</v>
      </c>
      <c r="J60" s="6" t="s">
        <v>3241</v>
      </c>
    </row>
    <row r="61" customFormat="false" ht="23.85" hidden="false" customHeight="false" outlineLevel="0" collapsed="false">
      <c r="A61" s="5" t="s">
        <v>1284</v>
      </c>
      <c r="B61" s="5" t="s">
        <v>2748</v>
      </c>
      <c r="C61" s="5" t="s">
        <v>800</v>
      </c>
      <c r="D61" s="5" t="n">
        <v>1</v>
      </c>
      <c r="E61" s="5" t="s">
        <v>1203</v>
      </c>
      <c r="F61" s="5" t="s">
        <v>1285</v>
      </c>
      <c r="G61" s="5" t="s">
        <v>3325</v>
      </c>
      <c r="H61" s="5" t="s">
        <v>1287</v>
      </c>
      <c r="I61" s="6" t="s">
        <v>3326</v>
      </c>
      <c r="J61" s="6" t="s">
        <v>3241</v>
      </c>
    </row>
    <row r="62" customFormat="false" ht="23.85" hidden="false" customHeight="false" outlineLevel="0" collapsed="false">
      <c r="A62" s="5" t="s">
        <v>975</v>
      </c>
      <c r="B62" s="5" t="s">
        <v>2748</v>
      </c>
      <c r="C62" s="5" t="s">
        <v>794</v>
      </c>
      <c r="D62" s="5" t="n">
        <v>1</v>
      </c>
      <c r="E62" s="5" t="s">
        <v>786</v>
      </c>
      <c r="F62" s="5" t="s">
        <v>976</v>
      </c>
      <c r="G62" s="5" t="s">
        <v>3277</v>
      </c>
      <c r="H62" s="5" t="s">
        <v>622</v>
      </c>
      <c r="I62" s="6" t="s">
        <v>3327</v>
      </c>
      <c r="J62" s="6" t="s">
        <v>3241</v>
      </c>
    </row>
    <row r="63" customFormat="false" ht="23.85" hidden="false" customHeight="false" outlineLevel="0" collapsed="false">
      <c r="A63" s="5" t="s">
        <v>618</v>
      </c>
      <c r="B63" s="5" t="s">
        <v>2748</v>
      </c>
      <c r="C63" s="5" t="s">
        <v>538</v>
      </c>
      <c r="D63" s="5" t="n">
        <v>4</v>
      </c>
      <c r="E63" s="5" t="s">
        <v>497</v>
      </c>
      <c r="F63" s="5" t="s">
        <v>619</v>
      </c>
      <c r="G63" s="5" t="s">
        <v>3279</v>
      </c>
      <c r="H63" s="5" t="s">
        <v>622</v>
      </c>
      <c r="I63" s="6" t="s">
        <v>3328</v>
      </c>
      <c r="J63" s="6" t="s">
        <v>3241</v>
      </c>
    </row>
    <row r="64" customFormat="false" ht="23.85" hidden="false" customHeight="false" outlineLevel="0" collapsed="false">
      <c r="A64" s="5" t="s">
        <v>796</v>
      </c>
      <c r="B64" s="5" t="s">
        <v>2781</v>
      </c>
      <c r="C64" s="5" t="s">
        <v>800</v>
      </c>
      <c r="D64" s="5" t="n">
        <v>1</v>
      </c>
      <c r="E64" s="5" t="s">
        <v>786</v>
      </c>
      <c r="F64" s="5" t="s">
        <v>797</v>
      </c>
      <c r="G64" s="5" t="s">
        <v>3329</v>
      </c>
      <c r="H64" s="5" t="s">
        <v>799</v>
      </c>
      <c r="I64" s="6" t="s">
        <v>3330</v>
      </c>
      <c r="J64" s="6" t="s">
        <v>3241</v>
      </c>
    </row>
    <row r="65" customFormat="false" ht="23.85" hidden="false" customHeight="false" outlineLevel="0" collapsed="false">
      <c r="A65" s="5" t="s">
        <v>643</v>
      </c>
      <c r="B65" s="5" t="s">
        <v>2781</v>
      </c>
      <c r="C65" s="5" t="s">
        <v>531</v>
      </c>
      <c r="D65" s="5" t="n">
        <v>4</v>
      </c>
      <c r="E65" s="5" t="s">
        <v>497</v>
      </c>
      <c r="F65" s="5" t="s">
        <v>644</v>
      </c>
      <c r="G65" s="5" t="s">
        <v>3329</v>
      </c>
      <c r="H65" s="5" t="s">
        <v>647</v>
      </c>
      <c r="I65" s="6" t="s">
        <v>3331</v>
      </c>
      <c r="J65" s="6" t="s">
        <v>3241</v>
      </c>
    </row>
    <row r="66" customFormat="false" ht="23.85" hidden="false" customHeight="false" outlineLevel="0" collapsed="false">
      <c r="A66" s="5" t="s">
        <v>809</v>
      </c>
      <c r="B66" s="5" t="s">
        <v>2781</v>
      </c>
      <c r="C66" s="5" t="s">
        <v>813</v>
      </c>
      <c r="D66" s="5" t="n">
        <v>1</v>
      </c>
      <c r="E66" s="5" t="s">
        <v>786</v>
      </c>
      <c r="F66" s="5" t="s">
        <v>810</v>
      </c>
      <c r="G66" s="5" t="s">
        <v>3262</v>
      </c>
      <c r="H66" s="5" t="s">
        <v>799</v>
      </c>
      <c r="I66" s="6" t="s">
        <v>3332</v>
      </c>
      <c r="J66" s="6" t="s">
        <v>3241</v>
      </c>
    </row>
    <row r="67" customFormat="false" ht="23.85" hidden="false" customHeight="false" outlineLevel="0" collapsed="false">
      <c r="A67" s="5" t="s">
        <v>1320</v>
      </c>
      <c r="B67" s="5" t="s">
        <v>2751</v>
      </c>
      <c r="C67" s="5" t="s">
        <v>800</v>
      </c>
      <c r="D67" s="5" t="n">
        <v>1</v>
      </c>
      <c r="E67" s="5" t="s">
        <v>1203</v>
      </c>
      <c r="F67" s="5" t="s">
        <v>1321</v>
      </c>
      <c r="G67" s="5" t="s">
        <v>3333</v>
      </c>
      <c r="H67" s="5" t="s">
        <v>849</v>
      </c>
      <c r="I67" s="6" t="s">
        <v>3334</v>
      </c>
      <c r="J67" s="6" t="s">
        <v>3241</v>
      </c>
    </row>
    <row r="68" customFormat="false" ht="23.85" hidden="false" customHeight="false" outlineLevel="0" collapsed="false">
      <c r="A68" s="5" t="s">
        <v>847</v>
      </c>
      <c r="B68" s="5" t="s">
        <v>2751</v>
      </c>
      <c r="C68" s="5" t="s">
        <v>794</v>
      </c>
      <c r="D68" s="5" t="n">
        <v>1</v>
      </c>
      <c r="E68" s="5" t="s">
        <v>786</v>
      </c>
      <c r="F68" s="5" t="s">
        <v>848</v>
      </c>
      <c r="G68" s="5" t="s">
        <v>3335</v>
      </c>
      <c r="H68" s="5" t="s">
        <v>849</v>
      </c>
      <c r="I68" s="6" t="s">
        <v>3336</v>
      </c>
      <c r="J68" s="6" t="s">
        <v>3241</v>
      </c>
    </row>
    <row r="69" customFormat="false" ht="23.85" hidden="false" customHeight="false" outlineLevel="0" collapsed="false">
      <c r="A69" s="5" t="s">
        <v>697</v>
      </c>
      <c r="B69" s="5" t="s">
        <v>2751</v>
      </c>
      <c r="C69" s="5" t="s">
        <v>538</v>
      </c>
      <c r="D69" s="5" t="n">
        <v>4</v>
      </c>
      <c r="E69" s="5" t="s">
        <v>497</v>
      </c>
      <c r="F69" s="5" t="s">
        <v>698</v>
      </c>
      <c r="G69" s="5" t="s">
        <v>3333</v>
      </c>
      <c r="H69" s="5" t="s">
        <v>700</v>
      </c>
      <c r="I69" s="6" t="s">
        <v>3337</v>
      </c>
      <c r="J69" s="6" t="s">
        <v>3241</v>
      </c>
    </row>
    <row r="70" customFormat="false" ht="23.85" hidden="false" customHeight="false" outlineLevel="0" collapsed="false">
      <c r="A70" s="5" t="s">
        <v>1325</v>
      </c>
      <c r="B70" s="5" t="s">
        <v>2798</v>
      </c>
      <c r="C70" s="5" t="s">
        <v>800</v>
      </c>
      <c r="D70" s="5" t="n">
        <v>1</v>
      </c>
      <c r="E70" s="5" t="s">
        <v>1203</v>
      </c>
      <c r="F70" s="5" t="s">
        <v>1326</v>
      </c>
      <c r="G70" s="5" t="s">
        <v>3333</v>
      </c>
      <c r="H70" s="5" t="s">
        <v>853</v>
      </c>
      <c r="I70" s="6" t="s">
        <v>3338</v>
      </c>
      <c r="J70" s="6" t="s">
        <v>3241</v>
      </c>
    </row>
    <row r="71" customFormat="false" ht="23.85" hidden="false" customHeight="false" outlineLevel="0" collapsed="false">
      <c r="A71" s="5" t="s">
        <v>703</v>
      </c>
      <c r="B71" s="5" t="s">
        <v>2798</v>
      </c>
      <c r="C71" s="5" t="s">
        <v>531</v>
      </c>
      <c r="D71" s="5" t="n">
        <v>4</v>
      </c>
      <c r="E71" s="5" t="s">
        <v>497</v>
      </c>
      <c r="F71" s="5" t="s">
        <v>704</v>
      </c>
      <c r="G71" s="5" t="s">
        <v>3333</v>
      </c>
      <c r="H71" s="5" t="s">
        <v>705</v>
      </c>
      <c r="I71" s="6" t="s">
        <v>3339</v>
      </c>
      <c r="J71" s="6" t="s">
        <v>3241</v>
      </c>
    </row>
    <row r="72" customFormat="false" ht="23.85" hidden="false" customHeight="false" outlineLevel="0" collapsed="false">
      <c r="A72" s="5" t="s">
        <v>851</v>
      </c>
      <c r="B72" s="5" t="s">
        <v>2798</v>
      </c>
      <c r="C72" s="5" t="s">
        <v>807</v>
      </c>
      <c r="D72" s="5" t="n">
        <v>1</v>
      </c>
      <c r="E72" s="5" t="s">
        <v>786</v>
      </c>
      <c r="F72" s="5" t="s">
        <v>852</v>
      </c>
      <c r="G72" s="5" t="s">
        <v>3335</v>
      </c>
      <c r="H72" s="5" t="s">
        <v>853</v>
      </c>
      <c r="I72" s="6" t="s">
        <v>3340</v>
      </c>
      <c r="J72" s="6" t="s">
        <v>3241</v>
      </c>
    </row>
    <row r="73" customFormat="false" ht="23.85" hidden="false" customHeight="false" outlineLevel="0" collapsed="false">
      <c r="A73" s="5" t="s">
        <v>1234</v>
      </c>
      <c r="B73" s="5" t="s">
        <v>2803</v>
      </c>
      <c r="C73" s="5" t="s">
        <v>800</v>
      </c>
      <c r="D73" s="5" t="n">
        <v>1</v>
      </c>
      <c r="E73" s="5" t="s">
        <v>1203</v>
      </c>
      <c r="F73" s="5" t="s">
        <v>1235</v>
      </c>
      <c r="G73" s="5" t="s">
        <v>3314</v>
      </c>
      <c r="H73" s="5" t="s">
        <v>1236</v>
      </c>
      <c r="I73" s="6" t="s">
        <v>3341</v>
      </c>
      <c r="J73" s="6" t="s">
        <v>3241</v>
      </c>
    </row>
    <row r="74" customFormat="false" ht="23.85" hidden="false" customHeight="false" outlineLevel="0" collapsed="false">
      <c r="A74" s="5" t="s">
        <v>886</v>
      </c>
      <c r="B74" s="5" t="s">
        <v>2803</v>
      </c>
      <c r="C74" s="5" t="s">
        <v>794</v>
      </c>
      <c r="D74" s="5" t="n">
        <v>1</v>
      </c>
      <c r="E74" s="5" t="s">
        <v>786</v>
      </c>
      <c r="F74" s="5" t="s">
        <v>887</v>
      </c>
      <c r="G74" s="5" t="s">
        <v>3318</v>
      </c>
      <c r="H74" s="5" t="s">
        <v>889</v>
      </c>
      <c r="I74" s="6" t="s">
        <v>3342</v>
      </c>
      <c r="J74" s="6" t="s">
        <v>3241</v>
      </c>
    </row>
    <row r="75" customFormat="false" ht="23.85" hidden="false" customHeight="false" outlineLevel="0" collapsed="false">
      <c r="A75" s="5" t="s">
        <v>533</v>
      </c>
      <c r="B75" s="5" t="s">
        <v>2803</v>
      </c>
      <c r="C75" s="5" t="s">
        <v>538</v>
      </c>
      <c r="D75" s="5" t="n">
        <v>4</v>
      </c>
      <c r="E75" s="5" t="s">
        <v>497</v>
      </c>
      <c r="F75" s="5" t="s">
        <v>534</v>
      </c>
      <c r="G75" s="5" t="s">
        <v>3316</v>
      </c>
      <c r="H75" s="5" t="s">
        <v>535</v>
      </c>
      <c r="I75" s="6" t="s">
        <v>3343</v>
      </c>
      <c r="J75" s="6" t="s">
        <v>3241</v>
      </c>
    </row>
    <row r="76" customFormat="false" ht="23.85" hidden="false" customHeight="false" outlineLevel="0" collapsed="false">
      <c r="A76" s="5" t="s">
        <v>890</v>
      </c>
      <c r="B76" s="5" t="s">
        <v>2803</v>
      </c>
      <c r="C76" s="5" t="s">
        <v>813</v>
      </c>
      <c r="D76" s="5" t="n">
        <v>1</v>
      </c>
      <c r="E76" s="5" t="s">
        <v>786</v>
      </c>
      <c r="F76" s="5" t="s">
        <v>891</v>
      </c>
      <c r="G76" s="5" t="s">
        <v>3318</v>
      </c>
      <c r="H76" s="5" t="s">
        <v>889</v>
      </c>
      <c r="I76" s="6" t="s">
        <v>3344</v>
      </c>
      <c r="J76" s="6" t="s">
        <v>3241</v>
      </c>
    </row>
    <row r="77" customFormat="false" ht="23.85" hidden="false" customHeight="false" outlineLevel="0" collapsed="false">
      <c r="A77" s="5" t="s">
        <v>1251</v>
      </c>
      <c r="B77" s="5" t="s">
        <v>2822</v>
      </c>
      <c r="C77" s="5" t="s">
        <v>800</v>
      </c>
      <c r="D77" s="5" t="n">
        <v>1</v>
      </c>
      <c r="E77" s="5" t="s">
        <v>1203</v>
      </c>
      <c r="F77" s="5" t="s">
        <v>1252</v>
      </c>
      <c r="G77" s="5" t="s">
        <v>3271</v>
      </c>
      <c r="H77" s="5" t="s">
        <v>1207</v>
      </c>
      <c r="I77" s="6" t="s">
        <v>3345</v>
      </c>
      <c r="J77" s="6" t="s">
        <v>3241</v>
      </c>
    </row>
    <row r="78" customFormat="false" ht="23.85" hidden="false" customHeight="false" outlineLevel="0" collapsed="false">
      <c r="A78" s="5" t="s">
        <v>578</v>
      </c>
      <c r="B78" s="5" t="s">
        <v>2822</v>
      </c>
      <c r="C78" s="5" t="s">
        <v>531</v>
      </c>
      <c r="D78" s="5" t="n">
        <v>4</v>
      </c>
      <c r="E78" s="5" t="s">
        <v>497</v>
      </c>
      <c r="F78" s="5" t="s">
        <v>579</v>
      </c>
      <c r="G78" s="5" t="s">
        <v>3273</v>
      </c>
      <c r="H78" s="5" t="s">
        <v>582</v>
      </c>
      <c r="I78" s="6" t="s">
        <v>3346</v>
      </c>
      <c r="J78" s="6" t="s">
        <v>3241</v>
      </c>
    </row>
    <row r="79" customFormat="false" ht="23.85" hidden="false" customHeight="false" outlineLevel="0" collapsed="false">
      <c r="A79" s="5" t="s">
        <v>940</v>
      </c>
      <c r="B79" s="5" t="s">
        <v>2822</v>
      </c>
      <c r="C79" s="5" t="s">
        <v>807</v>
      </c>
      <c r="D79" s="5" t="n">
        <v>1</v>
      </c>
      <c r="E79" s="5" t="s">
        <v>786</v>
      </c>
      <c r="F79" s="5" t="s">
        <v>941</v>
      </c>
      <c r="G79" s="5" t="s">
        <v>3275</v>
      </c>
      <c r="H79" s="5" t="s">
        <v>943</v>
      </c>
      <c r="I79" s="6" t="s">
        <v>3347</v>
      </c>
      <c r="J79" s="6" t="s">
        <v>3241</v>
      </c>
    </row>
    <row r="80" customFormat="false" ht="23.85" hidden="false" customHeight="false" outlineLevel="0" collapsed="false">
      <c r="A80" s="5" t="s">
        <v>1201</v>
      </c>
      <c r="B80" s="5" t="s">
        <v>2805</v>
      </c>
      <c r="C80" s="5" t="s">
        <v>800</v>
      </c>
      <c r="D80" s="5" t="n">
        <v>1</v>
      </c>
      <c r="E80" s="5" t="s">
        <v>1203</v>
      </c>
      <c r="F80" s="5"/>
      <c r="G80" s="5" t="s">
        <v>3320</v>
      </c>
      <c r="H80" s="5" t="s">
        <v>1207</v>
      </c>
      <c r="I80" s="6" t="s">
        <v>3348</v>
      </c>
      <c r="J80" s="6" t="s">
        <v>3241</v>
      </c>
    </row>
    <row r="81" customFormat="false" ht="23.85" hidden="false" customHeight="false" outlineLevel="0" collapsed="false">
      <c r="A81" s="5" t="s">
        <v>553</v>
      </c>
      <c r="B81" s="5" t="s">
        <v>2805</v>
      </c>
      <c r="C81" s="5" t="s">
        <v>531</v>
      </c>
      <c r="D81" s="5" t="n">
        <v>4</v>
      </c>
      <c r="E81" s="5" t="s">
        <v>497</v>
      </c>
      <c r="F81" s="5" t="s">
        <v>554</v>
      </c>
      <c r="G81" s="5" t="s">
        <v>3322</v>
      </c>
      <c r="H81" s="5" t="s">
        <v>557</v>
      </c>
      <c r="I81" s="6" t="s">
        <v>3349</v>
      </c>
      <c r="J81" s="6" t="s">
        <v>3241</v>
      </c>
    </row>
    <row r="82" customFormat="false" ht="23.85" hidden="false" customHeight="false" outlineLevel="0" collapsed="false">
      <c r="A82" s="5" t="s">
        <v>910</v>
      </c>
      <c r="B82" s="5" t="s">
        <v>2805</v>
      </c>
      <c r="C82" s="5" t="s">
        <v>807</v>
      </c>
      <c r="D82" s="5" t="n">
        <v>1</v>
      </c>
      <c r="E82" s="5" t="s">
        <v>786</v>
      </c>
      <c r="F82" s="5" t="s">
        <v>911</v>
      </c>
      <c r="G82" s="5" t="s">
        <v>3320</v>
      </c>
      <c r="H82" s="5" t="s">
        <v>914</v>
      </c>
      <c r="I82" s="6" t="s">
        <v>3350</v>
      </c>
      <c r="J82" s="6" t="s">
        <v>3241</v>
      </c>
    </row>
    <row r="83" customFormat="false" ht="23.85" hidden="false" customHeight="false" outlineLevel="0" collapsed="false">
      <c r="A83" s="5" t="s">
        <v>1257</v>
      </c>
      <c r="B83" s="5" t="s">
        <v>2744</v>
      </c>
      <c r="C83" s="5" t="s">
        <v>800</v>
      </c>
      <c r="D83" s="5" t="n">
        <v>1</v>
      </c>
      <c r="E83" s="5" t="s">
        <v>1203</v>
      </c>
      <c r="F83" s="5" t="s">
        <v>1258</v>
      </c>
      <c r="G83" s="5" t="s">
        <v>3271</v>
      </c>
      <c r="H83" s="5" t="s">
        <v>1259</v>
      </c>
      <c r="I83" s="6" t="s">
        <v>3351</v>
      </c>
      <c r="J83" s="6" t="s">
        <v>3241</v>
      </c>
    </row>
    <row r="84" customFormat="false" ht="23.85" hidden="false" customHeight="false" outlineLevel="0" collapsed="false">
      <c r="A84" s="5" t="s">
        <v>592</v>
      </c>
      <c r="B84" s="5" t="s">
        <v>2744</v>
      </c>
      <c r="C84" s="5" t="s">
        <v>531</v>
      </c>
      <c r="D84" s="5" t="n">
        <v>4</v>
      </c>
      <c r="E84" s="5" t="s">
        <v>497</v>
      </c>
      <c r="F84" s="5" t="s">
        <v>593</v>
      </c>
      <c r="G84" s="5" t="s">
        <v>3273</v>
      </c>
      <c r="H84" s="5" t="s">
        <v>594</v>
      </c>
      <c r="I84" s="6" t="s">
        <v>3352</v>
      </c>
      <c r="J84" s="6" t="s">
        <v>3241</v>
      </c>
    </row>
    <row r="85" customFormat="false" ht="23.85" hidden="false" customHeight="false" outlineLevel="0" collapsed="false">
      <c r="A85" s="5" t="s">
        <v>945</v>
      </c>
      <c r="B85" s="5" t="s">
        <v>2744</v>
      </c>
      <c r="C85" s="5" t="s">
        <v>807</v>
      </c>
      <c r="D85" s="5" t="n">
        <v>1</v>
      </c>
      <c r="E85" s="5" t="s">
        <v>786</v>
      </c>
      <c r="F85" s="5" t="s">
        <v>946</v>
      </c>
      <c r="G85" s="5" t="s">
        <v>3275</v>
      </c>
      <c r="H85" s="5" t="s">
        <v>594</v>
      </c>
      <c r="I85" s="6" t="s">
        <v>3353</v>
      </c>
      <c r="J85" s="6" t="s">
        <v>3241</v>
      </c>
    </row>
    <row r="86" customFormat="false" ht="23.85" hidden="false" customHeight="false" outlineLevel="0" collapsed="false">
      <c r="A86" s="5" t="s">
        <v>1328</v>
      </c>
      <c r="B86" s="5" t="s">
        <v>2834</v>
      </c>
      <c r="C86" s="5" t="s">
        <v>800</v>
      </c>
      <c r="D86" s="5" t="n">
        <v>1</v>
      </c>
      <c r="E86" s="5" t="s">
        <v>1203</v>
      </c>
      <c r="F86" s="5" t="s">
        <v>1329</v>
      </c>
      <c r="G86" s="5" t="s">
        <v>3333</v>
      </c>
      <c r="H86" s="5" t="s">
        <v>841</v>
      </c>
      <c r="I86" s="6" t="s">
        <v>3354</v>
      </c>
      <c r="J86" s="6" t="s">
        <v>3241</v>
      </c>
    </row>
    <row r="87" customFormat="false" ht="23.85" hidden="false" customHeight="false" outlineLevel="0" collapsed="false">
      <c r="A87" s="5" t="s">
        <v>838</v>
      </c>
      <c r="B87" s="5" t="s">
        <v>2834</v>
      </c>
      <c r="C87" s="5" t="s">
        <v>794</v>
      </c>
      <c r="D87" s="5" t="n">
        <v>1</v>
      </c>
      <c r="E87" s="5" t="s">
        <v>786</v>
      </c>
      <c r="F87" s="5" t="s">
        <v>839</v>
      </c>
      <c r="G87" s="5" t="s">
        <v>3335</v>
      </c>
      <c r="H87" s="5" t="s">
        <v>841</v>
      </c>
      <c r="I87" s="6" t="s">
        <v>3355</v>
      </c>
      <c r="J87" s="6" t="s">
        <v>3241</v>
      </c>
    </row>
    <row r="88" customFormat="false" ht="23.85" hidden="false" customHeight="false" outlineLevel="0" collapsed="false">
      <c r="A88" s="5" t="s">
        <v>708</v>
      </c>
      <c r="B88" s="5" t="s">
        <v>2834</v>
      </c>
      <c r="C88" s="5" t="s">
        <v>538</v>
      </c>
      <c r="D88" s="5" t="n">
        <v>4</v>
      </c>
      <c r="E88" s="5" t="s">
        <v>497</v>
      </c>
      <c r="F88" s="5" t="s">
        <v>709</v>
      </c>
      <c r="G88" s="5" t="s">
        <v>3333</v>
      </c>
      <c r="H88" s="5" t="s">
        <v>710</v>
      </c>
      <c r="I88" s="6" t="s">
        <v>3356</v>
      </c>
      <c r="J88" s="6" t="s">
        <v>3241</v>
      </c>
    </row>
    <row r="89" customFormat="false" ht="23.85" hidden="false" customHeight="false" outlineLevel="0" collapsed="false">
      <c r="A89" s="5" t="s">
        <v>1331</v>
      </c>
      <c r="B89" s="5" t="s">
        <v>2823</v>
      </c>
      <c r="C89" s="5" t="s">
        <v>800</v>
      </c>
      <c r="D89" s="5" t="n">
        <v>1</v>
      </c>
      <c r="E89" s="5" t="s">
        <v>1203</v>
      </c>
      <c r="F89" s="5" t="s">
        <v>1332</v>
      </c>
      <c r="G89" s="5" t="s">
        <v>3333</v>
      </c>
      <c r="H89" s="5" t="s">
        <v>845</v>
      </c>
      <c r="I89" s="6" t="s">
        <v>3357</v>
      </c>
      <c r="J89" s="6" t="s">
        <v>3241</v>
      </c>
    </row>
    <row r="90" customFormat="false" ht="23.85" hidden="false" customHeight="false" outlineLevel="0" collapsed="false">
      <c r="A90" s="5" t="s">
        <v>713</v>
      </c>
      <c r="B90" s="5" t="s">
        <v>2823</v>
      </c>
      <c r="C90" s="5" t="s">
        <v>531</v>
      </c>
      <c r="D90" s="5" t="n">
        <v>4</v>
      </c>
      <c r="E90" s="5" t="s">
        <v>497</v>
      </c>
      <c r="F90" s="5" t="s">
        <v>714</v>
      </c>
      <c r="G90" s="5" t="s">
        <v>3333</v>
      </c>
      <c r="H90" s="5" t="s">
        <v>715</v>
      </c>
      <c r="I90" s="6" t="s">
        <v>3358</v>
      </c>
      <c r="J90" s="6" t="s">
        <v>3241</v>
      </c>
    </row>
    <row r="91" customFormat="false" ht="23.85" hidden="false" customHeight="false" outlineLevel="0" collapsed="false">
      <c r="A91" s="5" t="s">
        <v>843</v>
      </c>
      <c r="B91" s="5" t="s">
        <v>2823</v>
      </c>
      <c r="C91" s="5" t="s">
        <v>807</v>
      </c>
      <c r="D91" s="5" t="n">
        <v>1</v>
      </c>
      <c r="E91" s="5" t="s">
        <v>786</v>
      </c>
      <c r="F91" s="5" t="s">
        <v>844</v>
      </c>
      <c r="G91" s="5" t="s">
        <v>3335</v>
      </c>
      <c r="H91" s="5" t="s">
        <v>845</v>
      </c>
      <c r="I91" s="6" t="s">
        <v>3359</v>
      </c>
      <c r="J91" s="6" t="s">
        <v>3241</v>
      </c>
    </row>
    <row r="92" customFormat="false" ht="23.85" hidden="false" customHeight="false" outlineLevel="0" collapsed="false">
      <c r="A92" s="5" t="s">
        <v>1362</v>
      </c>
      <c r="B92" s="5" t="s">
        <v>2827</v>
      </c>
      <c r="C92" s="5" t="s">
        <v>800</v>
      </c>
      <c r="D92" s="5" t="n">
        <v>1</v>
      </c>
      <c r="E92" s="5" t="s">
        <v>1203</v>
      </c>
      <c r="F92" s="5" t="s">
        <v>1363</v>
      </c>
      <c r="G92" s="5" t="s">
        <v>3246</v>
      </c>
      <c r="H92" s="5" t="s">
        <v>781</v>
      </c>
      <c r="I92" s="6" t="s">
        <v>3360</v>
      </c>
      <c r="J92" s="6" t="s">
        <v>3241</v>
      </c>
    </row>
    <row r="93" customFormat="false" ht="23.85" hidden="false" customHeight="false" outlineLevel="0" collapsed="false">
      <c r="A93" s="5" t="s">
        <v>920</v>
      </c>
      <c r="B93" s="5" t="s">
        <v>2827</v>
      </c>
      <c r="C93" s="5" t="s">
        <v>794</v>
      </c>
      <c r="D93" s="5" t="n">
        <v>1</v>
      </c>
      <c r="E93" s="5" t="s">
        <v>786</v>
      </c>
      <c r="F93" s="5" t="s">
        <v>921</v>
      </c>
      <c r="G93" s="5" t="s">
        <v>3248</v>
      </c>
      <c r="H93" s="5" t="s">
        <v>781</v>
      </c>
      <c r="I93" s="6" t="s">
        <v>3361</v>
      </c>
      <c r="J93" s="6" t="s">
        <v>3241</v>
      </c>
    </row>
    <row r="94" customFormat="false" ht="23.85" hidden="false" customHeight="false" outlineLevel="0" collapsed="false">
      <c r="A94" s="5" t="s">
        <v>779</v>
      </c>
      <c r="B94" s="5" t="s">
        <v>2827</v>
      </c>
      <c r="C94" s="5" t="s">
        <v>538</v>
      </c>
      <c r="D94" s="5" t="n">
        <v>4</v>
      </c>
      <c r="E94" s="5" t="s">
        <v>497</v>
      </c>
      <c r="F94" s="5" t="s">
        <v>780</v>
      </c>
      <c r="G94" s="5" t="s">
        <v>3362</v>
      </c>
      <c r="H94" s="5" t="s">
        <v>781</v>
      </c>
      <c r="I94" s="6" t="s">
        <v>3363</v>
      </c>
      <c r="J94" s="6" t="s">
        <v>3241</v>
      </c>
    </row>
    <row r="95" customFormat="false" ht="23.85" hidden="false" customHeight="false" outlineLevel="0" collapsed="false">
      <c r="A95" s="5" t="s">
        <v>1280</v>
      </c>
      <c r="B95" s="5" t="s">
        <v>2755</v>
      </c>
      <c r="C95" s="5" t="s">
        <v>800</v>
      </c>
      <c r="D95" s="5" t="n">
        <v>1</v>
      </c>
      <c r="E95" s="5" t="s">
        <v>1203</v>
      </c>
      <c r="F95" s="5" t="s">
        <v>1281</v>
      </c>
      <c r="G95" s="5" t="s">
        <v>3325</v>
      </c>
      <c r="H95" s="5" t="s">
        <v>985</v>
      </c>
      <c r="I95" s="6" t="s">
        <v>3364</v>
      </c>
      <c r="J95" s="6" t="s">
        <v>3241</v>
      </c>
    </row>
    <row r="96" customFormat="false" ht="23.85" hidden="false" customHeight="false" outlineLevel="0" collapsed="false">
      <c r="A96" s="5" t="s">
        <v>983</v>
      </c>
      <c r="B96" s="5" t="s">
        <v>2755</v>
      </c>
      <c r="C96" s="5" t="s">
        <v>794</v>
      </c>
      <c r="D96" s="5" t="n">
        <v>1</v>
      </c>
      <c r="E96" s="5" t="s">
        <v>786</v>
      </c>
      <c r="F96" s="5" t="s">
        <v>984</v>
      </c>
      <c r="G96" s="5" t="s">
        <v>3277</v>
      </c>
      <c r="H96" s="5" t="s">
        <v>985</v>
      </c>
      <c r="I96" s="6" t="s">
        <v>3365</v>
      </c>
      <c r="J96" s="6" t="s">
        <v>3241</v>
      </c>
    </row>
    <row r="97" customFormat="false" ht="23.85" hidden="false" customHeight="false" outlineLevel="0" collapsed="false">
      <c r="A97" s="5" t="s">
        <v>637</v>
      </c>
      <c r="B97" s="5" t="s">
        <v>2755</v>
      </c>
      <c r="C97" s="5" t="s">
        <v>641</v>
      </c>
      <c r="D97" s="5" t="n">
        <v>4</v>
      </c>
      <c r="E97" s="5" t="s">
        <v>497</v>
      </c>
      <c r="F97" s="5" t="s">
        <v>638</v>
      </c>
      <c r="G97" s="5" t="s">
        <v>3279</v>
      </c>
      <c r="H97" s="5" t="s">
        <v>639</v>
      </c>
      <c r="I97" s="6" t="s">
        <v>3366</v>
      </c>
      <c r="J97" s="6" t="s">
        <v>3241</v>
      </c>
    </row>
    <row r="98" customFormat="false" ht="23.85" hidden="false" customHeight="false" outlineLevel="0" collapsed="false">
      <c r="A98" s="5" t="s">
        <v>572</v>
      </c>
      <c r="B98" s="5" t="s">
        <v>2746</v>
      </c>
      <c r="C98" s="5" t="s">
        <v>576</v>
      </c>
      <c r="D98" s="5" t="n">
        <v>4</v>
      </c>
      <c r="E98" s="5" t="s">
        <v>497</v>
      </c>
      <c r="F98" s="5" t="s">
        <v>573</v>
      </c>
      <c r="G98" s="5" t="s">
        <v>3367</v>
      </c>
      <c r="H98" s="5" t="s">
        <v>574</v>
      </c>
      <c r="I98" s="6" t="s">
        <v>3368</v>
      </c>
      <c r="J98" s="6" t="s">
        <v>3241</v>
      </c>
    </row>
    <row r="99" customFormat="false" ht="23.85" hidden="false" customHeight="false" outlineLevel="0" collapsed="false">
      <c r="A99" s="5" t="s">
        <v>923</v>
      </c>
      <c r="B99" s="5" t="s">
        <v>2746</v>
      </c>
      <c r="C99" s="5" t="s">
        <v>807</v>
      </c>
      <c r="D99" s="5" t="n">
        <v>1</v>
      </c>
      <c r="E99" s="5" t="s">
        <v>786</v>
      </c>
      <c r="F99" s="5" t="s">
        <v>924</v>
      </c>
      <c r="G99" s="5" t="s">
        <v>3369</v>
      </c>
      <c r="H99" s="5" t="s">
        <v>574</v>
      </c>
      <c r="I99" s="6" t="s">
        <v>3370</v>
      </c>
      <c r="J99" s="6" t="s">
        <v>3241</v>
      </c>
    </row>
    <row r="100" customFormat="false" ht="23.85" hidden="false" customHeight="false" outlineLevel="0" collapsed="false">
      <c r="A100" s="5" t="s">
        <v>517</v>
      </c>
      <c r="B100" s="5" t="s">
        <v>2857</v>
      </c>
      <c r="C100" s="5" t="s">
        <v>521</v>
      </c>
      <c r="D100" s="5" t="n">
        <v>4</v>
      </c>
      <c r="E100" s="5" t="s">
        <v>497</v>
      </c>
      <c r="F100" s="5" t="s">
        <v>518</v>
      </c>
      <c r="G100" s="5" t="s">
        <v>3371</v>
      </c>
      <c r="H100" s="5" t="s">
        <v>519</v>
      </c>
      <c r="I100" s="6" t="s">
        <v>3372</v>
      </c>
      <c r="J100" s="6" t="s">
        <v>3241</v>
      </c>
    </row>
    <row r="101" customFormat="false" ht="23.85" hidden="false" customHeight="false" outlineLevel="0" collapsed="false">
      <c r="A101" s="5" t="s">
        <v>879</v>
      </c>
      <c r="B101" s="5" t="s">
        <v>2857</v>
      </c>
      <c r="C101" s="5" t="s">
        <v>881</v>
      </c>
      <c r="D101" s="5" t="n">
        <v>1</v>
      </c>
      <c r="E101" s="5" t="s">
        <v>786</v>
      </c>
      <c r="F101" s="5" t="s">
        <v>880</v>
      </c>
      <c r="G101" s="5" t="s">
        <v>3373</v>
      </c>
      <c r="H101" s="5" t="s">
        <v>501</v>
      </c>
      <c r="I101" s="6" t="s">
        <v>3374</v>
      </c>
      <c r="J101" s="6" t="s">
        <v>3241</v>
      </c>
    </row>
    <row r="102" customFormat="false" ht="23.85" hidden="false" customHeight="false" outlineLevel="0" collapsed="false">
      <c r="A102" s="5" t="s">
        <v>875</v>
      </c>
      <c r="B102" s="5" t="s">
        <v>2738</v>
      </c>
      <c r="C102" s="5" t="s">
        <v>877</v>
      </c>
      <c r="D102" s="5" t="n">
        <v>1</v>
      </c>
      <c r="E102" s="5" t="s">
        <v>786</v>
      </c>
      <c r="F102" s="5" t="s">
        <v>876</v>
      </c>
      <c r="G102" s="5" t="s">
        <v>3373</v>
      </c>
      <c r="H102" s="5" t="s">
        <v>501</v>
      </c>
      <c r="I102" s="6" t="s">
        <v>3375</v>
      </c>
      <c r="J102" s="6" t="s">
        <v>3241</v>
      </c>
    </row>
    <row r="103" customFormat="false" ht="23.85" hidden="false" customHeight="false" outlineLevel="0" collapsed="false">
      <c r="A103" s="5" t="s">
        <v>495</v>
      </c>
      <c r="B103" s="5" t="s">
        <v>2738</v>
      </c>
      <c r="C103" s="5" t="s">
        <v>507</v>
      </c>
      <c r="D103" s="5" t="n">
        <v>3</v>
      </c>
      <c r="E103" s="5" t="s">
        <v>497</v>
      </c>
      <c r="F103" s="5" t="s">
        <v>498</v>
      </c>
      <c r="G103" s="5" t="s">
        <v>3371</v>
      </c>
      <c r="H103" s="5" t="s">
        <v>501</v>
      </c>
      <c r="I103" s="6" t="s">
        <v>3376</v>
      </c>
      <c r="J103" s="6" t="s">
        <v>3241</v>
      </c>
    </row>
    <row r="104" customFormat="false" ht="23.85" hidden="false" customHeight="false" outlineLevel="0" collapsed="false">
      <c r="A104" s="5" t="s">
        <v>1242</v>
      </c>
      <c r="B104" s="5" t="s">
        <v>2787</v>
      </c>
      <c r="C104" s="5" t="s">
        <v>800</v>
      </c>
      <c r="D104" s="5" t="n">
        <v>1</v>
      </c>
      <c r="E104" s="5" t="s">
        <v>1203</v>
      </c>
      <c r="F104" s="5" t="s">
        <v>1243</v>
      </c>
      <c r="G104" s="5" t="s">
        <v>3377</v>
      </c>
      <c r="H104" s="5" t="s">
        <v>1244</v>
      </c>
      <c r="I104" s="6" t="s">
        <v>3378</v>
      </c>
      <c r="J104" s="6" t="s">
        <v>3241</v>
      </c>
    </row>
    <row r="105" customFormat="false" ht="23.85" hidden="false" customHeight="false" outlineLevel="0" collapsed="false">
      <c r="A105" s="5" t="s">
        <v>548</v>
      </c>
      <c r="B105" s="5" t="s">
        <v>2787</v>
      </c>
      <c r="C105" s="5" t="s">
        <v>531</v>
      </c>
      <c r="D105" s="5" t="n">
        <v>4</v>
      </c>
      <c r="E105" s="5" t="s">
        <v>497</v>
      </c>
      <c r="F105" s="5" t="s">
        <v>549</v>
      </c>
      <c r="G105" s="5" t="s">
        <v>3379</v>
      </c>
      <c r="H105" s="5" t="s">
        <v>550</v>
      </c>
      <c r="I105" s="6" t="s">
        <v>3380</v>
      </c>
      <c r="J105" s="6" t="s">
        <v>3241</v>
      </c>
    </row>
    <row r="106" customFormat="false" ht="23.85" hidden="false" customHeight="false" outlineLevel="0" collapsed="false">
      <c r="A106" s="5" t="s">
        <v>901</v>
      </c>
      <c r="B106" s="5" t="s">
        <v>2787</v>
      </c>
      <c r="C106" s="5" t="s">
        <v>807</v>
      </c>
      <c r="D106" s="5" t="n">
        <v>1</v>
      </c>
      <c r="E106" s="5" t="s">
        <v>786</v>
      </c>
      <c r="F106" s="5" t="s">
        <v>902</v>
      </c>
      <c r="G106" s="5" t="s">
        <v>3381</v>
      </c>
      <c r="H106" s="5" t="s">
        <v>905</v>
      </c>
      <c r="I106" s="6" t="s">
        <v>3382</v>
      </c>
      <c r="J106" s="6" t="s">
        <v>3241</v>
      </c>
    </row>
    <row r="107" customFormat="false" ht="23.85" hidden="false" customHeight="false" outlineLevel="0" collapsed="false">
      <c r="A107" s="5" t="s">
        <v>1271</v>
      </c>
      <c r="B107" s="5" t="s">
        <v>2789</v>
      </c>
      <c r="C107" s="5" t="s">
        <v>800</v>
      </c>
      <c r="D107" s="5" t="n">
        <v>1</v>
      </c>
      <c r="E107" s="5" t="s">
        <v>1203</v>
      </c>
      <c r="F107" s="5" t="s">
        <v>1272</v>
      </c>
      <c r="G107" s="5" t="s">
        <v>3383</v>
      </c>
      <c r="H107" s="5" t="s">
        <v>1273</v>
      </c>
      <c r="I107" s="6" t="s">
        <v>3384</v>
      </c>
      <c r="J107" s="6" t="s">
        <v>3241</v>
      </c>
    </row>
    <row r="108" customFormat="false" ht="23.85" hidden="false" customHeight="false" outlineLevel="0" collapsed="false">
      <c r="A108" s="5" t="s">
        <v>956</v>
      </c>
      <c r="B108" s="5" t="s">
        <v>2789</v>
      </c>
      <c r="C108" s="5" t="s">
        <v>794</v>
      </c>
      <c r="D108" s="5" t="n">
        <v>1</v>
      </c>
      <c r="E108" s="5" t="s">
        <v>786</v>
      </c>
      <c r="F108" s="5" t="s">
        <v>957</v>
      </c>
      <c r="G108" s="5" t="s">
        <v>3385</v>
      </c>
      <c r="H108" s="5" t="s">
        <v>958</v>
      </c>
      <c r="I108" s="6" t="s">
        <v>3386</v>
      </c>
      <c r="J108" s="6" t="s">
        <v>3241</v>
      </c>
    </row>
    <row r="109" customFormat="false" ht="23.85" hidden="false" customHeight="false" outlineLevel="0" collapsed="false">
      <c r="A109" s="5" t="s">
        <v>606</v>
      </c>
      <c r="B109" s="5" t="s">
        <v>2789</v>
      </c>
      <c r="C109" s="5" t="s">
        <v>538</v>
      </c>
      <c r="D109" s="5" t="n">
        <v>4</v>
      </c>
      <c r="E109" s="5" t="s">
        <v>497</v>
      </c>
      <c r="F109" s="5" t="s">
        <v>607</v>
      </c>
      <c r="G109" s="5" t="s">
        <v>3383</v>
      </c>
      <c r="H109" s="5" t="s">
        <v>608</v>
      </c>
      <c r="I109" s="6" t="s">
        <v>3387</v>
      </c>
      <c r="J109" s="6" t="s">
        <v>3241</v>
      </c>
    </row>
    <row r="110" customFormat="false" ht="23.85" hidden="false" customHeight="false" outlineLevel="0" collapsed="false">
      <c r="A110" s="5" t="s">
        <v>1275</v>
      </c>
      <c r="B110" s="5" t="s">
        <v>2741</v>
      </c>
      <c r="C110" s="5" t="s">
        <v>800</v>
      </c>
      <c r="D110" s="5" t="n">
        <v>1</v>
      </c>
      <c r="E110" s="5" t="s">
        <v>1203</v>
      </c>
      <c r="F110" s="5" t="s">
        <v>1276</v>
      </c>
      <c r="G110" s="5" t="s">
        <v>3388</v>
      </c>
      <c r="H110" s="5" t="s">
        <v>1278</v>
      </c>
      <c r="I110" s="6" t="s">
        <v>3389</v>
      </c>
      <c r="J110" s="6" t="s">
        <v>3241</v>
      </c>
    </row>
    <row r="111" customFormat="false" ht="23.85" hidden="false" customHeight="false" outlineLevel="0" collapsed="false">
      <c r="A111" s="5" t="s">
        <v>970</v>
      </c>
      <c r="B111" s="5" t="s">
        <v>2741</v>
      </c>
      <c r="C111" s="5" t="s">
        <v>794</v>
      </c>
      <c r="D111" s="5" t="n">
        <v>1</v>
      </c>
      <c r="E111" s="5" t="s">
        <v>786</v>
      </c>
      <c r="F111" s="5" t="s">
        <v>971</v>
      </c>
      <c r="G111" s="5" t="s">
        <v>3390</v>
      </c>
      <c r="H111" s="5" t="s">
        <v>615</v>
      </c>
      <c r="I111" s="6" t="s">
        <v>3391</v>
      </c>
      <c r="J111" s="6" t="s">
        <v>3241</v>
      </c>
    </row>
    <row r="112" customFormat="false" ht="23.85" hidden="false" customHeight="false" outlineLevel="0" collapsed="false">
      <c r="A112" s="5" t="s">
        <v>611</v>
      </c>
      <c r="B112" s="5" t="s">
        <v>2741</v>
      </c>
      <c r="C112" s="5" t="s">
        <v>538</v>
      </c>
      <c r="D112" s="5" t="n">
        <v>4</v>
      </c>
      <c r="E112" s="5" t="s">
        <v>497</v>
      </c>
      <c r="F112" s="5" t="s">
        <v>612</v>
      </c>
      <c r="G112" s="5" t="s">
        <v>3392</v>
      </c>
      <c r="H112" s="5" t="s">
        <v>615</v>
      </c>
      <c r="I112" s="6" t="s">
        <v>3393</v>
      </c>
      <c r="J112" s="6" t="s">
        <v>3241</v>
      </c>
    </row>
    <row r="113" customFormat="false" ht="23.85" hidden="false" customHeight="false" outlineLevel="0" collapsed="false">
      <c r="A113" s="5" t="s">
        <v>1359</v>
      </c>
      <c r="B113" s="5" t="s">
        <v>2825</v>
      </c>
      <c r="C113" s="5" t="s">
        <v>800</v>
      </c>
      <c r="D113" s="5" t="n">
        <v>1</v>
      </c>
      <c r="E113" s="5" t="s">
        <v>1203</v>
      </c>
      <c r="F113" s="5" t="s">
        <v>1360</v>
      </c>
      <c r="G113" s="5" t="s">
        <v>3246</v>
      </c>
      <c r="H113" s="5" t="s">
        <v>776</v>
      </c>
      <c r="I113" s="6" t="s">
        <v>3394</v>
      </c>
      <c r="J113" s="6" t="s">
        <v>3241</v>
      </c>
    </row>
    <row r="114" customFormat="false" ht="23.85" hidden="false" customHeight="false" outlineLevel="0" collapsed="false">
      <c r="A114" s="5" t="s">
        <v>866</v>
      </c>
      <c r="B114" s="5" t="s">
        <v>2825</v>
      </c>
      <c r="C114" s="5" t="s">
        <v>794</v>
      </c>
      <c r="D114" s="5" t="n">
        <v>1</v>
      </c>
      <c r="E114" s="5" t="s">
        <v>786</v>
      </c>
      <c r="F114" s="5" t="s">
        <v>867</v>
      </c>
      <c r="G114" s="5" t="s">
        <v>3248</v>
      </c>
      <c r="H114" s="5" t="s">
        <v>776</v>
      </c>
      <c r="I114" s="6" t="s">
        <v>3395</v>
      </c>
      <c r="J114" s="6" t="s">
        <v>3241</v>
      </c>
    </row>
    <row r="115" customFormat="false" ht="23.85" hidden="false" customHeight="false" outlineLevel="0" collapsed="false">
      <c r="A115" s="5" t="s">
        <v>773</v>
      </c>
      <c r="B115" s="5" t="s">
        <v>2825</v>
      </c>
      <c r="C115" s="5" t="s">
        <v>538</v>
      </c>
      <c r="D115" s="5" t="n">
        <v>4</v>
      </c>
      <c r="E115" s="5" t="s">
        <v>497</v>
      </c>
      <c r="F115" s="5" t="s">
        <v>774</v>
      </c>
      <c r="G115" s="5" t="s">
        <v>3362</v>
      </c>
      <c r="H115" s="5" t="s">
        <v>776</v>
      </c>
      <c r="I115" s="6" t="s">
        <v>3396</v>
      </c>
      <c r="J115" s="6" t="s">
        <v>3241</v>
      </c>
    </row>
    <row r="116" customFormat="false" ht="23.85" hidden="false" customHeight="false" outlineLevel="0" collapsed="false">
      <c r="A116" s="5" t="s">
        <v>1238</v>
      </c>
      <c r="B116" s="5" t="s">
        <v>2806</v>
      </c>
      <c r="C116" s="5" t="s">
        <v>800</v>
      </c>
      <c r="D116" s="5" t="n">
        <v>1</v>
      </c>
      <c r="E116" s="5" t="s">
        <v>1203</v>
      </c>
      <c r="F116" s="5" t="s">
        <v>1239</v>
      </c>
      <c r="G116" s="5" t="s">
        <v>3377</v>
      </c>
      <c r="H116" s="5" t="s">
        <v>1240</v>
      </c>
      <c r="I116" s="6" t="s">
        <v>3397</v>
      </c>
      <c r="J116" s="6" t="s">
        <v>3241</v>
      </c>
    </row>
    <row r="117" customFormat="false" ht="23.85" hidden="false" customHeight="false" outlineLevel="0" collapsed="false">
      <c r="A117" s="5" t="s">
        <v>540</v>
      </c>
      <c r="B117" s="5" t="s">
        <v>2806</v>
      </c>
      <c r="C117" s="5" t="s">
        <v>531</v>
      </c>
      <c r="D117" s="5" t="n">
        <v>4</v>
      </c>
      <c r="E117" s="5" t="s">
        <v>497</v>
      </c>
      <c r="F117" s="5" t="s">
        <v>541</v>
      </c>
      <c r="G117" s="5" t="s">
        <v>3379</v>
      </c>
      <c r="H117" s="5" t="s">
        <v>545</v>
      </c>
      <c r="I117" s="6" t="s">
        <v>3398</v>
      </c>
      <c r="J117" s="6" t="s">
        <v>3241</v>
      </c>
    </row>
    <row r="118" customFormat="false" ht="23.85" hidden="false" customHeight="false" outlineLevel="0" collapsed="false">
      <c r="A118" s="5" t="s">
        <v>907</v>
      </c>
      <c r="B118" s="5" t="s">
        <v>2806</v>
      </c>
      <c r="C118" s="5" t="s">
        <v>807</v>
      </c>
      <c r="D118" s="5" t="n">
        <v>1</v>
      </c>
      <c r="E118" s="5" t="s">
        <v>786</v>
      </c>
      <c r="F118" s="5" t="s">
        <v>908</v>
      </c>
      <c r="G118" s="5" t="s">
        <v>3381</v>
      </c>
      <c r="H118" s="5" t="s">
        <v>909</v>
      </c>
      <c r="I118" s="6" t="s">
        <v>3399</v>
      </c>
      <c r="J118" s="6" t="s">
        <v>3241</v>
      </c>
    </row>
    <row r="119" customFormat="false" ht="23.85" hidden="false" customHeight="false" outlineLevel="0" collapsed="false">
      <c r="A119" s="5" t="s">
        <v>565</v>
      </c>
      <c r="B119" s="5" t="s">
        <v>2910</v>
      </c>
      <c r="C119" s="5" t="s">
        <v>531</v>
      </c>
      <c r="D119" s="5" t="n">
        <v>4</v>
      </c>
      <c r="E119" s="5" t="s">
        <v>497</v>
      </c>
      <c r="F119" s="5" t="s">
        <v>566</v>
      </c>
      <c r="G119" s="5" t="s">
        <v>3367</v>
      </c>
      <c r="H119" s="5" t="s">
        <v>569</v>
      </c>
      <c r="I119" s="6" t="s">
        <v>3400</v>
      </c>
      <c r="J119" s="6" t="s">
        <v>3241</v>
      </c>
    </row>
    <row r="120" customFormat="false" ht="23.85" hidden="false" customHeight="false" outlineLevel="0" collapsed="false">
      <c r="A120" s="5" t="s">
        <v>928</v>
      </c>
      <c r="B120" s="5" t="s">
        <v>2910</v>
      </c>
      <c r="C120" s="5" t="s">
        <v>807</v>
      </c>
      <c r="D120" s="5" t="n">
        <v>1</v>
      </c>
      <c r="E120" s="5" t="s">
        <v>786</v>
      </c>
      <c r="F120" s="5" t="s">
        <v>929</v>
      </c>
      <c r="G120" s="5" t="s">
        <v>3369</v>
      </c>
      <c r="H120" s="5" t="s">
        <v>930</v>
      </c>
      <c r="I120" s="6" t="s">
        <v>3401</v>
      </c>
      <c r="J120" s="6" t="s">
        <v>3241</v>
      </c>
    </row>
    <row r="121" customFormat="false" ht="23.85" hidden="false" customHeight="false" outlineLevel="0" collapsed="false">
      <c r="A121" s="5" t="s">
        <v>1265</v>
      </c>
      <c r="B121" s="5" t="s">
        <v>2852</v>
      </c>
      <c r="C121" s="5" t="s">
        <v>800</v>
      </c>
      <c r="D121" s="5" t="n">
        <v>1</v>
      </c>
      <c r="E121" s="5" t="s">
        <v>1203</v>
      </c>
      <c r="F121" s="5" t="s">
        <v>1266</v>
      </c>
      <c r="G121" s="5" t="s">
        <v>3383</v>
      </c>
      <c r="H121" s="5" t="s">
        <v>1268</v>
      </c>
      <c r="I121" s="6" t="s">
        <v>3402</v>
      </c>
      <c r="J121" s="6" t="s">
        <v>3241</v>
      </c>
    </row>
    <row r="122" customFormat="false" ht="23.85" hidden="false" customHeight="false" outlineLevel="0" collapsed="false">
      <c r="A122" s="5" t="s">
        <v>951</v>
      </c>
      <c r="B122" s="5" t="s">
        <v>2852</v>
      </c>
      <c r="C122" s="5" t="s">
        <v>794</v>
      </c>
      <c r="D122" s="5" t="n">
        <v>1</v>
      </c>
      <c r="E122" s="5" t="s">
        <v>786</v>
      </c>
      <c r="F122" s="5" t="s">
        <v>952</v>
      </c>
      <c r="G122" s="5" t="s">
        <v>3385</v>
      </c>
      <c r="H122" s="5" t="s">
        <v>954</v>
      </c>
      <c r="I122" s="6" t="s">
        <v>3403</v>
      </c>
      <c r="J122" s="6" t="s">
        <v>3241</v>
      </c>
    </row>
    <row r="123" customFormat="false" ht="23.85" hidden="false" customHeight="false" outlineLevel="0" collapsed="false">
      <c r="A123" s="5" t="s">
        <v>598</v>
      </c>
      <c r="B123" s="5" t="s">
        <v>2852</v>
      </c>
      <c r="C123" s="5" t="s">
        <v>538</v>
      </c>
      <c r="D123" s="5" t="n">
        <v>4</v>
      </c>
      <c r="E123" s="5" t="s">
        <v>497</v>
      </c>
      <c r="F123" s="5" t="s">
        <v>599</v>
      </c>
      <c r="G123" s="5" t="s">
        <v>3383</v>
      </c>
      <c r="H123" s="5" t="s">
        <v>603</v>
      </c>
      <c r="I123" s="6" t="s">
        <v>3404</v>
      </c>
      <c r="J123" s="6" t="s">
        <v>3241</v>
      </c>
    </row>
    <row r="124" customFormat="false" ht="23.85" hidden="false" customHeight="false" outlineLevel="0" collapsed="false">
      <c r="A124" s="5" t="s">
        <v>869</v>
      </c>
      <c r="B124" s="5" t="s">
        <v>2856</v>
      </c>
      <c r="C124" s="5" t="s">
        <v>873</v>
      </c>
      <c r="D124" s="5" t="n">
        <v>1</v>
      </c>
      <c r="E124" s="5" t="s">
        <v>786</v>
      </c>
      <c r="F124" s="5" t="s">
        <v>870</v>
      </c>
      <c r="G124" s="5" t="s">
        <v>3373</v>
      </c>
      <c r="H124" s="5" t="s">
        <v>511</v>
      </c>
      <c r="I124" s="6" t="s">
        <v>3405</v>
      </c>
      <c r="J124" s="6" t="s">
        <v>3241</v>
      </c>
    </row>
    <row r="125" customFormat="false" ht="23.85" hidden="false" customHeight="false" outlineLevel="0" collapsed="false">
      <c r="A125" s="5" t="s">
        <v>509</v>
      </c>
      <c r="B125" s="5" t="s">
        <v>2856</v>
      </c>
      <c r="C125" s="5" t="s">
        <v>515</v>
      </c>
      <c r="D125" s="5" t="n">
        <v>4</v>
      </c>
      <c r="E125" s="5" t="s">
        <v>497</v>
      </c>
      <c r="F125" s="5" t="s">
        <v>510</v>
      </c>
      <c r="G125" s="5" t="s">
        <v>3371</v>
      </c>
      <c r="H125" s="5" t="s">
        <v>511</v>
      </c>
      <c r="I125" s="6" t="s">
        <v>3406</v>
      </c>
      <c r="J125" s="6" t="s">
        <v>3241</v>
      </c>
    </row>
    <row r="126" customFormat="false" ht="23.85" hidden="false" customHeight="false" outlineLevel="0" collapsed="false">
      <c r="A126" s="5" t="s">
        <v>1334</v>
      </c>
      <c r="B126" s="5" t="s">
        <v>2826</v>
      </c>
      <c r="C126" s="5" t="s">
        <v>800</v>
      </c>
      <c r="D126" s="5" t="n">
        <v>1</v>
      </c>
      <c r="E126" s="5" t="s">
        <v>1203</v>
      </c>
      <c r="F126" s="5" t="s">
        <v>1335</v>
      </c>
      <c r="G126" s="5" t="s">
        <v>3246</v>
      </c>
      <c r="H126" s="5" t="s">
        <v>740</v>
      </c>
      <c r="I126" s="6" t="s">
        <v>3407</v>
      </c>
      <c r="J126" s="6" t="s">
        <v>3241</v>
      </c>
    </row>
    <row r="127" customFormat="false" ht="23.85" hidden="false" customHeight="false" outlineLevel="0" collapsed="false">
      <c r="A127" s="5" t="s">
        <v>883</v>
      </c>
      <c r="B127" s="5" t="s">
        <v>2826</v>
      </c>
      <c r="C127" s="5" t="s">
        <v>794</v>
      </c>
      <c r="D127" s="5" t="n">
        <v>1</v>
      </c>
      <c r="E127" s="5" t="s">
        <v>786</v>
      </c>
      <c r="F127" s="5" t="s">
        <v>884</v>
      </c>
      <c r="G127" s="5" t="s">
        <v>3248</v>
      </c>
      <c r="H127" s="5" t="s">
        <v>740</v>
      </c>
      <c r="I127" s="6" t="s">
        <v>3408</v>
      </c>
      <c r="J127" s="6" t="s">
        <v>3241</v>
      </c>
    </row>
    <row r="128" customFormat="false" ht="23.85" hidden="false" customHeight="false" outlineLevel="0" collapsed="false">
      <c r="A128" s="5" t="s">
        <v>960</v>
      </c>
      <c r="B128" s="5" t="s">
        <v>963</v>
      </c>
      <c r="C128" s="5" t="s">
        <v>794</v>
      </c>
      <c r="D128" s="5" t="n">
        <v>1</v>
      </c>
      <c r="E128" s="5" t="s">
        <v>786</v>
      </c>
      <c r="F128" s="5" t="s">
        <v>961</v>
      </c>
      <c r="G128" s="5" t="s">
        <v>3248</v>
      </c>
      <c r="H128" s="5" t="s">
        <v>745</v>
      </c>
      <c r="I128" s="6" t="s">
        <v>3409</v>
      </c>
      <c r="J128" s="6" t="s">
        <v>3241</v>
      </c>
    </row>
    <row r="129" customFormat="false" ht="23.85" hidden="false" customHeight="false" outlineLevel="0" collapsed="false">
      <c r="A129" s="5" t="s">
        <v>1347</v>
      </c>
      <c r="B129" s="5" t="s">
        <v>2828</v>
      </c>
      <c r="C129" s="5" t="s">
        <v>800</v>
      </c>
      <c r="D129" s="5" t="n">
        <v>1</v>
      </c>
      <c r="E129" s="5" t="s">
        <v>1203</v>
      </c>
      <c r="F129" s="5" t="s">
        <v>1348</v>
      </c>
      <c r="G129" s="5" t="s">
        <v>3246</v>
      </c>
      <c r="H129" s="5" t="s">
        <v>755</v>
      </c>
      <c r="I129" s="6" t="s">
        <v>3410</v>
      </c>
      <c r="J129" s="6" t="s">
        <v>3241</v>
      </c>
    </row>
    <row r="130" customFormat="false" ht="23.85" hidden="false" customHeight="false" outlineLevel="0" collapsed="false">
      <c r="A130" s="5" t="s">
        <v>932</v>
      </c>
      <c r="B130" s="5" t="s">
        <v>2828</v>
      </c>
      <c r="C130" s="5" t="s">
        <v>794</v>
      </c>
      <c r="D130" s="5" t="n">
        <v>1</v>
      </c>
      <c r="E130" s="5" t="s">
        <v>786</v>
      </c>
      <c r="F130" s="5" t="s">
        <v>933</v>
      </c>
      <c r="G130" s="5" t="s">
        <v>3248</v>
      </c>
      <c r="H130" s="5" t="s">
        <v>755</v>
      </c>
      <c r="I130" s="6" t="s">
        <v>3411</v>
      </c>
      <c r="J130" s="6" t="s">
        <v>3241</v>
      </c>
    </row>
    <row r="131" customFormat="false" ht="23.85" hidden="false" customHeight="false" outlineLevel="0" collapsed="false">
      <c r="A131" s="5" t="s">
        <v>1354</v>
      </c>
      <c r="B131" s="5" t="s">
        <v>2830</v>
      </c>
      <c r="C131" s="5" t="s">
        <v>800</v>
      </c>
      <c r="D131" s="5" t="n">
        <v>1</v>
      </c>
      <c r="E131" s="5" t="s">
        <v>1203</v>
      </c>
      <c r="F131" s="5" t="s">
        <v>1355</v>
      </c>
      <c r="G131" s="5" t="s">
        <v>3246</v>
      </c>
      <c r="H131" s="5" t="s">
        <v>765</v>
      </c>
      <c r="I131" s="6" t="s">
        <v>3412</v>
      </c>
      <c r="J131" s="6" t="s">
        <v>3241</v>
      </c>
    </row>
    <row r="132" customFormat="false" ht="23.85" hidden="false" customHeight="false" outlineLevel="0" collapsed="false">
      <c r="A132" s="5" t="s">
        <v>967</v>
      </c>
      <c r="B132" s="5" t="s">
        <v>2830</v>
      </c>
      <c r="C132" s="5" t="s">
        <v>794</v>
      </c>
      <c r="D132" s="5" t="n">
        <v>1</v>
      </c>
      <c r="E132" s="5" t="s">
        <v>786</v>
      </c>
      <c r="F132" s="5" t="s">
        <v>968</v>
      </c>
      <c r="G132" s="5" t="s">
        <v>3248</v>
      </c>
      <c r="H132" s="5" t="s">
        <v>765</v>
      </c>
      <c r="I132" s="6" t="s">
        <v>3413</v>
      </c>
      <c r="J132" s="6" t="s">
        <v>3241</v>
      </c>
    </row>
    <row r="133" customFormat="false" ht="23.85" hidden="false" customHeight="false" outlineLevel="0" collapsed="false">
      <c r="A133" s="5" t="s">
        <v>1310</v>
      </c>
      <c r="B133" s="5" t="s">
        <v>2778</v>
      </c>
      <c r="C133" s="5" t="s">
        <v>800</v>
      </c>
      <c r="D133" s="5" t="n">
        <v>1</v>
      </c>
      <c r="E133" s="5" t="s">
        <v>1203</v>
      </c>
      <c r="F133" s="5" t="s">
        <v>1311</v>
      </c>
      <c r="G133" s="5" t="s">
        <v>3294</v>
      </c>
      <c r="H133" s="5" t="s">
        <v>683</v>
      </c>
      <c r="I133" s="6" t="s">
        <v>3414</v>
      </c>
      <c r="J133" s="6" t="s">
        <v>3241</v>
      </c>
    </row>
    <row r="134" customFormat="false" ht="23.85" hidden="false" customHeight="false" outlineLevel="0" collapsed="false">
      <c r="A134" s="5" t="s">
        <v>681</v>
      </c>
      <c r="B134" s="5" t="s">
        <v>2778</v>
      </c>
      <c r="C134" s="5" t="s">
        <v>531</v>
      </c>
      <c r="D134" s="5" t="n">
        <v>4</v>
      </c>
      <c r="E134" s="5" t="s">
        <v>497</v>
      </c>
      <c r="F134" s="5" t="s">
        <v>682</v>
      </c>
      <c r="G134" s="5" t="s">
        <v>3297</v>
      </c>
      <c r="H134" s="5" t="s">
        <v>683</v>
      </c>
      <c r="I134" s="6" t="s">
        <v>3415</v>
      </c>
      <c r="J134" s="6" t="s">
        <v>3241</v>
      </c>
    </row>
    <row r="135" customFormat="false" ht="23.85" hidden="false" customHeight="false" outlineLevel="0" collapsed="false">
      <c r="A135" s="5" t="s">
        <v>831</v>
      </c>
      <c r="B135" s="5" t="s">
        <v>2778</v>
      </c>
      <c r="C135" s="5" t="s">
        <v>807</v>
      </c>
      <c r="D135" s="5" t="n">
        <v>1</v>
      </c>
      <c r="E135" s="5" t="s">
        <v>786</v>
      </c>
      <c r="F135" s="5" t="s">
        <v>832</v>
      </c>
      <c r="G135" s="5" t="s">
        <v>3266</v>
      </c>
      <c r="H135" s="5" t="s">
        <v>683</v>
      </c>
      <c r="I135" s="6" t="s">
        <v>3416</v>
      </c>
      <c r="J135" s="6" t="s">
        <v>3241</v>
      </c>
    </row>
    <row r="136" customFormat="false" ht="23.85" hidden="false" customHeight="false" outlineLevel="0" collapsed="false">
      <c r="A136" s="5" t="s">
        <v>753</v>
      </c>
      <c r="B136" s="5" t="s">
        <v>2912</v>
      </c>
      <c r="C136" s="5" t="s">
        <v>538</v>
      </c>
      <c r="D136" s="5" t="n">
        <v>4</v>
      </c>
      <c r="E136" s="5" t="s">
        <v>497</v>
      </c>
      <c r="F136" s="5" t="s">
        <v>754</v>
      </c>
      <c r="G136" s="5" t="s">
        <v>3250</v>
      </c>
      <c r="H136" s="5" t="s">
        <v>755</v>
      </c>
      <c r="I136" s="6" t="s">
        <v>3417</v>
      </c>
      <c r="J136" s="6" t="s">
        <v>3241</v>
      </c>
    </row>
    <row r="137" customFormat="false" ht="23.85" hidden="false" customHeight="false" outlineLevel="0" collapsed="false">
      <c r="A137" s="5" t="s">
        <v>763</v>
      </c>
      <c r="B137" s="5" t="s">
        <v>2871</v>
      </c>
      <c r="C137" s="5" t="s">
        <v>538</v>
      </c>
      <c r="D137" s="5" t="n">
        <v>4</v>
      </c>
      <c r="E137" s="5" t="s">
        <v>497</v>
      </c>
      <c r="F137" s="5" t="s">
        <v>764</v>
      </c>
      <c r="G137" s="5" t="s">
        <v>3250</v>
      </c>
      <c r="H137" s="5" t="s">
        <v>765</v>
      </c>
      <c r="I137" s="6" t="s">
        <v>3418</v>
      </c>
      <c r="J137" s="6" t="s">
        <v>3241</v>
      </c>
    </row>
    <row r="138" customFormat="false" ht="23.85" hidden="false" customHeight="false" outlineLevel="0" collapsed="false">
      <c r="A138" s="5" t="s">
        <v>1313</v>
      </c>
      <c r="B138" s="5" t="s">
        <v>2797</v>
      </c>
      <c r="C138" s="5" t="s">
        <v>800</v>
      </c>
      <c r="D138" s="5" t="n">
        <v>1</v>
      </c>
      <c r="E138" s="5" t="s">
        <v>1203</v>
      </c>
      <c r="F138" s="5" t="s">
        <v>1314</v>
      </c>
      <c r="G138" s="5" t="s">
        <v>3294</v>
      </c>
      <c r="H138" s="5" t="s">
        <v>688</v>
      </c>
      <c r="I138" s="6" t="s">
        <v>3419</v>
      </c>
      <c r="J138" s="6" t="s">
        <v>3241</v>
      </c>
    </row>
    <row r="139" customFormat="false" ht="23.85" hidden="false" customHeight="false" outlineLevel="0" collapsed="false">
      <c r="A139" s="5" t="s">
        <v>835</v>
      </c>
      <c r="B139" s="5" t="s">
        <v>2797</v>
      </c>
      <c r="C139" s="5" t="s">
        <v>794</v>
      </c>
      <c r="D139" s="5" t="n">
        <v>1</v>
      </c>
      <c r="E139" s="5" t="s">
        <v>786</v>
      </c>
      <c r="F139" s="5" t="s">
        <v>836</v>
      </c>
      <c r="G139" s="5" t="s">
        <v>3266</v>
      </c>
      <c r="H139" s="5" t="s">
        <v>688</v>
      </c>
      <c r="I139" s="6" t="s">
        <v>3420</v>
      </c>
      <c r="J139" s="6" t="s">
        <v>3241</v>
      </c>
    </row>
    <row r="140" customFormat="false" ht="23.85" hidden="false" customHeight="false" outlineLevel="0" collapsed="false">
      <c r="A140" s="5" t="s">
        <v>686</v>
      </c>
      <c r="B140" s="5" t="s">
        <v>2797</v>
      </c>
      <c r="C140" s="5" t="s">
        <v>538</v>
      </c>
      <c r="D140" s="5" t="n">
        <v>4</v>
      </c>
      <c r="E140" s="5" t="s">
        <v>497</v>
      </c>
      <c r="F140" s="5" t="s">
        <v>687</v>
      </c>
      <c r="G140" s="5" t="s">
        <v>3297</v>
      </c>
      <c r="H140" s="5" t="s">
        <v>688</v>
      </c>
      <c r="I140" s="6" t="s">
        <v>3421</v>
      </c>
      <c r="J140" s="6" t="s">
        <v>3241</v>
      </c>
    </row>
    <row r="141" customFormat="false" ht="23.85" hidden="false" customHeight="false" outlineLevel="0" collapsed="false">
      <c r="A141" s="5" t="s">
        <v>736</v>
      </c>
      <c r="B141" s="5" t="s">
        <v>2868</v>
      </c>
      <c r="C141" s="5" t="s">
        <v>538</v>
      </c>
      <c r="D141" s="5" t="n">
        <v>4</v>
      </c>
      <c r="E141" s="5" t="s">
        <v>497</v>
      </c>
      <c r="F141" s="5" t="s">
        <v>737</v>
      </c>
      <c r="G141" s="5" t="s">
        <v>3250</v>
      </c>
      <c r="H141" s="5" t="s">
        <v>740</v>
      </c>
      <c r="I141" s="6" t="s">
        <v>3422</v>
      </c>
      <c r="J141" s="6" t="s">
        <v>3241</v>
      </c>
    </row>
  </sheetData>
  <autoFilter ref="A1:J1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4"/>
    <col collapsed="false" customWidth="true" hidden="false" outlineLevel="0" max="3" min="3" style="0" width="10"/>
    <col collapsed="false" customWidth="true" hidden="false" outlineLevel="0" max="4" min="4" style="0" width="8"/>
    <col collapsed="false" customWidth="true" hidden="false" outlineLevel="0" max="5" min="5" style="0" width="10"/>
    <col collapsed="false" customWidth="true" hidden="false" outlineLevel="0" max="6" min="6" style="0" width="60"/>
    <col collapsed="false" customWidth="true" hidden="false" outlineLevel="0" max="7" min="7" style="0" width="12"/>
    <col collapsed="false" customWidth="true" hidden="false" outlineLevel="0" max="8" min="8" style="0" width="20"/>
    <col collapsed="false" customWidth="true" hidden="false" outlineLevel="0" max="9" min="9" style="0" width="16"/>
  </cols>
  <sheetData>
    <row r="1" customFormat="false" ht="33.75" hidden="false" customHeight="true" outlineLevel="0" collapsed="false">
      <c r="A1" s="4" t="s">
        <v>3423</v>
      </c>
      <c r="B1" s="4" t="s">
        <v>3424</v>
      </c>
      <c r="C1" s="4" t="s">
        <v>3425</v>
      </c>
      <c r="D1" s="4" t="s">
        <v>2942</v>
      </c>
      <c r="E1" s="4" t="s">
        <v>3426</v>
      </c>
      <c r="F1" s="4" t="s">
        <v>3427</v>
      </c>
      <c r="G1" s="4" t="s">
        <v>3428</v>
      </c>
      <c r="H1" s="4" t="s">
        <v>2938</v>
      </c>
      <c r="I1" s="4" t="s">
        <v>3429</v>
      </c>
    </row>
    <row r="2" customFormat="false" ht="15" hidden="false" customHeight="false" outlineLevel="0" collapsed="false">
      <c r="A2" s="5" t="s">
        <v>2753</v>
      </c>
      <c r="B2" s="5" t="s">
        <v>3430</v>
      </c>
      <c r="C2" s="5" t="n">
        <v>172.2</v>
      </c>
      <c r="D2" s="5" t="n">
        <v>2</v>
      </c>
      <c r="E2" s="5" t="n">
        <v>1</v>
      </c>
      <c r="F2" s="5" t="s">
        <v>90</v>
      </c>
      <c r="G2" s="5"/>
      <c r="H2" s="5" t="s">
        <v>2944</v>
      </c>
      <c r="I2" s="5" t="s">
        <v>3431</v>
      </c>
    </row>
    <row r="3" customFormat="false" ht="15" hidden="false" customHeight="false" outlineLevel="0" collapsed="false">
      <c r="A3" s="5" t="s">
        <v>2875</v>
      </c>
      <c r="B3" s="5" t="s">
        <v>3430</v>
      </c>
      <c r="C3" s="5" t="n">
        <v>172.4</v>
      </c>
      <c r="D3" s="5" t="n">
        <v>2</v>
      </c>
      <c r="E3" s="5" t="n">
        <v>1</v>
      </c>
      <c r="F3" s="5" t="s">
        <v>108</v>
      </c>
      <c r="G3" s="5"/>
      <c r="H3" s="5" t="s">
        <v>2947</v>
      </c>
      <c r="I3" s="5" t="s">
        <v>3431</v>
      </c>
    </row>
    <row r="4" customFormat="false" ht="15" hidden="false" customHeight="false" outlineLevel="0" collapsed="false">
      <c r="A4" s="5" t="s">
        <v>2767</v>
      </c>
      <c r="B4" s="5" t="s">
        <v>3430</v>
      </c>
      <c r="C4" s="5" t="n">
        <v>170.8</v>
      </c>
      <c r="D4" s="5" t="n">
        <v>2</v>
      </c>
      <c r="E4" s="5" t="n">
        <v>1</v>
      </c>
      <c r="F4" s="5" t="s">
        <v>116</v>
      </c>
      <c r="G4" s="5"/>
      <c r="H4" s="5" t="s">
        <v>2949</v>
      </c>
      <c r="I4" s="5" t="s">
        <v>3431</v>
      </c>
    </row>
    <row r="5" customFormat="false" ht="15" hidden="false" customHeight="false" outlineLevel="0" collapsed="false">
      <c r="A5" s="5" t="s">
        <v>2876</v>
      </c>
      <c r="B5" s="5" t="s">
        <v>3430</v>
      </c>
      <c r="C5" s="5" t="n">
        <v>171.9</v>
      </c>
      <c r="D5" s="5" t="n">
        <v>2</v>
      </c>
      <c r="E5" s="5" t="n">
        <v>1</v>
      </c>
      <c r="F5" s="5" t="s">
        <v>124</v>
      </c>
      <c r="G5" s="5"/>
      <c r="H5" s="5" t="s">
        <v>2951</v>
      </c>
      <c r="I5" s="5" t="s">
        <v>3431</v>
      </c>
    </row>
    <row r="6" customFormat="false" ht="15" hidden="false" customHeight="false" outlineLevel="0" collapsed="false">
      <c r="A6" s="5" t="s">
        <v>2877</v>
      </c>
      <c r="B6" s="5" t="s">
        <v>3430</v>
      </c>
      <c r="C6" s="5" t="n">
        <v>176.3</v>
      </c>
      <c r="D6" s="5" t="n">
        <v>2</v>
      </c>
      <c r="E6" s="5" t="n">
        <v>1</v>
      </c>
      <c r="F6" s="5" t="s">
        <v>129</v>
      </c>
      <c r="G6" s="5"/>
      <c r="H6" s="5" t="s">
        <v>2953</v>
      </c>
      <c r="I6" s="5" t="s">
        <v>3431</v>
      </c>
    </row>
    <row r="7" customFormat="false" ht="15" hidden="false" customHeight="false" outlineLevel="0" collapsed="false">
      <c r="A7" s="5" t="s">
        <v>2754</v>
      </c>
      <c r="B7" s="5" t="s">
        <v>3430</v>
      </c>
      <c r="C7" s="5" t="n">
        <v>171.6</v>
      </c>
      <c r="D7" s="5" t="n">
        <v>2</v>
      </c>
      <c r="E7" s="5" t="n">
        <v>1</v>
      </c>
      <c r="F7" s="5" t="s">
        <v>136</v>
      </c>
      <c r="G7" s="5"/>
      <c r="H7" s="5" t="s">
        <v>2955</v>
      </c>
      <c r="I7" s="5" t="s">
        <v>3431</v>
      </c>
    </row>
    <row r="8" customFormat="false" ht="15" hidden="false" customHeight="false" outlineLevel="0" collapsed="false">
      <c r="A8" s="5" t="s">
        <v>2878</v>
      </c>
      <c r="B8" s="5" t="s">
        <v>3430</v>
      </c>
      <c r="C8" s="5" t="n">
        <v>179.4</v>
      </c>
      <c r="D8" s="5" t="n">
        <v>2</v>
      </c>
      <c r="E8" s="5" t="n">
        <v>1</v>
      </c>
      <c r="F8" s="5" t="s">
        <v>141</v>
      </c>
      <c r="G8" s="5"/>
      <c r="H8" s="5" t="s">
        <v>2957</v>
      </c>
      <c r="I8" s="5" t="s">
        <v>3431</v>
      </c>
    </row>
    <row r="9" customFormat="false" ht="15" hidden="false" customHeight="false" outlineLevel="0" collapsed="false">
      <c r="A9" s="5" t="s">
        <v>2879</v>
      </c>
      <c r="B9" s="5" t="s">
        <v>3430</v>
      </c>
      <c r="C9" s="5" t="n">
        <v>171.8</v>
      </c>
      <c r="D9" s="5" t="n">
        <v>2</v>
      </c>
      <c r="E9" s="5" t="n">
        <v>1</v>
      </c>
      <c r="F9" s="5" t="s">
        <v>147</v>
      </c>
      <c r="G9" s="5"/>
      <c r="H9" s="5" t="s">
        <v>2959</v>
      </c>
      <c r="I9" s="5" t="s">
        <v>3431</v>
      </c>
    </row>
    <row r="10" customFormat="false" ht="15" hidden="false" customHeight="false" outlineLevel="0" collapsed="false">
      <c r="A10" s="5" t="s">
        <v>2768</v>
      </c>
      <c r="B10" s="5" t="s">
        <v>3430</v>
      </c>
      <c r="C10" s="5" t="n">
        <v>175.9</v>
      </c>
      <c r="D10" s="5" t="n">
        <v>2</v>
      </c>
      <c r="E10" s="5" t="n">
        <v>1</v>
      </c>
      <c r="F10" s="5" t="s">
        <v>152</v>
      </c>
      <c r="G10" s="5"/>
      <c r="H10" s="5" t="s">
        <v>2961</v>
      </c>
      <c r="I10" s="5" t="s">
        <v>3431</v>
      </c>
    </row>
    <row r="11" customFormat="false" ht="15" hidden="false" customHeight="false" outlineLevel="0" collapsed="false">
      <c r="A11" s="5" t="s">
        <v>2880</v>
      </c>
      <c r="B11" s="5" t="s">
        <v>3430</v>
      </c>
      <c r="C11" s="5" t="n">
        <v>172.3</v>
      </c>
      <c r="D11" s="5" t="n">
        <v>2</v>
      </c>
      <c r="E11" s="5" t="n">
        <v>1</v>
      </c>
      <c r="F11" s="5" t="s">
        <v>159</v>
      </c>
      <c r="G11" s="5"/>
      <c r="H11" s="5" t="s">
        <v>2963</v>
      </c>
      <c r="I11" s="5" t="s">
        <v>3431</v>
      </c>
    </row>
    <row r="12" customFormat="false" ht="15" hidden="false" customHeight="false" outlineLevel="0" collapsed="false">
      <c r="A12" s="5" t="s">
        <v>2769</v>
      </c>
      <c r="B12" s="5" t="s">
        <v>3430</v>
      </c>
      <c r="C12" s="5" t="n">
        <v>172.5</v>
      </c>
      <c r="D12" s="5" t="n">
        <v>2</v>
      </c>
      <c r="E12" s="5" t="n">
        <v>1</v>
      </c>
      <c r="F12" s="5" t="s">
        <v>163</v>
      </c>
      <c r="G12" s="5"/>
      <c r="H12" s="5" t="s">
        <v>2965</v>
      </c>
      <c r="I12" s="5" t="s">
        <v>3431</v>
      </c>
    </row>
    <row r="13" customFormat="false" ht="15" hidden="false" customHeight="false" outlineLevel="0" collapsed="false">
      <c r="A13" s="5" t="s">
        <v>2850</v>
      </c>
      <c r="B13" s="5" t="s">
        <v>3430</v>
      </c>
      <c r="C13" s="5" t="n">
        <v>171</v>
      </c>
      <c r="D13" s="5" t="n">
        <v>2</v>
      </c>
      <c r="E13" s="5" t="n">
        <v>1</v>
      </c>
      <c r="F13" s="5" t="s">
        <v>170</v>
      </c>
      <c r="G13" s="5"/>
      <c r="H13" s="5" t="s">
        <v>2967</v>
      </c>
      <c r="I13" s="5" t="s">
        <v>3431</v>
      </c>
    </row>
    <row r="14" customFormat="false" ht="15" hidden="false" customHeight="false" outlineLevel="0" collapsed="false">
      <c r="A14" s="5" t="s">
        <v>2881</v>
      </c>
      <c r="B14" s="5" t="s">
        <v>3430</v>
      </c>
      <c r="C14" s="5" t="n">
        <v>154</v>
      </c>
      <c r="D14" s="5" t="n">
        <v>2</v>
      </c>
      <c r="E14" s="5" t="n">
        <v>1</v>
      </c>
      <c r="F14" s="5" t="s">
        <v>176</v>
      </c>
      <c r="G14" s="5"/>
      <c r="H14" s="5" t="s">
        <v>2969</v>
      </c>
      <c r="I14" s="5" t="s">
        <v>3431</v>
      </c>
    </row>
    <row r="15" customFormat="false" ht="15" hidden="false" customHeight="false" outlineLevel="0" collapsed="false">
      <c r="A15" s="5" t="s">
        <v>2837</v>
      </c>
      <c r="B15" s="5" t="s">
        <v>3430</v>
      </c>
      <c r="C15" s="5" t="n">
        <v>163.7</v>
      </c>
      <c r="D15" s="5" t="n">
        <v>2</v>
      </c>
      <c r="E15" s="5" t="n">
        <v>1</v>
      </c>
      <c r="F15" s="5" t="s">
        <v>185</v>
      </c>
      <c r="G15" s="5"/>
      <c r="H15" s="5" t="s">
        <v>2971</v>
      </c>
      <c r="I15" s="5" t="s">
        <v>3431</v>
      </c>
    </row>
    <row r="16" customFormat="false" ht="15" hidden="false" customHeight="false" outlineLevel="0" collapsed="false">
      <c r="A16" s="5" t="s">
        <v>2838</v>
      </c>
      <c r="B16" s="5" t="s">
        <v>3430</v>
      </c>
      <c r="C16" s="5" t="n">
        <v>154.5</v>
      </c>
      <c r="D16" s="5" t="n">
        <v>2</v>
      </c>
      <c r="E16" s="5" t="n">
        <v>1</v>
      </c>
      <c r="F16" s="5" t="s">
        <v>192</v>
      </c>
      <c r="G16" s="5"/>
      <c r="H16" s="5" t="s">
        <v>2973</v>
      </c>
      <c r="I16" s="5" t="s">
        <v>3431</v>
      </c>
    </row>
    <row r="17" customFormat="false" ht="15" hidden="false" customHeight="false" outlineLevel="0" collapsed="false">
      <c r="A17" s="5" t="s">
        <v>2839</v>
      </c>
      <c r="B17" s="5" t="s">
        <v>3430</v>
      </c>
      <c r="C17" s="5" t="n">
        <v>165.8</v>
      </c>
      <c r="D17" s="5" t="n">
        <v>2</v>
      </c>
      <c r="E17" s="5" t="n">
        <v>1</v>
      </c>
      <c r="F17" s="5" t="s">
        <v>201</v>
      </c>
      <c r="G17" s="5"/>
      <c r="H17" s="5" t="s">
        <v>2975</v>
      </c>
      <c r="I17" s="5" t="s">
        <v>3431</v>
      </c>
    </row>
    <row r="18" customFormat="false" ht="15" hidden="false" customHeight="false" outlineLevel="0" collapsed="false">
      <c r="A18" s="5" t="s">
        <v>2770</v>
      </c>
      <c r="B18" s="5" t="s">
        <v>3430</v>
      </c>
      <c r="C18" s="5" t="n">
        <v>155.4</v>
      </c>
      <c r="D18" s="5" t="n">
        <v>2</v>
      </c>
      <c r="E18" s="5" t="n">
        <v>1</v>
      </c>
      <c r="F18" s="5" t="s">
        <v>207</v>
      </c>
      <c r="G18" s="5"/>
      <c r="H18" s="5" t="s">
        <v>2977</v>
      </c>
      <c r="I18" s="5" t="s">
        <v>3431</v>
      </c>
    </row>
    <row r="19" customFormat="false" ht="15" hidden="false" customHeight="false" outlineLevel="0" collapsed="false">
      <c r="A19" s="5" t="s">
        <v>2840</v>
      </c>
      <c r="B19" s="5" t="s">
        <v>3430</v>
      </c>
      <c r="C19" s="5" t="n">
        <v>165.7</v>
      </c>
      <c r="D19" s="5" t="n">
        <v>2</v>
      </c>
      <c r="E19" s="5" t="n">
        <v>1</v>
      </c>
      <c r="F19" s="5" t="s">
        <v>215</v>
      </c>
      <c r="G19" s="5"/>
      <c r="H19" s="5" t="s">
        <v>2979</v>
      </c>
      <c r="I19" s="5" t="s">
        <v>3431</v>
      </c>
    </row>
    <row r="20" customFormat="false" ht="15" hidden="false" customHeight="false" outlineLevel="0" collapsed="false">
      <c r="A20" s="5" t="s">
        <v>2841</v>
      </c>
      <c r="B20" s="5" t="s">
        <v>3430</v>
      </c>
      <c r="C20" s="5" t="n">
        <v>153.2</v>
      </c>
      <c r="D20" s="5" t="n">
        <v>2</v>
      </c>
      <c r="E20" s="5" t="n">
        <v>1</v>
      </c>
      <c r="F20" s="5" t="s">
        <v>223</v>
      </c>
      <c r="G20" s="5"/>
      <c r="H20" s="5" t="s">
        <v>2981</v>
      </c>
      <c r="I20" s="5" t="s">
        <v>3431</v>
      </c>
    </row>
    <row r="21" customFormat="false" ht="15" hidden="false" customHeight="false" outlineLevel="0" collapsed="false">
      <c r="A21" s="5" t="s">
        <v>2937</v>
      </c>
      <c r="B21" s="5" t="s">
        <v>3430</v>
      </c>
      <c r="C21" s="5" t="n">
        <v>165.8</v>
      </c>
      <c r="D21" s="5" t="n">
        <v>2</v>
      </c>
      <c r="E21" s="5" t="n">
        <v>1</v>
      </c>
      <c r="F21" s="5" t="s">
        <v>232</v>
      </c>
      <c r="G21" s="5"/>
      <c r="H21" s="5" t="s">
        <v>2983</v>
      </c>
      <c r="I21" s="5" t="s">
        <v>3431</v>
      </c>
    </row>
    <row r="22" customFormat="false" ht="15" hidden="false" customHeight="false" outlineLevel="0" collapsed="false">
      <c r="A22" s="5" t="s">
        <v>2882</v>
      </c>
      <c r="B22" s="5" t="s">
        <v>3430</v>
      </c>
      <c r="C22" s="5" t="n">
        <v>163.8</v>
      </c>
      <c r="D22" s="5" t="n">
        <v>2</v>
      </c>
      <c r="E22" s="5" t="n">
        <v>1</v>
      </c>
      <c r="F22" s="5" t="s">
        <v>238</v>
      </c>
      <c r="G22" s="5"/>
      <c r="H22" s="5" t="s">
        <v>2985</v>
      </c>
      <c r="I22" s="5" t="s">
        <v>3431</v>
      </c>
    </row>
    <row r="23" customFormat="false" ht="15" hidden="false" customHeight="false" outlineLevel="0" collapsed="false">
      <c r="A23" s="5" t="s">
        <v>2883</v>
      </c>
      <c r="B23" s="5" t="s">
        <v>3430</v>
      </c>
      <c r="C23" s="5" t="n">
        <v>178.8</v>
      </c>
      <c r="D23" s="5" t="n">
        <v>2</v>
      </c>
      <c r="E23" s="5" t="n">
        <v>1</v>
      </c>
      <c r="F23" s="5" t="s">
        <v>248</v>
      </c>
      <c r="G23" s="5"/>
      <c r="H23" s="5" t="s">
        <v>2987</v>
      </c>
      <c r="I23" s="5" t="s">
        <v>3431</v>
      </c>
    </row>
    <row r="24" customFormat="false" ht="15" hidden="false" customHeight="false" outlineLevel="0" collapsed="false">
      <c r="A24" s="5" t="s">
        <v>2884</v>
      </c>
      <c r="B24" s="5" t="s">
        <v>3430</v>
      </c>
      <c r="C24" s="5" t="n">
        <v>164.8</v>
      </c>
      <c r="D24" s="5" t="n">
        <v>2</v>
      </c>
      <c r="E24" s="5" t="n">
        <v>1</v>
      </c>
      <c r="F24" s="5" t="s">
        <v>257</v>
      </c>
      <c r="G24" s="5"/>
      <c r="H24" s="5" t="s">
        <v>2989</v>
      </c>
      <c r="I24" s="5" t="s">
        <v>3431</v>
      </c>
    </row>
    <row r="25" customFormat="false" ht="15" hidden="false" customHeight="false" outlineLevel="0" collapsed="false">
      <c r="A25" s="5" t="s">
        <v>2814</v>
      </c>
      <c r="B25" s="5" t="s">
        <v>3430</v>
      </c>
      <c r="C25" s="5" t="n">
        <v>183.1</v>
      </c>
      <c r="D25" s="5" t="n">
        <v>2</v>
      </c>
      <c r="E25" s="5" t="n">
        <v>1</v>
      </c>
      <c r="F25" s="5" t="s">
        <v>263</v>
      </c>
      <c r="G25" s="5"/>
      <c r="H25" s="5" t="s">
        <v>2991</v>
      </c>
      <c r="I25" s="5" t="s">
        <v>3431</v>
      </c>
    </row>
    <row r="26" customFormat="false" ht="15" hidden="false" customHeight="false" outlineLevel="0" collapsed="false">
      <c r="A26" s="5" t="s">
        <v>2885</v>
      </c>
      <c r="B26" s="5" t="s">
        <v>3430</v>
      </c>
      <c r="C26" s="5" t="n">
        <v>163.4</v>
      </c>
      <c r="D26" s="5" t="n">
        <v>2</v>
      </c>
      <c r="E26" s="5" t="n">
        <v>1</v>
      </c>
      <c r="F26" s="5" t="s">
        <v>268</v>
      </c>
      <c r="G26" s="5"/>
      <c r="H26" s="5" t="s">
        <v>2993</v>
      </c>
      <c r="I26" s="5" t="s">
        <v>3431</v>
      </c>
    </row>
    <row r="27" customFormat="false" ht="15" hidden="false" customHeight="false" outlineLevel="0" collapsed="false">
      <c r="A27" s="5" t="s">
        <v>2815</v>
      </c>
      <c r="B27" s="5" t="s">
        <v>3430</v>
      </c>
      <c r="C27" s="5" t="n">
        <v>183.9</v>
      </c>
      <c r="D27" s="5" t="n">
        <v>2</v>
      </c>
      <c r="E27" s="5" t="n">
        <v>1</v>
      </c>
      <c r="F27" s="5" t="s">
        <v>275</v>
      </c>
      <c r="G27" s="5"/>
      <c r="H27" s="5" t="s">
        <v>2995</v>
      </c>
      <c r="I27" s="5" t="s">
        <v>3431</v>
      </c>
    </row>
    <row r="28" customFormat="false" ht="15" hidden="false" customHeight="false" outlineLevel="0" collapsed="false">
      <c r="A28" s="5" t="s">
        <v>2886</v>
      </c>
      <c r="B28" s="5" t="s">
        <v>3430</v>
      </c>
      <c r="C28" s="5" t="n">
        <v>160.6</v>
      </c>
      <c r="D28" s="5" t="n">
        <v>2</v>
      </c>
      <c r="E28" s="5" t="n">
        <v>1</v>
      </c>
      <c r="F28" s="5" t="s">
        <v>280</v>
      </c>
      <c r="G28" s="5"/>
      <c r="H28" s="5" t="s">
        <v>2997</v>
      </c>
      <c r="I28" s="5" t="s">
        <v>3431</v>
      </c>
    </row>
    <row r="29" customFormat="false" ht="15" hidden="false" customHeight="false" outlineLevel="0" collapsed="false">
      <c r="A29" s="5" t="s">
        <v>2887</v>
      </c>
      <c r="B29" s="5" t="s">
        <v>3430</v>
      </c>
      <c r="C29" s="5" t="n">
        <v>181.2</v>
      </c>
      <c r="D29" s="5" t="n">
        <v>2</v>
      </c>
      <c r="E29" s="5" t="n">
        <v>1</v>
      </c>
      <c r="F29" s="5" t="s">
        <v>286</v>
      </c>
      <c r="G29" s="5"/>
      <c r="H29" s="5" t="s">
        <v>2999</v>
      </c>
      <c r="I29" s="5" t="s">
        <v>3431</v>
      </c>
    </row>
    <row r="30" customFormat="false" ht="15" hidden="false" customHeight="false" outlineLevel="0" collapsed="false">
      <c r="A30" s="5" t="s">
        <v>2888</v>
      </c>
      <c r="B30" s="5" t="s">
        <v>3430</v>
      </c>
      <c r="C30" s="5" t="n">
        <v>159.7</v>
      </c>
      <c r="D30" s="5" t="n">
        <v>2</v>
      </c>
      <c r="E30" s="5" t="n">
        <v>1</v>
      </c>
      <c r="F30" s="5" t="s">
        <v>292</v>
      </c>
      <c r="G30" s="5"/>
      <c r="H30" s="5" t="s">
        <v>3001</v>
      </c>
      <c r="I30" s="5" t="s">
        <v>3431</v>
      </c>
    </row>
    <row r="31" customFormat="false" ht="15" hidden="false" customHeight="false" outlineLevel="0" collapsed="false">
      <c r="A31" s="5" t="s">
        <v>2842</v>
      </c>
      <c r="B31" s="5" t="s">
        <v>3430</v>
      </c>
      <c r="C31" s="5" t="n">
        <v>181.3</v>
      </c>
      <c r="D31" s="5" t="n">
        <v>2</v>
      </c>
      <c r="E31" s="5" t="n">
        <v>1</v>
      </c>
      <c r="F31" s="5" t="s">
        <v>299</v>
      </c>
      <c r="G31" s="5"/>
      <c r="H31" s="5" t="s">
        <v>3003</v>
      </c>
      <c r="I31" s="5" t="s">
        <v>3431</v>
      </c>
    </row>
    <row r="32" customFormat="false" ht="15" hidden="false" customHeight="false" outlineLevel="0" collapsed="false">
      <c r="A32" s="5" t="s">
        <v>2889</v>
      </c>
      <c r="B32" s="5" t="s">
        <v>3430</v>
      </c>
      <c r="C32" s="5" t="n">
        <v>162.8</v>
      </c>
      <c r="D32" s="5" t="n">
        <v>2</v>
      </c>
      <c r="E32" s="5" t="n">
        <v>1</v>
      </c>
      <c r="F32" s="5" t="s">
        <v>304</v>
      </c>
      <c r="G32" s="5"/>
      <c r="H32" s="5" t="s">
        <v>3005</v>
      </c>
      <c r="I32" s="5" t="s">
        <v>3431</v>
      </c>
    </row>
    <row r="33" customFormat="false" ht="15" hidden="false" customHeight="false" outlineLevel="0" collapsed="false">
      <c r="A33" s="5" t="s">
        <v>2890</v>
      </c>
      <c r="B33" s="5" t="s">
        <v>3430</v>
      </c>
      <c r="C33" s="5" t="n">
        <v>181.5</v>
      </c>
      <c r="D33" s="5" t="n">
        <v>2</v>
      </c>
      <c r="E33" s="5" t="n">
        <v>1</v>
      </c>
      <c r="F33" s="5" t="s">
        <v>311</v>
      </c>
      <c r="G33" s="5"/>
      <c r="H33" s="5" t="s">
        <v>3007</v>
      </c>
      <c r="I33" s="5" t="s">
        <v>3431</v>
      </c>
    </row>
    <row r="34" customFormat="false" ht="15" hidden="false" customHeight="false" outlineLevel="0" collapsed="false">
      <c r="A34" s="5" t="s">
        <v>2891</v>
      </c>
      <c r="B34" s="5" t="s">
        <v>3430</v>
      </c>
      <c r="C34" s="5" t="n">
        <v>162.6</v>
      </c>
      <c r="D34" s="5" t="n">
        <v>2</v>
      </c>
      <c r="E34" s="5" t="n">
        <v>1</v>
      </c>
      <c r="F34" s="5" t="s">
        <v>316</v>
      </c>
      <c r="G34" s="5"/>
      <c r="H34" s="5" t="s">
        <v>3009</v>
      </c>
      <c r="I34" s="5" t="s">
        <v>3431</v>
      </c>
    </row>
    <row r="35" customFormat="false" ht="15" hidden="false" customHeight="false" outlineLevel="0" collapsed="false">
      <c r="A35" s="5" t="s">
        <v>2892</v>
      </c>
      <c r="B35" s="5" t="s">
        <v>3430</v>
      </c>
      <c r="C35" s="5" t="n">
        <v>182.9</v>
      </c>
      <c r="D35" s="5" t="n">
        <v>2</v>
      </c>
      <c r="E35" s="5" t="n">
        <v>1</v>
      </c>
      <c r="F35" s="5" t="s">
        <v>323</v>
      </c>
      <c r="G35" s="5"/>
      <c r="H35" s="5" t="s">
        <v>3011</v>
      </c>
      <c r="I35" s="5" t="s">
        <v>3431</v>
      </c>
    </row>
    <row r="36" customFormat="false" ht="15" hidden="false" customHeight="false" outlineLevel="0" collapsed="false">
      <c r="A36" s="5" t="s">
        <v>2893</v>
      </c>
      <c r="B36" s="5" t="s">
        <v>3430</v>
      </c>
      <c r="C36" s="5" t="n">
        <v>160.8</v>
      </c>
      <c r="D36" s="5" t="n">
        <v>2</v>
      </c>
      <c r="E36" s="5" t="n">
        <v>1</v>
      </c>
      <c r="F36" s="5" t="s">
        <v>327</v>
      </c>
      <c r="G36" s="5"/>
      <c r="H36" s="5" t="s">
        <v>3013</v>
      </c>
      <c r="I36" s="5" t="s">
        <v>3431</v>
      </c>
    </row>
    <row r="37" customFormat="false" ht="15" hidden="false" customHeight="false" outlineLevel="0" collapsed="false">
      <c r="A37" s="5" t="s">
        <v>2816</v>
      </c>
      <c r="B37" s="5" t="s">
        <v>3430</v>
      </c>
      <c r="C37" s="5" t="n">
        <v>182.1</v>
      </c>
      <c r="D37" s="5" t="n">
        <v>2</v>
      </c>
      <c r="E37" s="5" t="n">
        <v>1</v>
      </c>
      <c r="F37" s="5" t="s">
        <v>333</v>
      </c>
      <c r="G37" s="5"/>
      <c r="H37" s="5" t="s">
        <v>3015</v>
      </c>
      <c r="I37" s="5" t="s">
        <v>3431</v>
      </c>
    </row>
    <row r="38" customFormat="false" ht="15" hidden="false" customHeight="false" outlineLevel="0" collapsed="false">
      <c r="A38" s="5" t="s">
        <v>2894</v>
      </c>
      <c r="B38" s="5" t="s">
        <v>3430</v>
      </c>
      <c r="C38" s="5" t="n">
        <v>164</v>
      </c>
      <c r="D38" s="5" t="n">
        <v>2</v>
      </c>
      <c r="E38" s="5" t="n">
        <v>1</v>
      </c>
      <c r="F38" s="5" t="s">
        <v>338</v>
      </c>
      <c r="G38" s="5"/>
      <c r="H38" s="5" t="s">
        <v>3017</v>
      </c>
      <c r="I38" s="5" t="s">
        <v>3431</v>
      </c>
    </row>
    <row r="39" customFormat="false" ht="15" hidden="false" customHeight="false" outlineLevel="0" collapsed="false">
      <c r="A39" s="5" t="s">
        <v>2817</v>
      </c>
      <c r="B39" s="5" t="s">
        <v>3430</v>
      </c>
      <c r="C39" s="5" t="n">
        <v>180.6</v>
      </c>
      <c r="D39" s="5" t="n">
        <v>2</v>
      </c>
      <c r="E39" s="5" t="n">
        <v>1</v>
      </c>
      <c r="F39" s="5" t="s">
        <v>345</v>
      </c>
      <c r="G39" s="5"/>
      <c r="H39" s="5" t="s">
        <v>3019</v>
      </c>
      <c r="I39" s="5" t="s">
        <v>3431</v>
      </c>
    </row>
    <row r="40" customFormat="false" ht="15" hidden="false" customHeight="false" outlineLevel="0" collapsed="false">
      <c r="A40" s="5" t="s">
        <v>2895</v>
      </c>
      <c r="B40" s="5" t="s">
        <v>3430</v>
      </c>
      <c r="C40" s="5" t="n">
        <v>161.8</v>
      </c>
      <c r="D40" s="5" t="n">
        <v>2</v>
      </c>
      <c r="E40" s="5" t="n">
        <v>1</v>
      </c>
      <c r="F40" s="5" t="s">
        <v>350</v>
      </c>
      <c r="G40" s="5"/>
      <c r="H40" s="5" t="s">
        <v>3021</v>
      </c>
      <c r="I40" s="5" t="s">
        <v>3431</v>
      </c>
    </row>
    <row r="41" customFormat="false" ht="15" hidden="false" customHeight="false" outlineLevel="0" collapsed="false">
      <c r="A41" s="5" t="s">
        <v>2896</v>
      </c>
      <c r="B41" s="5" t="s">
        <v>3430</v>
      </c>
      <c r="C41" s="5" t="n">
        <v>181.4</v>
      </c>
      <c r="D41" s="5" t="n">
        <v>2</v>
      </c>
      <c r="E41" s="5" t="n">
        <v>1</v>
      </c>
      <c r="F41" s="5" t="s">
        <v>356</v>
      </c>
      <c r="G41" s="5"/>
      <c r="H41" s="5" t="s">
        <v>3023</v>
      </c>
      <c r="I41" s="5" t="s">
        <v>3431</v>
      </c>
    </row>
    <row r="42" customFormat="false" ht="15" hidden="false" customHeight="false" outlineLevel="0" collapsed="false">
      <c r="A42" s="5" t="s">
        <v>2897</v>
      </c>
      <c r="B42" s="5" t="s">
        <v>3430</v>
      </c>
      <c r="C42" s="5" t="n">
        <v>165.6</v>
      </c>
      <c r="D42" s="5" t="n">
        <v>2</v>
      </c>
      <c r="E42" s="5" t="n">
        <v>1</v>
      </c>
      <c r="F42" s="5" t="s">
        <v>362</v>
      </c>
      <c r="G42" s="5"/>
      <c r="H42" s="5" t="s">
        <v>3025</v>
      </c>
      <c r="I42" s="5" t="s">
        <v>3431</v>
      </c>
    </row>
    <row r="43" customFormat="false" ht="15" hidden="false" customHeight="false" outlineLevel="0" collapsed="false">
      <c r="A43" s="5" t="s">
        <v>2818</v>
      </c>
      <c r="B43" s="5" t="s">
        <v>3430</v>
      </c>
      <c r="C43" s="5" t="n">
        <v>177.2</v>
      </c>
      <c r="D43" s="5" t="n">
        <v>2</v>
      </c>
      <c r="E43" s="5" t="n">
        <v>1</v>
      </c>
      <c r="F43" s="5" t="s">
        <v>369</v>
      </c>
      <c r="G43" s="5"/>
      <c r="H43" s="5" t="s">
        <v>3027</v>
      </c>
      <c r="I43" s="5" t="s">
        <v>3431</v>
      </c>
    </row>
    <row r="44" customFormat="false" ht="15" hidden="false" customHeight="false" outlineLevel="0" collapsed="false">
      <c r="A44" s="5" t="s">
        <v>2898</v>
      </c>
      <c r="B44" s="5" t="s">
        <v>3430</v>
      </c>
      <c r="C44" s="5" t="n">
        <v>162.1</v>
      </c>
      <c r="D44" s="5" t="n">
        <v>2</v>
      </c>
      <c r="E44" s="5" t="n">
        <v>1</v>
      </c>
      <c r="F44" s="5" t="s">
        <v>374</v>
      </c>
      <c r="G44" s="5"/>
      <c r="H44" s="5" t="s">
        <v>3029</v>
      </c>
      <c r="I44" s="5" t="s">
        <v>3431</v>
      </c>
    </row>
    <row r="45" customFormat="false" ht="15" hidden="false" customHeight="false" outlineLevel="0" collapsed="false">
      <c r="A45" s="5" t="s">
        <v>2899</v>
      </c>
      <c r="B45" s="5" t="s">
        <v>3430</v>
      </c>
      <c r="C45" s="5" t="n">
        <v>183.2</v>
      </c>
      <c r="D45" s="5" t="n">
        <v>2</v>
      </c>
      <c r="E45" s="5" t="n">
        <v>1</v>
      </c>
      <c r="F45" s="5" t="s">
        <v>380</v>
      </c>
      <c r="G45" s="5"/>
      <c r="H45" s="5" t="s">
        <v>3031</v>
      </c>
      <c r="I45" s="5" t="s">
        <v>3431</v>
      </c>
    </row>
    <row r="46" customFormat="false" ht="15" hidden="false" customHeight="false" outlineLevel="0" collapsed="false">
      <c r="A46" s="5" t="s">
        <v>2900</v>
      </c>
      <c r="B46" s="5" t="s">
        <v>3430</v>
      </c>
      <c r="C46" s="5" t="n">
        <v>166.4</v>
      </c>
      <c r="D46" s="5" t="n">
        <v>2</v>
      </c>
      <c r="E46" s="5" t="n">
        <v>1</v>
      </c>
      <c r="F46" s="5" t="s">
        <v>386</v>
      </c>
      <c r="G46" s="5"/>
      <c r="H46" s="5" t="s">
        <v>3033</v>
      </c>
      <c r="I46" s="5" t="s">
        <v>3431</v>
      </c>
    </row>
    <row r="47" customFormat="false" ht="15" hidden="false" customHeight="false" outlineLevel="0" collapsed="false">
      <c r="A47" s="5" t="s">
        <v>2901</v>
      </c>
      <c r="B47" s="5" t="s">
        <v>3430</v>
      </c>
      <c r="C47" s="5" t="n">
        <v>176.2</v>
      </c>
      <c r="D47" s="5" t="n">
        <v>2</v>
      </c>
      <c r="E47" s="5" t="n">
        <v>1</v>
      </c>
      <c r="F47" s="5" t="s">
        <v>392</v>
      </c>
      <c r="G47" s="5"/>
      <c r="H47" s="5" t="s">
        <v>3035</v>
      </c>
      <c r="I47" s="5" t="s">
        <v>3431</v>
      </c>
    </row>
    <row r="48" customFormat="false" ht="15" hidden="false" customHeight="false" outlineLevel="0" collapsed="false">
      <c r="A48" s="5" t="s">
        <v>2902</v>
      </c>
      <c r="B48" s="5" t="s">
        <v>3430</v>
      </c>
      <c r="C48" s="5" t="n">
        <v>161</v>
      </c>
      <c r="D48" s="5" t="n">
        <v>2</v>
      </c>
      <c r="E48" s="5" t="n">
        <v>1</v>
      </c>
      <c r="F48" s="5" t="s">
        <v>397</v>
      </c>
      <c r="G48" s="5"/>
      <c r="H48" s="5" t="s">
        <v>3037</v>
      </c>
      <c r="I48" s="5" t="s">
        <v>3431</v>
      </c>
    </row>
    <row r="49" customFormat="false" ht="15" hidden="false" customHeight="false" outlineLevel="0" collapsed="false">
      <c r="A49" s="5" t="s">
        <v>2819</v>
      </c>
      <c r="B49" s="5" t="s">
        <v>3430</v>
      </c>
      <c r="C49" s="5" t="n">
        <v>180</v>
      </c>
      <c r="D49" s="5" t="n">
        <v>2</v>
      </c>
      <c r="E49" s="5" t="n">
        <v>1</v>
      </c>
      <c r="F49" s="5" t="s">
        <v>404</v>
      </c>
      <c r="G49" s="5"/>
      <c r="H49" s="5" t="s">
        <v>3039</v>
      </c>
      <c r="I49" s="5" t="s">
        <v>3431</v>
      </c>
    </row>
    <row r="50" customFormat="false" ht="15" hidden="false" customHeight="false" outlineLevel="0" collapsed="false">
      <c r="A50" s="5" t="s">
        <v>2843</v>
      </c>
      <c r="B50" s="5" t="s">
        <v>3430</v>
      </c>
      <c r="C50" s="5" t="n">
        <v>166.2</v>
      </c>
      <c r="D50" s="5" t="n">
        <v>2</v>
      </c>
      <c r="E50" s="5" t="n">
        <v>1</v>
      </c>
      <c r="F50" s="5" t="s">
        <v>409</v>
      </c>
      <c r="G50" s="5"/>
      <c r="H50" s="5" t="s">
        <v>3041</v>
      </c>
      <c r="I50" s="5" t="s">
        <v>3431</v>
      </c>
    </row>
    <row r="51" customFormat="false" ht="15" hidden="false" customHeight="false" outlineLevel="0" collapsed="false">
      <c r="A51" s="5" t="s">
        <v>2844</v>
      </c>
      <c r="B51" s="5" t="s">
        <v>3430</v>
      </c>
      <c r="C51" s="5" t="n">
        <v>182.8</v>
      </c>
      <c r="D51" s="5" t="n">
        <v>2</v>
      </c>
      <c r="E51" s="5" t="n">
        <v>1</v>
      </c>
      <c r="F51" s="5" t="s">
        <v>415</v>
      </c>
      <c r="G51" s="5"/>
      <c r="H51" s="5" t="s">
        <v>3043</v>
      </c>
      <c r="I51" s="5" t="s">
        <v>3431</v>
      </c>
    </row>
    <row r="52" customFormat="false" ht="15" hidden="false" customHeight="false" outlineLevel="0" collapsed="false">
      <c r="A52" s="5" t="s">
        <v>2903</v>
      </c>
      <c r="B52" s="5" t="s">
        <v>3430</v>
      </c>
      <c r="C52" s="5" t="n">
        <v>162.4</v>
      </c>
      <c r="D52" s="5" t="n">
        <v>2</v>
      </c>
      <c r="E52" s="5" t="n">
        <v>1</v>
      </c>
      <c r="F52" s="5" t="s">
        <v>419</v>
      </c>
      <c r="G52" s="5"/>
      <c r="H52" s="5" t="s">
        <v>3045</v>
      </c>
      <c r="I52" s="5" t="s">
        <v>3431</v>
      </c>
    </row>
    <row r="53" customFormat="false" ht="15" hidden="false" customHeight="false" outlineLevel="0" collapsed="false">
      <c r="A53" s="5" t="s">
        <v>2904</v>
      </c>
      <c r="B53" s="5" t="s">
        <v>3430</v>
      </c>
      <c r="C53" s="5" t="n">
        <v>180.3</v>
      </c>
      <c r="D53" s="5" t="n">
        <v>2</v>
      </c>
      <c r="E53" s="5" t="n">
        <v>1</v>
      </c>
      <c r="F53" s="5" t="s">
        <v>425</v>
      </c>
      <c r="G53" s="5"/>
      <c r="H53" s="5" t="s">
        <v>3047</v>
      </c>
      <c r="I53" s="5" t="s">
        <v>3431</v>
      </c>
    </row>
    <row r="54" customFormat="false" ht="15" hidden="false" customHeight="false" outlineLevel="0" collapsed="false">
      <c r="A54" s="5" t="s">
        <v>2845</v>
      </c>
      <c r="B54" s="5" t="s">
        <v>3430</v>
      </c>
      <c r="C54" s="5" t="n">
        <v>162.9</v>
      </c>
      <c r="D54" s="5" t="n">
        <v>2</v>
      </c>
      <c r="E54" s="5" t="n">
        <v>1</v>
      </c>
      <c r="F54" s="5" t="s">
        <v>431</v>
      </c>
      <c r="G54" s="5"/>
      <c r="H54" s="5" t="s">
        <v>3049</v>
      </c>
      <c r="I54" s="5" t="s">
        <v>3431</v>
      </c>
    </row>
    <row r="55" customFormat="false" ht="15" hidden="false" customHeight="false" outlineLevel="0" collapsed="false">
      <c r="A55" s="5" t="s">
        <v>2851</v>
      </c>
      <c r="B55" s="5" t="s">
        <v>3430</v>
      </c>
      <c r="C55" s="5" t="n">
        <v>180.7</v>
      </c>
      <c r="D55" s="5" t="n">
        <v>2</v>
      </c>
      <c r="E55" s="5" t="n">
        <v>1</v>
      </c>
      <c r="F55" s="5" t="s">
        <v>438</v>
      </c>
      <c r="G55" s="5"/>
      <c r="H55" s="5" t="s">
        <v>3051</v>
      </c>
      <c r="I55" s="5" t="s">
        <v>3431</v>
      </c>
    </row>
    <row r="56" customFormat="false" ht="15" hidden="false" customHeight="false" outlineLevel="0" collapsed="false">
      <c r="A56" s="5" t="s">
        <v>2846</v>
      </c>
      <c r="B56" s="5" t="s">
        <v>3430</v>
      </c>
      <c r="C56" s="5" t="n">
        <v>161.3</v>
      </c>
      <c r="D56" s="5" t="n">
        <v>2</v>
      </c>
      <c r="E56" s="5" t="n">
        <v>1</v>
      </c>
      <c r="F56" s="5" t="s">
        <v>443</v>
      </c>
      <c r="G56" s="5"/>
      <c r="H56" s="5" t="s">
        <v>3053</v>
      </c>
      <c r="I56" s="5" t="s">
        <v>3431</v>
      </c>
    </row>
    <row r="57" customFormat="false" ht="15" hidden="false" customHeight="false" outlineLevel="0" collapsed="false">
      <c r="A57" s="5" t="s">
        <v>2905</v>
      </c>
      <c r="B57" s="5" t="s">
        <v>3430</v>
      </c>
      <c r="C57" s="5" t="n">
        <v>180.8</v>
      </c>
      <c r="D57" s="5" t="n">
        <v>2</v>
      </c>
      <c r="E57" s="5" t="n">
        <v>1</v>
      </c>
      <c r="F57" s="5" t="s">
        <v>449</v>
      </c>
      <c r="G57" s="5"/>
      <c r="H57" s="5" t="s">
        <v>3055</v>
      </c>
      <c r="I57" s="5" t="s">
        <v>3431</v>
      </c>
    </row>
    <row r="58" customFormat="false" ht="15" hidden="false" customHeight="false" outlineLevel="0" collapsed="false">
      <c r="A58" s="5" t="s">
        <v>2906</v>
      </c>
      <c r="B58" s="5" t="s">
        <v>3430</v>
      </c>
      <c r="C58" s="5" t="n">
        <v>159.9</v>
      </c>
      <c r="D58" s="5" t="n">
        <v>2</v>
      </c>
      <c r="E58" s="5" t="n">
        <v>1</v>
      </c>
      <c r="F58" s="5" t="s">
        <v>453</v>
      </c>
      <c r="G58" s="5"/>
      <c r="H58" s="5" t="s">
        <v>3057</v>
      </c>
      <c r="I58" s="5" t="s">
        <v>3431</v>
      </c>
    </row>
    <row r="59" customFormat="false" ht="15" hidden="false" customHeight="false" outlineLevel="0" collapsed="false">
      <c r="A59" s="5" t="s">
        <v>2907</v>
      </c>
      <c r="B59" s="5" t="s">
        <v>3430</v>
      </c>
      <c r="C59" s="5" t="n">
        <v>182.6</v>
      </c>
      <c r="D59" s="5" t="n">
        <v>2</v>
      </c>
      <c r="E59" s="5" t="n">
        <v>1</v>
      </c>
      <c r="F59" s="5" t="s">
        <v>459</v>
      </c>
      <c r="G59" s="5"/>
      <c r="H59" s="5" t="s">
        <v>3059</v>
      </c>
      <c r="I59" s="5" t="s">
        <v>3431</v>
      </c>
    </row>
    <row r="60" customFormat="false" ht="15" hidden="false" customHeight="false" outlineLevel="0" collapsed="false">
      <c r="A60" s="5" t="s">
        <v>2908</v>
      </c>
      <c r="B60" s="5" t="s">
        <v>3430</v>
      </c>
      <c r="C60" s="5" t="n">
        <v>159.7</v>
      </c>
      <c r="D60" s="5" t="n">
        <v>2</v>
      </c>
      <c r="E60" s="5" t="n">
        <v>1</v>
      </c>
      <c r="F60" s="5" t="s">
        <v>463</v>
      </c>
      <c r="G60" s="5"/>
      <c r="H60" s="5" t="s">
        <v>3061</v>
      </c>
      <c r="I60" s="5" t="s">
        <v>3431</v>
      </c>
    </row>
    <row r="61" customFormat="false" ht="15" hidden="false" customHeight="false" outlineLevel="0" collapsed="false">
      <c r="A61" s="5" t="s">
        <v>2820</v>
      </c>
      <c r="B61" s="5" t="s">
        <v>3430</v>
      </c>
      <c r="C61" s="5" t="n">
        <v>182.1</v>
      </c>
      <c r="D61" s="5" t="n">
        <v>2</v>
      </c>
      <c r="E61" s="5" t="n">
        <v>1</v>
      </c>
      <c r="F61" s="5" t="s">
        <v>468</v>
      </c>
      <c r="G61" s="5"/>
      <c r="H61" s="5" t="s">
        <v>3063</v>
      </c>
      <c r="I61" s="5" t="s">
        <v>3431</v>
      </c>
    </row>
    <row r="62" customFormat="false" ht="15" hidden="false" customHeight="false" outlineLevel="0" collapsed="false">
      <c r="A62" s="5" t="s">
        <v>2909</v>
      </c>
      <c r="B62" s="5" t="s">
        <v>3430</v>
      </c>
      <c r="C62" s="5" t="n">
        <v>163.6</v>
      </c>
      <c r="D62" s="5" t="n">
        <v>2</v>
      </c>
      <c r="E62" s="5" t="n">
        <v>1</v>
      </c>
      <c r="F62" s="5" t="s">
        <v>473</v>
      </c>
      <c r="G62" s="5"/>
      <c r="H62" s="5" t="s">
        <v>3065</v>
      </c>
      <c r="I62" s="5" t="s">
        <v>3431</v>
      </c>
    </row>
    <row r="63" customFormat="false" ht="15" hidden="false" customHeight="false" outlineLevel="0" collapsed="false">
      <c r="A63" s="5" t="s">
        <v>2821</v>
      </c>
      <c r="B63" s="5" t="s">
        <v>3430</v>
      </c>
      <c r="C63" s="5" t="n">
        <v>181.5</v>
      </c>
      <c r="D63" s="5" t="n">
        <v>2</v>
      </c>
      <c r="E63" s="5" t="n">
        <v>1</v>
      </c>
      <c r="F63" s="5" t="s">
        <v>479</v>
      </c>
      <c r="G63" s="5"/>
      <c r="H63" s="5" t="s">
        <v>3067</v>
      </c>
      <c r="I63" s="5" t="s">
        <v>3431</v>
      </c>
    </row>
    <row r="64" customFormat="false" ht="15" hidden="false" customHeight="false" outlineLevel="0" collapsed="false">
      <c r="A64" s="5" t="s">
        <v>2929</v>
      </c>
      <c r="B64" s="5" t="s">
        <v>3430</v>
      </c>
      <c r="C64" s="5" t="n">
        <v>583.8</v>
      </c>
      <c r="D64" s="5" t="n">
        <v>1</v>
      </c>
      <c r="E64" s="5" t="n">
        <v>1</v>
      </c>
      <c r="F64" s="5" t="s">
        <v>1498</v>
      </c>
      <c r="G64" s="5"/>
      <c r="H64" s="5" t="s">
        <v>3069</v>
      </c>
      <c r="I64" s="5" t="s">
        <v>3431</v>
      </c>
    </row>
    <row r="65" customFormat="false" ht="15" hidden="false" customHeight="false" outlineLevel="0" collapsed="false">
      <c r="A65" s="5" t="s">
        <v>2864</v>
      </c>
      <c r="B65" s="5" t="s">
        <v>3430</v>
      </c>
      <c r="C65" s="5" t="n">
        <v>420.2</v>
      </c>
      <c r="D65" s="5" t="n">
        <v>1</v>
      </c>
      <c r="E65" s="5" t="n">
        <v>1</v>
      </c>
      <c r="F65" s="5" t="s">
        <v>1505</v>
      </c>
      <c r="G65" s="5"/>
      <c r="H65" s="5" t="s">
        <v>3071</v>
      </c>
      <c r="I65" s="5" t="s">
        <v>3431</v>
      </c>
    </row>
    <row r="66" customFormat="false" ht="15" hidden="false" customHeight="false" outlineLevel="0" collapsed="false">
      <c r="A66" s="5" t="s">
        <v>2835</v>
      </c>
      <c r="B66" s="5" t="s">
        <v>3430</v>
      </c>
      <c r="C66" s="5" t="n">
        <v>420.2</v>
      </c>
      <c r="D66" s="5" t="n">
        <v>1</v>
      </c>
      <c r="E66" s="5" t="n">
        <v>1</v>
      </c>
      <c r="F66" s="5" t="s">
        <v>1510</v>
      </c>
      <c r="G66" s="5"/>
      <c r="H66" s="5" t="s">
        <v>3073</v>
      </c>
      <c r="I66" s="5" t="s">
        <v>3431</v>
      </c>
    </row>
    <row r="67" customFormat="false" ht="15" hidden="false" customHeight="false" outlineLevel="0" collapsed="false">
      <c r="A67" s="5" t="s">
        <v>2934</v>
      </c>
      <c r="B67" s="5" t="s">
        <v>3430</v>
      </c>
      <c r="C67" s="5" t="n">
        <v>420.2</v>
      </c>
      <c r="D67" s="5" t="n">
        <v>1</v>
      </c>
      <c r="E67" s="5" t="n">
        <v>1</v>
      </c>
      <c r="F67" s="5" t="s">
        <v>1516</v>
      </c>
      <c r="G67" s="5"/>
      <c r="H67" s="5" t="s">
        <v>3075</v>
      </c>
      <c r="I67" s="5" t="s">
        <v>3431</v>
      </c>
    </row>
    <row r="68" customFormat="false" ht="15" hidden="false" customHeight="false" outlineLevel="0" collapsed="false">
      <c r="A68" s="5" t="s">
        <v>2862</v>
      </c>
      <c r="B68" s="5" t="s">
        <v>3430</v>
      </c>
      <c r="C68" s="5" t="n">
        <v>228.9</v>
      </c>
      <c r="D68" s="5" t="n">
        <v>1</v>
      </c>
      <c r="E68" s="5" t="n">
        <v>1</v>
      </c>
      <c r="F68" s="5" t="s">
        <v>1528</v>
      </c>
      <c r="G68" s="5"/>
      <c r="H68" s="5" t="s">
        <v>3077</v>
      </c>
      <c r="I68" s="5" t="s">
        <v>3431</v>
      </c>
    </row>
    <row r="69" customFormat="false" ht="15" hidden="false" customHeight="false" outlineLevel="0" collapsed="false">
      <c r="A69" s="5" t="s">
        <v>2829</v>
      </c>
      <c r="B69" s="5" t="s">
        <v>3430</v>
      </c>
      <c r="C69" s="5" t="n">
        <v>1534.2</v>
      </c>
      <c r="D69" s="5" t="n">
        <v>6</v>
      </c>
      <c r="E69" s="5" t="n">
        <v>3</v>
      </c>
      <c r="F69" s="5" t="s">
        <v>3432</v>
      </c>
      <c r="G69" s="5"/>
      <c r="H69" s="5" t="s">
        <v>3079</v>
      </c>
      <c r="I69" s="5" t="s">
        <v>3431</v>
      </c>
    </row>
    <row r="70" customFormat="false" ht="15" hidden="false" customHeight="false" outlineLevel="0" collapsed="false">
      <c r="A70" s="5" t="s">
        <v>2869</v>
      </c>
      <c r="B70" s="5" t="s">
        <v>3430</v>
      </c>
      <c r="C70" s="5" t="n">
        <v>1448.7</v>
      </c>
      <c r="D70" s="5" t="n">
        <v>6</v>
      </c>
      <c r="E70" s="5" t="n">
        <v>3</v>
      </c>
      <c r="F70" s="5" t="s">
        <v>3433</v>
      </c>
      <c r="G70" s="5"/>
      <c r="H70" s="5" t="s">
        <v>3081</v>
      </c>
      <c r="I70" s="5" t="s">
        <v>3431</v>
      </c>
    </row>
    <row r="71" customFormat="false" ht="15" hidden="false" customHeight="false" outlineLevel="0" collapsed="false">
      <c r="A71" s="5" t="s">
        <v>2853</v>
      </c>
      <c r="B71" s="5" t="s">
        <v>3430</v>
      </c>
      <c r="C71" s="5" t="n">
        <v>379.7</v>
      </c>
      <c r="D71" s="5" t="n">
        <v>2</v>
      </c>
      <c r="E71" s="5" t="n">
        <v>1</v>
      </c>
      <c r="F71" s="5" t="s">
        <v>1003</v>
      </c>
      <c r="G71" s="5"/>
      <c r="H71" s="5" t="s">
        <v>3434</v>
      </c>
      <c r="I71" s="5" t="s">
        <v>3431</v>
      </c>
    </row>
    <row r="72" customFormat="false" ht="15" hidden="false" customHeight="false" outlineLevel="0" collapsed="false">
      <c r="A72" s="5" t="s">
        <v>2791</v>
      </c>
      <c r="B72" s="5" t="s">
        <v>3430</v>
      </c>
      <c r="C72" s="5" t="n">
        <v>3632</v>
      </c>
      <c r="D72" s="5" t="n">
        <v>12</v>
      </c>
      <c r="E72" s="5" t="n">
        <v>6</v>
      </c>
      <c r="F72" s="5" t="s">
        <v>3435</v>
      </c>
      <c r="G72" s="5"/>
      <c r="H72" s="5" t="s">
        <v>3083</v>
      </c>
      <c r="I72" s="5" t="s">
        <v>3431</v>
      </c>
    </row>
    <row r="73" customFormat="false" ht="15" hidden="false" customHeight="false" outlineLevel="0" collapsed="false">
      <c r="A73" s="5" t="s">
        <v>2742</v>
      </c>
      <c r="B73" s="5" t="s">
        <v>3430</v>
      </c>
      <c r="C73" s="5" t="n">
        <v>1372.5</v>
      </c>
      <c r="D73" s="5" t="n">
        <v>6</v>
      </c>
      <c r="E73" s="5" t="n">
        <v>3</v>
      </c>
      <c r="F73" s="5" t="s">
        <v>3436</v>
      </c>
      <c r="G73" s="5"/>
      <c r="H73" s="5" t="s">
        <v>3085</v>
      </c>
      <c r="I73" s="5" t="s">
        <v>3431</v>
      </c>
    </row>
    <row r="74" customFormat="false" ht="15" hidden="false" customHeight="false" outlineLevel="0" collapsed="false">
      <c r="A74" s="5" t="s">
        <v>2833</v>
      </c>
      <c r="B74" s="5" t="s">
        <v>3430</v>
      </c>
      <c r="C74" s="5" t="n">
        <v>1511.9</v>
      </c>
      <c r="D74" s="5" t="n">
        <v>6</v>
      </c>
      <c r="E74" s="5" t="n">
        <v>3</v>
      </c>
      <c r="F74" s="5" t="s">
        <v>3437</v>
      </c>
      <c r="G74" s="5"/>
      <c r="H74" s="5" t="s">
        <v>3087</v>
      </c>
      <c r="I74" s="5" t="s">
        <v>3431</v>
      </c>
    </row>
    <row r="75" customFormat="false" ht="15" hidden="false" customHeight="false" outlineLevel="0" collapsed="false">
      <c r="A75" s="5" t="s">
        <v>3438</v>
      </c>
      <c r="B75" s="5" t="s">
        <v>3430</v>
      </c>
      <c r="C75" s="5" t="n">
        <v>378.9</v>
      </c>
      <c r="D75" s="5" t="n">
        <v>2</v>
      </c>
      <c r="E75" s="5" t="n">
        <v>1</v>
      </c>
      <c r="F75" s="5" t="s">
        <v>1003</v>
      </c>
      <c r="G75" s="5"/>
      <c r="H75" s="5" t="s">
        <v>3439</v>
      </c>
      <c r="I75" s="5" t="s">
        <v>3431</v>
      </c>
    </row>
    <row r="76" customFormat="false" ht="15" hidden="false" customHeight="false" outlineLevel="0" collapsed="false">
      <c r="A76" s="5" t="s">
        <v>2774</v>
      </c>
      <c r="B76" s="5" t="s">
        <v>3430</v>
      </c>
      <c r="C76" s="5" t="n">
        <v>1524.3</v>
      </c>
      <c r="D76" s="5" t="n">
        <v>6</v>
      </c>
      <c r="E76" s="5" t="n">
        <v>3</v>
      </c>
      <c r="F76" s="5" t="s">
        <v>3440</v>
      </c>
      <c r="G76" s="5"/>
      <c r="H76" s="5" t="s">
        <v>3089</v>
      </c>
      <c r="I76" s="5" t="s">
        <v>3431</v>
      </c>
    </row>
    <row r="77" customFormat="false" ht="15" hidden="false" customHeight="false" outlineLevel="0" collapsed="false">
      <c r="A77" s="5" t="s">
        <v>2750</v>
      </c>
      <c r="B77" s="5" t="s">
        <v>3430</v>
      </c>
      <c r="C77" s="5" t="n">
        <v>1516.8</v>
      </c>
      <c r="D77" s="5" t="n">
        <v>6</v>
      </c>
      <c r="E77" s="5" t="n">
        <v>3</v>
      </c>
      <c r="F77" s="5" t="s">
        <v>3441</v>
      </c>
      <c r="G77" s="5"/>
      <c r="H77" s="5" t="s">
        <v>3091</v>
      </c>
      <c r="I77" s="5" t="s">
        <v>3431</v>
      </c>
    </row>
    <row r="78" customFormat="false" ht="15" hidden="false" customHeight="false" outlineLevel="0" collapsed="false">
      <c r="A78" s="5" t="s">
        <v>2759</v>
      </c>
      <c r="B78" s="5" t="s">
        <v>3430</v>
      </c>
      <c r="C78" s="5" t="n">
        <v>1527.1</v>
      </c>
      <c r="D78" s="5" t="n">
        <v>6</v>
      </c>
      <c r="E78" s="5" t="n">
        <v>3</v>
      </c>
      <c r="F78" s="5" t="s">
        <v>3442</v>
      </c>
      <c r="G78" s="5"/>
      <c r="H78" s="5" t="s">
        <v>3093</v>
      </c>
      <c r="I78" s="5" t="s">
        <v>3431</v>
      </c>
    </row>
    <row r="79" customFormat="false" ht="15" hidden="false" customHeight="false" outlineLevel="0" collapsed="false">
      <c r="A79" s="5" t="s">
        <v>2911</v>
      </c>
      <c r="B79" s="5" t="s">
        <v>3430</v>
      </c>
      <c r="C79" s="5" t="n">
        <v>1523.6</v>
      </c>
      <c r="D79" s="5" t="n">
        <v>6</v>
      </c>
      <c r="E79" s="5" t="n">
        <v>3</v>
      </c>
      <c r="F79" s="5" t="s">
        <v>3443</v>
      </c>
      <c r="G79" s="5"/>
      <c r="H79" s="5" t="s">
        <v>3095</v>
      </c>
      <c r="I79" s="5" t="s">
        <v>3431</v>
      </c>
    </row>
    <row r="80" customFormat="false" ht="15" hidden="false" customHeight="false" outlineLevel="0" collapsed="false">
      <c r="A80" s="5" t="s">
        <v>3096</v>
      </c>
      <c r="B80" s="5" t="s">
        <v>3430</v>
      </c>
      <c r="C80" s="5" t="n">
        <v>1523.6</v>
      </c>
      <c r="D80" s="5" t="n">
        <v>6</v>
      </c>
      <c r="E80" s="5" t="n">
        <v>3</v>
      </c>
      <c r="F80" s="5" t="s">
        <v>3443</v>
      </c>
      <c r="G80" s="5"/>
      <c r="H80" s="5" t="s">
        <v>3095</v>
      </c>
      <c r="I80" s="5" t="s">
        <v>3444</v>
      </c>
    </row>
    <row r="81" customFormat="false" ht="15" hidden="false" customHeight="false" outlineLevel="0" collapsed="false">
      <c r="A81" s="5" t="s">
        <v>3097</v>
      </c>
      <c r="B81" s="5" t="s">
        <v>3430</v>
      </c>
      <c r="C81" s="5" t="n">
        <v>1523.6</v>
      </c>
      <c r="D81" s="5" t="n">
        <v>6</v>
      </c>
      <c r="E81" s="5" t="n">
        <v>3</v>
      </c>
      <c r="F81" s="5" t="s">
        <v>3443</v>
      </c>
      <c r="G81" s="5"/>
      <c r="H81" s="5" t="s">
        <v>3095</v>
      </c>
      <c r="I81" s="5" t="s">
        <v>3444</v>
      </c>
    </row>
    <row r="82" customFormat="false" ht="15" hidden="false" customHeight="false" outlineLevel="0" collapsed="false">
      <c r="A82" s="5" t="s">
        <v>2771</v>
      </c>
      <c r="B82" s="5" t="s">
        <v>3430</v>
      </c>
      <c r="C82" s="5" t="n">
        <v>1586.2</v>
      </c>
      <c r="D82" s="5" t="n">
        <v>6</v>
      </c>
      <c r="E82" s="5" t="n">
        <v>3</v>
      </c>
      <c r="F82" s="5" t="s">
        <v>3445</v>
      </c>
      <c r="G82" s="5"/>
      <c r="H82" s="5" t="s">
        <v>3099</v>
      </c>
      <c r="I82" s="5" t="s">
        <v>3431</v>
      </c>
    </row>
    <row r="83" customFormat="false" ht="15" hidden="false" customHeight="false" outlineLevel="0" collapsed="false">
      <c r="A83" s="5" t="s">
        <v>3100</v>
      </c>
      <c r="B83" s="5" t="s">
        <v>3430</v>
      </c>
      <c r="C83" s="5" t="n">
        <v>1586.2</v>
      </c>
      <c r="D83" s="5" t="n">
        <v>6</v>
      </c>
      <c r="E83" s="5" t="n">
        <v>3</v>
      </c>
      <c r="F83" s="5" t="s">
        <v>3445</v>
      </c>
      <c r="G83" s="5"/>
      <c r="H83" s="5" t="s">
        <v>3099</v>
      </c>
      <c r="I83" s="5" t="s">
        <v>3444</v>
      </c>
    </row>
    <row r="84" customFormat="false" ht="15" hidden="false" customHeight="false" outlineLevel="0" collapsed="false">
      <c r="A84" s="5" t="s">
        <v>3101</v>
      </c>
      <c r="B84" s="5" t="s">
        <v>3430</v>
      </c>
      <c r="C84" s="5" t="n">
        <v>1586.2</v>
      </c>
      <c r="D84" s="5" t="n">
        <v>6</v>
      </c>
      <c r="E84" s="5" t="n">
        <v>3</v>
      </c>
      <c r="F84" s="5" t="s">
        <v>3445</v>
      </c>
      <c r="G84" s="5"/>
      <c r="H84" s="5" t="s">
        <v>3099</v>
      </c>
      <c r="I84" s="5" t="s">
        <v>3444</v>
      </c>
    </row>
    <row r="85" customFormat="false" ht="15" hidden="false" customHeight="false" outlineLevel="0" collapsed="false">
      <c r="A85" s="5" t="s">
        <v>2764</v>
      </c>
      <c r="B85" s="5" t="s">
        <v>3430</v>
      </c>
      <c r="C85" s="5" t="n">
        <v>1533.6</v>
      </c>
      <c r="D85" s="5" t="n">
        <v>6</v>
      </c>
      <c r="E85" s="5" t="n">
        <v>3</v>
      </c>
      <c r="F85" s="5" t="s">
        <v>3446</v>
      </c>
      <c r="G85" s="5"/>
      <c r="H85" s="5" t="s">
        <v>3103</v>
      </c>
      <c r="I85" s="5" t="s">
        <v>3431</v>
      </c>
    </row>
    <row r="86" customFormat="false" ht="15" hidden="false" customHeight="false" outlineLevel="0" collapsed="false">
      <c r="A86" s="5" t="s">
        <v>2763</v>
      </c>
      <c r="B86" s="5" t="s">
        <v>3430</v>
      </c>
      <c r="C86" s="5" t="n">
        <v>1538.7</v>
      </c>
      <c r="D86" s="5" t="n">
        <v>6</v>
      </c>
      <c r="E86" s="5" t="n">
        <v>3</v>
      </c>
      <c r="F86" s="5" t="s">
        <v>3447</v>
      </c>
      <c r="G86" s="5"/>
      <c r="H86" s="5" t="s">
        <v>3105</v>
      </c>
      <c r="I86" s="5" t="s">
        <v>3431</v>
      </c>
    </row>
    <row r="87" customFormat="false" ht="15" hidden="false" customHeight="false" outlineLevel="0" collapsed="false">
      <c r="A87" s="5" t="s">
        <v>2824</v>
      </c>
      <c r="B87" s="5" t="s">
        <v>3430</v>
      </c>
      <c r="C87" s="5" t="n">
        <v>1533</v>
      </c>
      <c r="D87" s="5" t="n">
        <v>6</v>
      </c>
      <c r="E87" s="5" t="n">
        <v>3</v>
      </c>
      <c r="F87" s="5" t="s">
        <v>3448</v>
      </c>
      <c r="G87" s="5"/>
      <c r="H87" s="5" t="s">
        <v>3107</v>
      </c>
      <c r="I87" s="5" t="s">
        <v>3431</v>
      </c>
    </row>
    <row r="88" customFormat="false" ht="15" hidden="false" customHeight="false" outlineLevel="0" collapsed="false">
      <c r="A88" s="5" t="s">
        <v>2760</v>
      </c>
      <c r="B88" s="5" t="s">
        <v>3430</v>
      </c>
      <c r="C88" s="5" t="n">
        <v>1375.1</v>
      </c>
      <c r="D88" s="5" t="n">
        <v>6</v>
      </c>
      <c r="E88" s="5" t="n">
        <v>3</v>
      </c>
      <c r="F88" s="5" t="s">
        <v>3449</v>
      </c>
      <c r="G88" s="5"/>
      <c r="H88" s="5" t="s">
        <v>3109</v>
      </c>
      <c r="I88" s="5" t="s">
        <v>3431</v>
      </c>
    </row>
    <row r="89" customFormat="false" ht="15" hidden="false" customHeight="false" outlineLevel="0" collapsed="false">
      <c r="A89" s="5" t="s">
        <v>3450</v>
      </c>
      <c r="B89" s="5" t="s">
        <v>3430</v>
      </c>
      <c r="C89" s="5" t="n">
        <v>345.4</v>
      </c>
      <c r="D89" s="5" t="n">
        <v>2</v>
      </c>
      <c r="E89" s="5" t="n">
        <v>1</v>
      </c>
      <c r="F89" s="5" t="s">
        <v>1003</v>
      </c>
      <c r="G89" s="5"/>
      <c r="H89" s="5" t="s">
        <v>3451</v>
      </c>
      <c r="I89" s="5" t="s">
        <v>3431</v>
      </c>
    </row>
    <row r="90" customFormat="false" ht="15" hidden="false" customHeight="false" outlineLevel="0" collapsed="false">
      <c r="A90" s="5" t="s">
        <v>2793</v>
      </c>
      <c r="B90" s="5" t="s">
        <v>3430</v>
      </c>
      <c r="C90" s="5" t="n">
        <v>1575.3</v>
      </c>
      <c r="D90" s="5" t="n">
        <v>6</v>
      </c>
      <c r="E90" s="5" t="n">
        <v>3</v>
      </c>
      <c r="F90" s="5" t="s">
        <v>3452</v>
      </c>
      <c r="G90" s="5"/>
      <c r="H90" s="5" t="s">
        <v>3111</v>
      </c>
      <c r="I90" s="5" t="s">
        <v>3431</v>
      </c>
    </row>
    <row r="91" customFormat="false" ht="15" hidden="false" customHeight="false" outlineLevel="0" collapsed="false">
      <c r="A91" s="5" t="s">
        <v>3114</v>
      </c>
      <c r="B91" s="5" t="s">
        <v>3430</v>
      </c>
      <c r="C91" s="5" t="n">
        <v>629.9</v>
      </c>
      <c r="D91" s="5" t="n">
        <v>2</v>
      </c>
      <c r="E91" s="5" t="n">
        <v>1</v>
      </c>
      <c r="F91" s="5" t="s">
        <v>1003</v>
      </c>
      <c r="G91" s="5"/>
      <c r="H91" s="5" t="s">
        <v>3113</v>
      </c>
      <c r="I91" s="5" t="s">
        <v>3431</v>
      </c>
    </row>
    <row r="92" customFormat="false" ht="15" hidden="false" customHeight="false" outlineLevel="0" collapsed="false">
      <c r="A92" s="5" t="s">
        <v>2772</v>
      </c>
      <c r="B92" s="5" t="s">
        <v>3430</v>
      </c>
      <c r="C92" s="5" t="n">
        <v>1341.6</v>
      </c>
      <c r="D92" s="5" t="n">
        <v>6</v>
      </c>
      <c r="E92" s="5" t="n">
        <v>3</v>
      </c>
      <c r="F92" s="5" t="s">
        <v>3453</v>
      </c>
      <c r="G92" s="5" t="s">
        <v>800</v>
      </c>
      <c r="H92" s="5" t="s">
        <v>3116</v>
      </c>
      <c r="I92" s="5" t="s">
        <v>3431</v>
      </c>
    </row>
    <row r="93" customFormat="false" ht="15" hidden="false" customHeight="false" outlineLevel="0" collapsed="false">
      <c r="A93" s="5" t="s">
        <v>2773</v>
      </c>
      <c r="B93" s="5" t="s">
        <v>3430</v>
      </c>
      <c r="C93" s="5" t="n">
        <v>1367.9</v>
      </c>
      <c r="D93" s="5" t="n">
        <v>6</v>
      </c>
      <c r="E93" s="5" t="n">
        <v>3</v>
      </c>
      <c r="F93" s="5" t="s">
        <v>3454</v>
      </c>
      <c r="G93" s="5" t="s">
        <v>800</v>
      </c>
      <c r="H93" s="5" t="s">
        <v>3117</v>
      </c>
      <c r="I93" s="5" t="s">
        <v>3431</v>
      </c>
    </row>
    <row r="94" customFormat="false" ht="15" hidden="false" customHeight="false" outlineLevel="0" collapsed="false">
      <c r="A94" s="5" t="s">
        <v>2748</v>
      </c>
      <c r="B94" s="5" t="s">
        <v>3430</v>
      </c>
      <c r="C94" s="5" t="n">
        <v>1519.9</v>
      </c>
      <c r="D94" s="5" t="n">
        <v>6</v>
      </c>
      <c r="E94" s="5" t="n">
        <v>3</v>
      </c>
      <c r="F94" s="5" t="s">
        <v>3455</v>
      </c>
      <c r="G94" s="5"/>
      <c r="H94" s="5" t="s">
        <v>3118</v>
      </c>
      <c r="I94" s="5" t="s">
        <v>3431</v>
      </c>
    </row>
    <row r="95" customFormat="false" ht="15" hidden="false" customHeight="false" outlineLevel="0" collapsed="false">
      <c r="A95" s="5" t="s">
        <v>3119</v>
      </c>
      <c r="B95" s="5" t="s">
        <v>3430</v>
      </c>
      <c r="C95" s="5" t="n">
        <v>1519.9</v>
      </c>
      <c r="D95" s="5" t="n">
        <v>6</v>
      </c>
      <c r="E95" s="5" t="n">
        <v>3</v>
      </c>
      <c r="F95" s="5" t="s">
        <v>3455</v>
      </c>
      <c r="G95" s="5"/>
      <c r="H95" s="5" t="s">
        <v>3118</v>
      </c>
      <c r="I95" s="5" t="s">
        <v>3444</v>
      </c>
    </row>
    <row r="96" customFormat="false" ht="15" hidden="false" customHeight="false" outlineLevel="0" collapsed="false">
      <c r="A96" s="5" t="s">
        <v>2781</v>
      </c>
      <c r="B96" s="5" t="s">
        <v>3430</v>
      </c>
      <c r="C96" s="5" t="n">
        <v>1769.4</v>
      </c>
      <c r="D96" s="5" t="n">
        <v>7</v>
      </c>
      <c r="E96" s="5" t="n">
        <v>4</v>
      </c>
      <c r="F96" s="5" t="s">
        <v>3456</v>
      </c>
      <c r="G96" s="5"/>
      <c r="H96" s="5" t="s">
        <v>3121</v>
      </c>
      <c r="I96" s="5" t="s">
        <v>3431</v>
      </c>
    </row>
    <row r="97" customFormat="false" ht="15" hidden="false" customHeight="false" outlineLevel="0" collapsed="false">
      <c r="A97" s="5" t="s">
        <v>2751</v>
      </c>
      <c r="B97" s="5" t="s">
        <v>3430</v>
      </c>
      <c r="C97" s="5" t="n">
        <v>1570.8</v>
      </c>
      <c r="D97" s="5" t="n">
        <v>6</v>
      </c>
      <c r="E97" s="5" t="n">
        <v>3</v>
      </c>
      <c r="F97" s="5" t="s">
        <v>3457</v>
      </c>
      <c r="G97" s="5"/>
      <c r="H97" s="5" t="s">
        <v>3123</v>
      </c>
      <c r="I97" s="5" t="s">
        <v>3431</v>
      </c>
    </row>
    <row r="98" customFormat="false" ht="15" hidden="false" customHeight="false" outlineLevel="0" collapsed="false">
      <c r="A98" s="5" t="s">
        <v>2798</v>
      </c>
      <c r="B98" s="5" t="s">
        <v>3430</v>
      </c>
      <c r="C98" s="5" t="n">
        <v>1578</v>
      </c>
      <c r="D98" s="5" t="n">
        <v>6</v>
      </c>
      <c r="E98" s="5" t="n">
        <v>3</v>
      </c>
      <c r="F98" s="5" t="s">
        <v>3458</v>
      </c>
      <c r="G98" s="5"/>
      <c r="H98" s="5" t="s">
        <v>3125</v>
      </c>
      <c r="I98" s="5" t="s">
        <v>3431</v>
      </c>
    </row>
    <row r="99" customFormat="false" ht="15" hidden="false" customHeight="false" outlineLevel="0" collapsed="false">
      <c r="A99" s="5" t="s">
        <v>2803</v>
      </c>
      <c r="B99" s="5" t="s">
        <v>3430</v>
      </c>
      <c r="C99" s="5" t="n">
        <v>1539.3</v>
      </c>
      <c r="D99" s="5" t="n">
        <v>7</v>
      </c>
      <c r="E99" s="5" t="n">
        <v>4</v>
      </c>
      <c r="F99" s="5" t="s">
        <v>3459</v>
      </c>
      <c r="G99" s="5" t="s">
        <v>800</v>
      </c>
      <c r="H99" s="5" t="s">
        <v>3127</v>
      </c>
      <c r="I99" s="5" t="s">
        <v>3431</v>
      </c>
    </row>
    <row r="100" customFormat="false" ht="15" hidden="false" customHeight="false" outlineLevel="0" collapsed="false">
      <c r="A100" s="5" t="s">
        <v>2822</v>
      </c>
      <c r="B100" s="5" t="s">
        <v>3430</v>
      </c>
      <c r="C100" s="5" t="n">
        <v>1489.5</v>
      </c>
      <c r="D100" s="5" t="n">
        <v>6</v>
      </c>
      <c r="E100" s="5" t="n">
        <v>3</v>
      </c>
      <c r="F100" s="5" t="s">
        <v>3460</v>
      </c>
      <c r="G100" s="5"/>
      <c r="H100" s="5" t="s">
        <v>3128</v>
      </c>
      <c r="I100" s="5" t="s">
        <v>3431</v>
      </c>
    </row>
    <row r="101" customFormat="false" ht="15" hidden="false" customHeight="false" outlineLevel="0" collapsed="false">
      <c r="A101" s="5" t="s">
        <v>2805</v>
      </c>
      <c r="B101" s="5" t="s">
        <v>3430</v>
      </c>
      <c r="C101" s="5" t="n">
        <v>1384.2</v>
      </c>
      <c r="D101" s="5" t="n">
        <v>6</v>
      </c>
      <c r="E101" s="5" t="n">
        <v>3</v>
      </c>
      <c r="F101" s="5" t="s">
        <v>3461</v>
      </c>
      <c r="G101" s="5" t="s">
        <v>800</v>
      </c>
      <c r="H101" s="5" t="s">
        <v>3130</v>
      </c>
      <c r="I101" s="5" t="s">
        <v>3431</v>
      </c>
    </row>
    <row r="102" customFormat="false" ht="15" hidden="false" customHeight="false" outlineLevel="0" collapsed="false">
      <c r="A102" s="5" t="s">
        <v>3462</v>
      </c>
      <c r="B102" s="5" t="s">
        <v>3430</v>
      </c>
      <c r="C102" s="5" t="n">
        <v>349.7</v>
      </c>
      <c r="D102" s="5" t="n">
        <v>2</v>
      </c>
      <c r="E102" s="5" t="n">
        <v>1</v>
      </c>
      <c r="F102" s="5" t="s">
        <v>1003</v>
      </c>
      <c r="G102" s="5"/>
      <c r="H102" s="5" t="s">
        <v>3463</v>
      </c>
      <c r="I102" s="5" t="s">
        <v>3431</v>
      </c>
    </row>
    <row r="103" customFormat="false" ht="15" hidden="false" customHeight="false" outlineLevel="0" collapsed="false">
      <c r="A103" s="5" t="s">
        <v>2744</v>
      </c>
      <c r="B103" s="5" t="s">
        <v>3430</v>
      </c>
      <c r="C103" s="5" t="n">
        <v>1490.2</v>
      </c>
      <c r="D103" s="5" t="n">
        <v>6</v>
      </c>
      <c r="E103" s="5" t="n">
        <v>3</v>
      </c>
      <c r="F103" s="5" t="s">
        <v>3464</v>
      </c>
      <c r="G103" s="5"/>
      <c r="H103" s="5" t="s">
        <v>3131</v>
      </c>
      <c r="I103" s="5" t="s">
        <v>3431</v>
      </c>
    </row>
    <row r="104" customFormat="false" ht="15" hidden="false" customHeight="false" outlineLevel="0" collapsed="false">
      <c r="A104" s="5" t="s">
        <v>2834</v>
      </c>
      <c r="B104" s="5" t="s">
        <v>3430</v>
      </c>
      <c r="C104" s="5" t="n">
        <v>1582.9</v>
      </c>
      <c r="D104" s="5" t="n">
        <v>6</v>
      </c>
      <c r="E104" s="5" t="n">
        <v>3</v>
      </c>
      <c r="F104" s="5" t="s">
        <v>3465</v>
      </c>
      <c r="G104" s="5"/>
      <c r="H104" s="5" t="s">
        <v>3133</v>
      </c>
      <c r="I104" s="5" t="s">
        <v>3431</v>
      </c>
    </row>
    <row r="105" customFormat="false" ht="15" hidden="false" customHeight="false" outlineLevel="0" collapsed="false">
      <c r="A105" s="5" t="s">
        <v>2823</v>
      </c>
      <c r="B105" s="5" t="s">
        <v>3430</v>
      </c>
      <c r="C105" s="5" t="n">
        <v>1582.1</v>
      </c>
      <c r="D105" s="5" t="n">
        <v>6</v>
      </c>
      <c r="E105" s="5" t="n">
        <v>3</v>
      </c>
      <c r="F105" s="5" t="s">
        <v>3466</v>
      </c>
      <c r="G105" s="5"/>
      <c r="H105" s="5" t="s">
        <v>3135</v>
      </c>
      <c r="I105" s="5" t="s">
        <v>3431</v>
      </c>
    </row>
    <row r="106" customFormat="false" ht="15" hidden="false" customHeight="false" outlineLevel="0" collapsed="false">
      <c r="A106" s="5" t="s">
        <v>2827</v>
      </c>
      <c r="B106" s="5" t="s">
        <v>3430</v>
      </c>
      <c r="C106" s="5" t="n">
        <v>1532.2</v>
      </c>
      <c r="D106" s="5" t="n">
        <v>6</v>
      </c>
      <c r="E106" s="5" t="n">
        <v>3</v>
      </c>
      <c r="F106" s="5" t="s">
        <v>3467</v>
      </c>
      <c r="G106" s="5"/>
      <c r="H106" s="5" t="s">
        <v>3137</v>
      </c>
      <c r="I106" s="5" t="s">
        <v>3431</v>
      </c>
    </row>
    <row r="107" customFormat="false" ht="15" hidden="false" customHeight="false" outlineLevel="0" collapsed="false">
      <c r="A107" s="5" t="s">
        <v>2755</v>
      </c>
      <c r="B107" s="5" t="s">
        <v>3430</v>
      </c>
      <c r="C107" s="5" t="n">
        <v>1528.9</v>
      </c>
      <c r="D107" s="5" t="n">
        <v>6</v>
      </c>
      <c r="E107" s="5" t="n">
        <v>3</v>
      </c>
      <c r="F107" s="5" t="s">
        <v>3468</v>
      </c>
      <c r="G107" s="5"/>
      <c r="H107" s="5" t="s">
        <v>3139</v>
      </c>
      <c r="I107" s="5" t="s">
        <v>3431</v>
      </c>
    </row>
    <row r="108" customFormat="false" ht="15" hidden="false" customHeight="false" outlineLevel="0" collapsed="false">
      <c r="A108" s="5" t="s">
        <v>3142</v>
      </c>
      <c r="B108" s="5" t="s">
        <v>3430</v>
      </c>
      <c r="C108" s="5" t="n">
        <v>622.9</v>
      </c>
      <c r="D108" s="5" t="n">
        <v>2</v>
      </c>
      <c r="E108" s="5" t="n">
        <v>1</v>
      </c>
      <c r="F108" s="5" t="s">
        <v>1003</v>
      </c>
      <c r="G108" s="5"/>
      <c r="H108" s="5" t="s">
        <v>3141</v>
      </c>
      <c r="I108" s="5" t="s">
        <v>3431</v>
      </c>
    </row>
    <row r="109" customFormat="false" ht="15" hidden="false" customHeight="false" outlineLevel="0" collapsed="false">
      <c r="A109" s="5" t="s">
        <v>2746</v>
      </c>
      <c r="B109" s="5" t="s">
        <v>3430</v>
      </c>
      <c r="C109" s="5" t="n">
        <v>1418.1</v>
      </c>
      <c r="D109" s="5" t="n">
        <v>6</v>
      </c>
      <c r="E109" s="5" t="n">
        <v>3</v>
      </c>
      <c r="F109" s="5" t="s">
        <v>3469</v>
      </c>
      <c r="G109" s="5"/>
      <c r="H109" s="5" t="s">
        <v>3144</v>
      </c>
      <c r="I109" s="5" t="s">
        <v>3431</v>
      </c>
    </row>
    <row r="110" customFormat="false" ht="15" hidden="false" customHeight="false" outlineLevel="0" collapsed="false">
      <c r="A110" s="5" t="s">
        <v>2857</v>
      </c>
      <c r="B110" s="5" t="s">
        <v>3430</v>
      </c>
      <c r="C110" s="5" t="n">
        <v>2269</v>
      </c>
      <c r="D110" s="5" t="n">
        <v>9</v>
      </c>
      <c r="E110" s="5" t="n">
        <v>4</v>
      </c>
      <c r="F110" s="5" t="s">
        <v>3470</v>
      </c>
      <c r="G110" s="5"/>
      <c r="H110" s="5" t="s">
        <v>3146</v>
      </c>
      <c r="I110" s="5" t="s">
        <v>3431</v>
      </c>
    </row>
    <row r="111" customFormat="false" ht="15" hidden="false" customHeight="false" outlineLevel="0" collapsed="false">
      <c r="A111" s="5" t="s">
        <v>2738</v>
      </c>
      <c r="B111" s="5" t="s">
        <v>3430</v>
      </c>
      <c r="C111" s="5" t="n">
        <v>1998.4</v>
      </c>
      <c r="D111" s="5" t="n">
        <v>8</v>
      </c>
      <c r="E111" s="5" t="n">
        <v>4</v>
      </c>
      <c r="F111" s="5" t="s">
        <v>3471</v>
      </c>
      <c r="G111" s="5"/>
      <c r="H111" s="5" t="s">
        <v>3148</v>
      </c>
      <c r="I111" s="5" t="s">
        <v>3431</v>
      </c>
    </row>
    <row r="112" customFormat="false" ht="15" hidden="false" customHeight="false" outlineLevel="0" collapsed="false">
      <c r="A112" s="5" t="s">
        <v>2787</v>
      </c>
      <c r="B112" s="5" t="s">
        <v>3430</v>
      </c>
      <c r="C112" s="5" t="n">
        <v>1304.5</v>
      </c>
      <c r="D112" s="5" t="n">
        <v>6</v>
      </c>
      <c r="E112" s="5" t="n">
        <v>3</v>
      </c>
      <c r="F112" s="5" t="s">
        <v>3472</v>
      </c>
      <c r="G112" s="5" t="s">
        <v>800</v>
      </c>
      <c r="H112" s="5" t="s">
        <v>3150</v>
      </c>
      <c r="I112" s="5" t="s">
        <v>3431</v>
      </c>
    </row>
    <row r="113" customFormat="false" ht="15" hidden="false" customHeight="false" outlineLevel="0" collapsed="false">
      <c r="A113" s="5" t="s">
        <v>2789</v>
      </c>
      <c r="B113" s="5" t="s">
        <v>3430</v>
      </c>
      <c r="C113" s="5" t="n">
        <v>1510.3</v>
      </c>
      <c r="D113" s="5" t="n">
        <v>6</v>
      </c>
      <c r="E113" s="5" t="n">
        <v>3</v>
      </c>
      <c r="F113" s="5" t="s">
        <v>3473</v>
      </c>
      <c r="G113" s="5"/>
      <c r="H113" s="5" t="s">
        <v>3151</v>
      </c>
      <c r="I113" s="5" t="s">
        <v>3431</v>
      </c>
    </row>
    <row r="114" customFormat="false" ht="15" hidden="false" customHeight="false" outlineLevel="0" collapsed="false">
      <c r="A114" s="5" t="s">
        <v>2741</v>
      </c>
      <c r="B114" s="5" t="s">
        <v>3430</v>
      </c>
      <c r="C114" s="5" t="n">
        <v>1512.8</v>
      </c>
      <c r="D114" s="5" t="n">
        <v>6</v>
      </c>
      <c r="E114" s="5" t="n">
        <v>3</v>
      </c>
      <c r="F114" s="5" t="s">
        <v>3474</v>
      </c>
      <c r="G114" s="5"/>
      <c r="H114" s="5" t="s">
        <v>3153</v>
      </c>
      <c r="I114" s="5" t="s">
        <v>3431</v>
      </c>
    </row>
    <row r="115" customFormat="false" ht="15" hidden="false" customHeight="false" outlineLevel="0" collapsed="false">
      <c r="A115" s="5" t="s">
        <v>2825</v>
      </c>
      <c r="B115" s="5" t="s">
        <v>3430</v>
      </c>
      <c r="C115" s="5" t="n">
        <v>1548.1</v>
      </c>
      <c r="D115" s="5" t="n">
        <v>6</v>
      </c>
      <c r="E115" s="5" t="n">
        <v>3</v>
      </c>
      <c r="F115" s="5" t="s">
        <v>3475</v>
      </c>
      <c r="G115" s="5"/>
      <c r="H115" s="5" t="s">
        <v>3155</v>
      </c>
      <c r="I115" s="5" t="s">
        <v>3431</v>
      </c>
    </row>
    <row r="116" customFormat="false" ht="15" hidden="false" customHeight="false" outlineLevel="0" collapsed="false">
      <c r="A116" s="5" t="s">
        <v>3158</v>
      </c>
      <c r="B116" s="5" t="s">
        <v>3430</v>
      </c>
      <c r="C116" s="5" t="n">
        <v>631.9</v>
      </c>
      <c r="D116" s="5" t="n">
        <v>2</v>
      </c>
      <c r="E116" s="5" t="n">
        <v>1</v>
      </c>
      <c r="F116" s="5" t="s">
        <v>1003</v>
      </c>
      <c r="G116" s="5"/>
      <c r="H116" s="5" t="s">
        <v>3157</v>
      </c>
      <c r="I116" s="5" t="s">
        <v>3431</v>
      </c>
    </row>
    <row r="117" customFormat="false" ht="15" hidden="false" customHeight="false" outlineLevel="0" collapsed="false">
      <c r="A117" s="5" t="s">
        <v>2806</v>
      </c>
      <c r="B117" s="5" t="s">
        <v>3430</v>
      </c>
      <c r="C117" s="5" t="n">
        <v>1347.9</v>
      </c>
      <c r="D117" s="5" t="n">
        <v>6</v>
      </c>
      <c r="E117" s="5" t="n">
        <v>3</v>
      </c>
      <c r="F117" s="5" t="s">
        <v>3476</v>
      </c>
      <c r="G117" s="5" t="s">
        <v>800</v>
      </c>
      <c r="H117" s="5" t="s">
        <v>3160</v>
      </c>
      <c r="I117" s="5" t="s">
        <v>3431</v>
      </c>
    </row>
    <row r="118" customFormat="false" ht="15" hidden="false" customHeight="false" outlineLevel="0" collapsed="false">
      <c r="A118" s="5" t="s">
        <v>2910</v>
      </c>
      <c r="B118" s="5" t="s">
        <v>3430</v>
      </c>
      <c r="C118" s="5" t="n">
        <v>1532.1</v>
      </c>
      <c r="D118" s="5" t="n">
        <v>6</v>
      </c>
      <c r="E118" s="5" t="n">
        <v>3</v>
      </c>
      <c r="F118" s="5" t="s">
        <v>3477</v>
      </c>
      <c r="G118" s="5"/>
      <c r="H118" s="5" t="s">
        <v>3161</v>
      </c>
      <c r="I118" s="5" t="s">
        <v>3431</v>
      </c>
    </row>
    <row r="119" customFormat="false" ht="15" hidden="false" customHeight="false" outlineLevel="0" collapsed="false">
      <c r="A119" s="5" t="s">
        <v>2852</v>
      </c>
      <c r="B119" s="5" t="s">
        <v>3430</v>
      </c>
      <c r="C119" s="5" t="n">
        <v>1516.2</v>
      </c>
      <c r="D119" s="5" t="n">
        <v>6</v>
      </c>
      <c r="E119" s="5" t="n">
        <v>3</v>
      </c>
      <c r="F119" s="5" t="s">
        <v>3478</v>
      </c>
      <c r="G119" s="5"/>
      <c r="H119" s="5" t="s">
        <v>3163</v>
      </c>
      <c r="I119" s="5" t="s">
        <v>3431</v>
      </c>
    </row>
    <row r="120" customFormat="false" ht="15" hidden="false" customHeight="false" outlineLevel="0" collapsed="false">
      <c r="A120" s="5" t="s">
        <v>2856</v>
      </c>
      <c r="B120" s="5" t="s">
        <v>3430</v>
      </c>
      <c r="C120" s="5" t="n">
        <v>2551.6</v>
      </c>
      <c r="D120" s="5" t="n">
        <v>10</v>
      </c>
      <c r="E120" s="5" t="n">
        <v>4</v>
      </c>
      <c r="F120" s="5" t="s">
        <v>3479</v>
      </c>
      <c r="G120" s="5"/>
      <c r="H120" s="5" t="s">
        <v>3165</v>
      </c>
      <c r="I120" s="5" t="s">
        <v>3431</v>
      </c>
    </row>
    <row r="121" customFormat="false" ht="15" hidden="false" customHeight="false" outlineLevel="0" collapsed="false">
      <c r="A121" s="5" t="s">
        <v>1023</v>
      </c>
      <c r="B121" s="5" t="s">
        <v>3430</v>
      </c>
      <c r="C121" s="5" t="n">
        <v>335.4</v>
      </c>
      <c r="D121" s="5" t="n">
        <v>2</v>
      </c>
      <c r="E121" s="5" t="n">
        <v>1</v>
      </c>
      <c r="F121" s="5" t="s">
        <v>1016</v>
      </c>
      <c r="G121" s="5"/>
      <c r="H121" s="5" t="s">
        <v>3480</v>
      </c>
      <c r="I121" s="5" t="s">
        <v>3431</v>
      </c>
    </row>
    <row r="122" customFormat="false" ht="15" hidden="false" customHeight="false" outlineLevel="0" collapsed="false">
      <c r="A122" s="5" t="s">
        <v>1030</v>
      </c>
      <c r="B122" s="5" t="s">
        <v>3430</v>
      </c>
      <c r="C122" s="5" t="n">
        <v>346.1</v>
      </c>
      <c r="D122" s="5" t="n">
        <v>2</v>
      </c>
      <c r="E122" s="5" t="n">
        <v>1</v>
      </c>
      <c r="F122" s="5" t="s">
        <v>1025</v>
      </c>
      <c r="G122" s="5"/>
      <c r="H122" s="5" t="s">
        <v>3481</v>
      </c>
      <c r="I122" s="5" t="s">
        <v>3431</v>
      </c>
    </row>
    <row r="123" customFormat="false" ht="15" hidden="false" customHeight="false" outlineLevel="0" collapsed="false">
      <c r="A123" s="5" t="s">
        <v>1037</v>
      </c>
      <c r="B123" s="5" t="s">
        <v>3430</v>
      </c>
      <c r="C123" s="5" t="n">
        <v>345.7</v>
      </c>
      <c r="D123" s="5" t="n">
        <v>2</v>
      </c>
      <c r="E123" s="5" t="n">
        <v>1</v>
      </c>
      <c r="F123" s="5" t="s">
        <v>1032</v>
      </c>
      <c r="G123" s="5"/>
      <c r="H123" s="5" t="s">
        <v>3482</v>
      </c>
      <c r="I123" s="5" t="s">
        <v>3431</v>
      </c>
    </row>
    <row r="124" customFormat="false" ht="15" hidden="false" customHeight="false" outlineLevel="0" collapsed="false">
      <c r="A124" s="5" t="s">
        <v>3483</v>
      </c>
      <c r="B124" s="5" t="s">
        <v>3430</v>
      </c>
      <c r="C124" s="5" t="n">
        <v>349.3</v>
      </c>
      <c r="D124" s="5" t="n">
        <v>2</v>
      </c>
      <c r="E124" s="5" t="n">
        <v>1</v>
      </c>
      <c r="F124" s="5" t="s">
        <v>1003</v>
      </c>
      <c r="G124" s="5"/>
      <c r="H124" s="5" t="s">
        <v>3484</v>
      </c>
      <c r="I124" s="5" t="s">
        <v>3431</v>
      </c>
    </row>
    <row r="125" customFormat="false" ht="15" hidden="false" customHeight="false" outlineLevel="0" collapsed="false">
      <c r="A125" s="5" t="s">
        <v>3485</v>
      </c>
      <c r="B125" s="5" t="s">
        <v>3430</v>
      </c>
      <c r="C125" s="5" t="n">
        <v>337.8</v>
      </c>
      <c r="D125" s="5" t="n">
        <v>2</v>
      </c>
      <c r="E125" s="5" t="n">
        <v>1</v>
      </c>
      <c r="F125" s="5" t="s">
        <v>1003</v>
      </c>
      <c r="G125" s="5"/>
      <c r="H125" s="5" t="s">
        <v>3486</v>
      </c>
      <c r="I125" s="5" t="s">
        <v>3431</v>
      </c>
    </row>
    <row r="126" customFormat="false" ht="15" hidden="false" customHeight="false" outlineLevel="0" collapsed="false">
      <c r="A126" s="5" t="s">
        <v>1044</v>
      </c>
      <c r="B126" s="5" t="s">
        <v>3430</v>
      </c>
      <c r="C126" s="5" t="n">
        <v>339.6</v>
      </c>
      <c r="D126" s="5" t="n">
        <v>2</v>
      </c>
      <c r="E126" s="5" t="n">
        <v>1</v>
      </c>
      <c r="F126" s="5" t="s">
        <v>1039</v>
      </c>
      <c r="G126" s="5"/>
      <c r="H126" s="5" t="s">
        <v>3487</v>
      </c>
      <c r="I126" s="5" t="s">
        <v>3431</v>
      </c>
    </row>
    <row r="127" customFormat="false" ht="15" hidden="false" customHeight="false" outlineLevel="0" collapsed="false">
      <c r="A127" s="5" t="s">
        <v>1050</v>
      </c>
      <c r="B127" s="5" t="s">
        <v>3430</v>
      </c>
      <c r="C127" s="5" t="n">
        <v>338</v>
      </c>
      <c r="D127" s="5" t="n">
        <v>2</v>
      </c>
      <c r="E127" s="5" t="n">
        <v>1</v>
      </c>
      <c r="F127" s="5" t="s">
        <v>1046</v>
      </c>
      <c r="G127" s="5"/>
      <c r="H127" s="5" t="s">
        <v>3488</v>
      </c>
      <c r="I127" s="5" t="s">
        <v>3431</v>
      </c>
    </row>
    <row r="128" customFormat="false" ht="15" hidden="false" customHeight="false" outlineLevel="0" collapsed="false">
      <c r="A128" s="5" t="s">
        <v>1056</v>
      </c>
      <c r="B128" s="5" t="s">
        <v>3430</v>
      </c>
      <c r="C128" s="5" t="n">
        <v>7169.7</v>
      </c>
      <c r="D128" s="5" t="n">
        <v>2</v>
      </c>
      <c r="E128" s="5" t="n">
        <v>1</v>
      </c>
      <c r="F128" s="5" t="s">
        <v>1052</v>
      </c>
      <c r="G128" s="5"/>
      <c r="H128" s="5" t="s">
        <v>3489</v>
      </c>
      <c r="I128" s="5" t="s">
        <v>3431</v>
      </c>
    </row>
    <row r="129" customFormat="false" ht="15" hidden="false" customHeight="false" outlineLevel="0" collapsed="false">
      <c r="A129" s="5" t="s">
        <v>1062</v>
      </c>
      <c r="B129" s="5" t="s">
        <v>3430</v>
      </c>
      <c r="C129" s="5" t="n">
        <v>333.6</v>
      </c>
      <c r="D129" s="5" t="n">
        <v>2</v>
      </c>
      <c r="E129" s="5" t="n">
        <v>1</v>
      </c>
      <c r="F129" s="5" t="s">
        <v>1058</v>
      </c>
      <c r="G129" s="5"/>
      <c r="H129" s="5" t="s">
        <v>3490</v>
      </c>
      <c r="I129" s="5" t="s">
        <v>3431</v>
      </c>
    </row>
    <row r="130" customFormat="false" ht="15" hidden="false" customHeight="false" outlineLevel="0" collapsed="false">
      <c r="A130" s="5" t="s">
        <v>1069</v>
      </c>
      <c r="B130" s="5" t="s">
        <v>3430</v>
      </c>
      <c r="C130" s="5" t="n">
        <v>333.3</v>
      </c>
      <c r="D130" s="5" t="n">
        <v>2</v>
      </c>
      <c r="E130" s="5" t="n">
        <v>1</v>
      </c>
      <c r="F130" s="5" t="s">
        <v>1064</v>
      </c>
      <c r="G130" s="5"/>
      <c r="H130" s="5" t="s">
        <v>3491</v>
      </c>
      <c r="I130" s="5" t="s">
        <v>3431</v>
      </c>
    </row>
    <row r="131" customFormat="false" ht="15" hidden="false" customHeight="false" outlineLevel="0" collapsed="false">
      <c r="A131" s="5" t="s">
        <v>1074</v>
      </c>
      <c r="B131" s="5" t="s">
        <v>3430</v>
      </c>
      <c r="C131" s="5" t="n">
        <v>7667.8</v>
      </c>
      <c r="D131" s="5" t="n">
        <v>2</v>
      </c>
      <c r="E131" s="5" t="n">
        <v>1</v>
      </c>
      <c r="F131" s="5" t="s">
        <v>1071</v>
      </c>
      <c r="G131" s="5"/>
      <c r="H131" s="5" t="s">
        <v>3492</v>
      </c>
      <c r="I131" s="5" t="s">
        <v>3431</v>
      </c>
    </row>
    <row r="132" customFormat="false" ht="15" hidden="false" customHeight="false" outlineLevel="0" collapsed="false">
      <c r="A132" s="5" t="s">
        <v>1080</v>
      </c>
      <c r="B132" s="5" t="s">
        <v>3430</v>
      </c>
      <c r="C132" s="5" t="n">
        <v>410</v>
      </c>
      <c r="D132" s="5" t="n">
        <v>2</v>
      </c>
      <c r="E132" s="5" t="n">
        <v>1</v>
      </c>
      <c r="F132" s="5" t="s">
        <v>1076</v>
      </c>
      <c r="G132" s="5"/>
      <c r="H132" s="5" t="s">
        <v>3493</v>
      </c>
      <c r="I132" s="5" t="s">
        <v>3431</v>
      </c>
    </row>
    <row r="133" customFormat="false" ht="15" hidden="false" customHeight="false" outlineLevel="0" collapsed="false">
      <c r="A133" s="5" t="s">
        <v>1085</v>
      </c>
      <c r="B133" s="5" t="s">
        <v>3430</v>
      </c>
      <c r="C133" s="5" t="n">
        <v>6336.8</v>
      </c>
      <c r="D133" s="5" t="n">
        <v>2</v>
      </c>
      <c r="E133" s="5" t="n">
        <v>1</v>
      </c>
      <c r="F133" s="5" t="s">
        <v>1082</v>
      </c>
      <c r="G133" s="5"/>
      <c r="H133" s="5" t="s">
        <v>3494</v>
      </c>
      <c r="I133" s="5" t="s">
        <v>3431</v>
      </c>
    </row>
    <row r="134" customFormat="false" ht="15" hidden="false" customHeight="false" outlineLevel="0" collapsed="false">
      <c r="A134" s="5" t="s">
        <v>1092</v>
      </c>
      <c r="B134" s="5" t="s">
        <v>3430</v>
      </c>
      <c r="C134" s="5" t="n">
        <v>715.5</v>
      </c>
      <c r="D134" s="5" t="n">
        <v>2</v>
      </c>
      <c r="E134" s="5" t="n">
        <v>1</v>
      </c>
      <c r="F134" s="5" t="s">
        <v>1087</v>
      </c>
      <c r="G134" s="5"/>
      <c r="H134" s="5" t="s">
        <v>3495</v>
      </c>
      <c r="I134" s="5" t="s">
        <v>3431</v>
      </c>
    </row>
    <row r="135" customFormat="false" ht="15" hidden="false" customHeight="false" outlineLevel="0" collapsed="false">
      <c r="A135" s="5" t="s">
        <v>1098</v>
      </c>
      <c r="B135" s="5" t="s">
        <v>3430</v>
      </c>
      <c r="C135" s="5" t="n">
        <v>6761.8</v>
      </c>
      <c r="D135" s="5" t="n">
        <v>2</v>
      </c>
      <c r="E135" s="5" t="n">
        <v>1</v>
      </c>
      <c r="F135" s="5" t="s">
        <v>1094</v>
      </c>
      <c r="G135" s="5"/>
      <c r="H135" s="5" t="s">
        <v>3496</v>
      </c>
      <c r="I135" s="5" t="s">
        <v>3431</v>
      </c>
    </row>
    <row r="136" customFormat="false" ht="15" hidden="false" customHeight="false" outlineLevel="0" collapsed="false">
      <c r="A136" s="5" t="s">
        <v>1106</v>
      </c>
      <c r="B136" s="5" t="s">
        <v>3430</v>
      </c>
      <c r="C136" s="5" t="n">
        <v>736.2</v>
      </c>
      <c r="D136" s="5" t="n">
        <v>2</v>
      </c>
      <c r="E136" s="5" t="n">
        <v>1</v>
      </c>
      <c r="F136" s="5" t="s">
        <v>1100</v>
      </c>
      <c r="G136" s="5"/>
      <c r="H136" s="5" t="s">
        <v>3497</v>
      </c>
      <c r="I136" s="5" t="s">
        <v>3431</v>
      </c>
    </row>
    <row r="137" customFormat="false" ht="15" hidden="false" customHeight="false" outlineLevel="0" collapsed="false">
      <c r="A137" s="5" t="s">
        <v>1111</v>
      </c>
      <c r="B137" s="5" t="s">
        <v>3430</v>
      </c>
      <c r="C137" s="5" t="n">
        <v>741.1</v>
      </c>
      <c r="D137" s="5" t="n">
        <v>2</v>
      </c>
      <c r="E137" s="5" t="n">
        <v>1</v>
      </c>
      <c r="F137" s="5" t="s">
        <v>1108</v>
      </c>
      <c r="G137" s="5"/>
      <c r="H137" s="5" t="s">
        <v>3498</v>
      </c>
      <c r="I137" s="5" t="s">
        <v>3431</v>
      </c>
    </row>
    <row r="138" customFormat="false" ht="15" hidden="false" customHeight="false" outlineLevel="0" collapsed="false">
      <c r="A138" s="5" t="s">
        <v>1117</v>
      </c>
      <c r="B138" s="5" t="s">
        <v>3430</v>
      </c>
      <c r="C138" s="5" t="n">
        <v>710.5</v>
      </c>
      <c r="D138" s="5" t="n">
        <v>2</v>
      </c>
      <c r="E138" s="5" t="n">
        <v>1</v>
      </c>
      <c r="F138" s="5" t="s">
        <v>1113</v>
      </c>
      <c r="G138" s="5"/>
      <c r="H138" s="5" t="s">
        <v>3499</v>
      </c>
      <c r="I138" s="5" t="s">
        <v>3431</v>
      </c>
    </row>
    <row r="139" customFormat="false" ht="15" hidden="false" customHeight="false" outlineLevel="0" collapsed="false">
      <c r="A139" s="5" t="s">
        <v>3500</v>
      </c>
      <c r="B139" s="5" t="s">
        <v>3430</v>
      </c>
      <c r="C139" s="5" t="n">
        <v>7806.1</v>
      </c>
      <c r="D139" s="5" t="n">
        <v>2</v>
      </c>
      <c r="E139" s="5" t="n">
        <v>1</v>
      </c>
      <c r="F139" s="5" t="s">
        <v>1003</v>
      </c>
      <c r="G139" s="5"/>
      <c r="H139" s="5" t="s">
        <v>3501</v>
      </c>
      <c r="I139" s="5" t="s">
        <v>3431</v>
      </c>
    </row>
    <row r="140" customFormat="false" ht="15" hidden="false" customHeight="false" outlineLevel="0" collapsed="false">
      <c r="A140" s="5" t="s">
        <v>1123</v>
      </c>
      <c r="B140" s="5" t="s">
        <v>3430</v>
      </c>
      <c r="C140" s="5" t="n">
        <v>8255.4</v>
      </c>
      <c r="D140" s="5" t="n">
        <v>2</v>
      </c>
      <c r="E140" s="5" t="n">
        <v>1</v>
      </c>
      <c r="F140" s="5" t="s">
        <v>1119</v>
      </c>
      <c r="G140" s="5"/>
      <c r="H140" s="5" t="s">
        <v>3502</v>
      </c>
      <c r="I140" s="5" t="s">
        <v>3431</v>
      </c>
    </row>
    <row r="141" customFormat="false" ht="15" hidden="false" customHeight="false" outlineLevel="0" collapsed="false">
      <c r="A141" s="5" t="s">
        <v>1129</v>
      </c>
      <c r="B141" s="5" t="s">
        <v>3430</v>
      </c>
      <c r="C141" s="5" t="n">
        <v>7988.5</v>
      </c>
      <c r="D141" s="5" t="n">
        <v>2</v>
      </c>
      <c r="E141" s="5" t="n">
        <v>1</v>
      </c>
      <c r="F141" s="5" t="s">
        <v>1125</v>
      </c>
      <c r="G141" s="5"/>
      <c r="H141" s="5" t="s">
        <v>3503</v>
      </c>
      <c r="I141" s="5" t="s">
        <v>3431</v>
      </c>
    </row>
    <row r="142" customFormat="false" ht="15" hidden="false" customHeight="false" outlineLevel="0" collapsed="false">
      <c r="A142" s="5" t="s">
        <v>1134</v>
      </c>
      <c r="B142" s="5" t="s">
        <v>3430</v>
      </c>
      <c r="C142" s="5" t="n">
        <v>7145.4</v>
      </c>
      <c r="D142" s="5" t="n">
        <v>2</v>
      </c>
      <c r="E142" s="5" t="n">
        <v>1</v>
      </c>
      <c r="F142" s="5" t="s">
        <v>1131</v>
      </c>
      <c r="G142" s="5"/>
      <c r="H142" s="5" t="s">
        <v>3504</v>
      </c>
      <c r="I142" s="5" t="s">
        <v>3431</v>
      </c>
    </row>
    <row r="143" customFormat="false" ht="15" hidden="false" customHeight="false" outlineLevel="0" collapsed="false">
      <c r="A143" s="5" t="s">
        <v>1139</v>
      </c>
      <c r="B143" s="5" t="s">
        <v>3430</v>
      </c>
      <c r="C143" s="5" t="n">
        <v>7111.8</v>
      </c>
      <c r="D143" s="5" t="n">
        <v>2</v>
      </c>
      <c r="E143" s="5" t="n">
        <v>1</v>
      </c>
      <c r="F143" s="5" t="s">
        <v>1136</v>
      </c>
      <c r="G143" s="5"/>
      <c r="H143" s="5" t="s">
        <v>3505</v>
      </c>
      <c r="I143" s="5" t="s">
        <v>3431</v>
      </c>
    </row>
    <row r="144" customFormat="false" ht="15" hidden="false" customHeight="false" outlineLevel="0" collapsed="false">
      <c r="A144" s="5" t="s">
        <v>1144</v>
      </c>
      <c r="B144" s="5" t="s">
        <v>3430</v>
      </c>
      <c r="C144" s="5" t="n">
        <v>6613.5</v>
      </c>
      <c r="D144" s="5" t="n">
        <v>2</v>
      </c>
      <c r="E144" s="5" t="n">
        <v>1</v>
      </c>
      <c r="F144" s="5" t="s">
        <v>1141</v>
      </c>
      <c r="G144" s="5"/>
      <c r="H144" s="5" t="s">
        <v>3506</v>
      </c>
      <c r="I144" s="5" t="s">
        <v>3431</v>
      </c>
    </row>
    <row r="145" customFormat="false" ht="15" hidden="false" customHeight="false" outlineLevel="0" collapsed="false">
      <c r="A145" s="5" t="s">
        <v>1149</v>
      </c>
      <c r="B145" s="5" t="s">
        <v>3430</v>
      </c>
      <c r="C145" s="5" t="n">
        <v>6582.5</v>
      </c>
      <c r="D145" s="5" t="n">
        <v>2</v>
      </c>
      <c r="E145" s="5" t="n">
        <v>1</v>
      </c>
      <c r="F145" s="5" t="s">
        <v>1146</v>
      </c>
      <c r="G145" s="5"/>
      <c r="H145" s="5" t="s">
        <v>3507</v>
      </c>
      <c r="I145" s="5" t="s">
        <v>3431</v>
      </c>
    </row>
    <row r="146" customFormat="false" ht="15" hidden="false" customHeight="false" outlineLevel="0" collapsed="false">
      <c r="A146" s="5" t="s">
        <v>2826</v>
      </c>
      <c r="B146" s="5" t="s">
        <v>3430</v>
      </c>
      <c r="C146" s="5" t="n">
        <v>8994.8</v>
      </c>
      <c r="D146" s="5" t="n">
        <v>2</v>
      </c>
      <c r="E146" s="5" t="n">
        <v>2</v>
      </c>
      <c r="F146" s="5" t="s">
        <v>3508</v>
      </c>
      <c r="G146" s="5"/>
      <c r="H146" s="5" t="s">
        <v>3509</v>
      </c>
      <c r="I146" s="5" t="s">
        <v>3431</v>
      </c>
    </row>
    <row r="147" customFormat="false" ht="15" hidden="false" customHeight="false" outlineLevel="0" collapsed="false">
      <c r="A147" s="5" t="s">
        <v>1156</v>
      </c>
      <c r="B147" s="5" t="s">
        <v>3430</v>
      </c>
      <c r="C147" s="5" t="n">
        <v>8085</v>
      </c>
      <c r="D147" s="5" t="n">
        <v>2</v>
      </c>
      <c r="E147" s="5" t="n">
        <v>1</v>
      </c>
      <c r="F147" s="5" t="s">
        <v>1151</v>
      </c>
      <c r="G147" s="5"/>
      <c r="H147" s="5" t="s">
        <v>3510</v>
      </c>
      <c r="I147" s="5" t="s">
        <v>3431</v>
      </c>
    </row>
    <row r="148" customFormat="false" ht="15" hidden="false" customHeight="false" outlineLevel="0" collapsed="false">
      <c r="A148" s="5" t="s">
        <v>963</v>
      </c>
      <c r="B148" s="5" t="s">
        <v>3430</v>
      </c>
      <c r="C148" s="5" t="n">
        <v>8171.1</v>
      </c>
      <c r="D148" s="5" t="n">
        <v>2</v>
      </c>
      <c r="E148" s="5" t="n">
        <v>2</v>
      </c>
      <c r="F148" s="5" t="s">
        <v>3511</v>
      </c>
      <c r="G148" s="5"/>
      <c r="H148" s="5" t="s">
        <v>3512</v>
      </c>
      <c r="I148" s="5" t="s">
        <v>3431</v>
      </c>
    </row>
    <row r="149" customFormat="false" ht="15" hidden="false" customHeight="false" outlineLevel="0" collapsed="false">
      <c r="A149" s="5" t="s">
        <v>1161</v>
      </c>
      <c r="B149" s="5" t="s">
        <v>3430</v>
      </c>
      <c r="C149" s="5" t="n">
        <v>8754.7</v>
      </c>
      <c r="D149" s="5" t="n">
        <v>2</v>
      </c>
      <c r="E149" s="5" t="n">
        <v>1</v>
      </c>
      <c r="F149" s="5" t="s">
        <v>1158</v>
      </c>
      <c r="G149" s="5"/>
      <c r="H149" s="5" t="s">
        <v>3513</v>
      </c>
      <c r="I149" s="5" t="s">
        <v>3431</v>
      </c>
    </row>
    <row r="150" customFormat="false" ht="15" hidden="false" customHeight="false" outlineLevel="0" collapsed="false">
      <c r="A150" s="5" t="s">
        <v>3514</v>
      </c>
      <c r="B150" s="5" t="s">
        <v>3430</v>
      </c>
      <c r="C150" s="5" t="n">
        <v>9268</v>
      </c>
      <c r="D150" s="5" t="n">
        <v>2</v>
      </c>
      <c r="E150" s="5" t="n">
        <v>2</v>
      </c>
      <c r="F150" s="5" t="s">
        <v>3515</v>
      </c>
      <c r="G150" s="5"/>
      <c r="H150" s="5" t="s">
        <v>3516</v>
      </c>
      <c r="I150" s="5" t="s">
        <v>3431</v>
      </c>
    </row>
    <row r="151" customFormat="false" ht="15" hidden="false" customHeight="false" outlineLevel="0" collapsed="false">
      <c r="A151" s="5" t="s">
        <v>1166</v>
      </c>
      <c r="B151" s="5" t="s">
        <v>3430</v>
      </c>
      <c r="C151" s="5" t="n">
        <v>7732.6</v>
      </c>
      <c r="D151" s="5" t="n">
        <v>2</v>
      </c>
      <c r="E151" s="5" t="n">
        <v>1</v>
      </c>
      <c r="F151" s="5" t="s">
        <v>1163</v>
      </c>
      <c r="G151" s="5"/>
      <c r="H151" s="5" t="s">
        <v>3517</v>
      </c>
      <c r="I151" s="5" t="s">
        <v>3431</v>
      </c>
    </row>
    <row r="152" customFormat="false" ht="15" hidden="false" customHeight="false" outlineLevel="0" collapsed="false">
      <c r="A152" s="5" t="s">
        <v>3518</v>
      </c>
      <c r="B152" s="5" t="s">
        <v>3430</v>
      </c>
      <c r="C152" s="5" t="n">
        <v>8806.6</v>
      </c>
      <c r="D152" s="5" t="n">
        <v>2</v>
      </c>
      <c r="E152" s="5" t="n">
        <v>2</v>
      </c>
      <c r="F152" s="5" t="s">
        <v>3519</v>
      </c>
      <c r="G152" s="5"/>
      <c r="H152" s="5" t="s">
        <v>3520</v>
      </c>
      <c r="I152" s="5" t="s">
        <v>3431</v>
      </c>
    </row>
    <row r="153" customFormat="false" ht="15" hidden="false" customHeight="false" outlineLevel="0" collapsed="false">
      <c r="A153" s="5" t="s">
        <v>1172</v>
      </c>
      <c r="B153" s="5" t="s">
        <v>3430</v>
      </c>
      <c r="C153" s="5" t="n">
        <v>9506.7</v>
      </c>
      <c r="D153" s="5" t="n">
        <v>2</v>
      </c>
      <c r="E153" s="5" t="n">
        <v>1</v>
      </c>
      <c r="F153" s="5" t="s">
        <v>1168</v>
      </c>
      <c r="G153" s="5"/>
      <c r="H153" s="5" t="s">
        <v>3521</v>
      </c>
      <c r="I153" s="5" t="s">
        <v>3431</v>
      </c>
    </row>
    <row r="154" customFormat="false" ht="15" hidden="false" customHeight="false" outlineLevel="0" collapsed="false">
      <c r="A154" s="5" t="s">
        <v>3522</v>
      </c>
      <c r="B154" s="5" t="s">
        <v>3430</v>
      </c>
      <c r="C154" s="5" t="n">
        <v>8489.2</v>
      </c>
      <c r="D154" s="5" t="n">
        <v>2</v>
      </c>
      <c r="E154" s="5" t="n">
        <v>2</v>
      </c>
      <c r="F154" s="5" t="s">
        <v>3523</v>
      </c>
      <c r="G154" s="5"/>
      <c r="H154" s="5" t="s">
        <v>3524</v>
      </c>
      <c r="I154" s="5" t="s">
        <v>3431</v>
      </c>
    </row>
    <row r="155" customFormat="false" ht="15" hidden="false" customHeight="false" outlineLevel="0" collapsed="false">
      <c r="A155" s="5" t="s">
        <v>1178</v>
      </c>
      <c r="B155" s="5" t="s">
        <v>3430</v>
      </c>
      <c r="C155" s="5" t="n">
        <v>8747</v>
      </c>
      <c r="D155" s="5" t="n">
        <v>2</v>
      </c>
      <c r="E155" s="5" t="n">
        <v>1</v>
      </c>
      <c r="F155" s="5" t="s">
        <v>1174</v>
      </c>
      <c r="G155" s="5"/>
      <c r="H155" s="5" t="s">
        <v>3525</v>
      </c>
      <c r="I155" s="5" t="s">
        <v>3431</v>
      </c>
    </row>
    <row r="156" customFormat="false" ht="15" hidden="false" customHeight="false" outlineLevel="0" collapsed="false">
      <c r="A156" s="5" t="s">
        <v>2828</v>
      </c>
      <c r="B156" s="5" t="s">
        <v>3430</v>
      </c>
      <c r="C156" s="5" t="n">
        <v>8274</v>
      </c>
      <c r="D156" s="5" t="n">
        <v>2</v>
      </c>
      <c r="E156" s="5" t="n">
        <v>2</v>
      </c>
      <c r="F156" s="5" t="s">
        <v>3526</v>
      </c>
      <c r="G156" s="5"/>
      <c r="H156" s="5" t="s">
        <v>3527</v>
      </c>
      <c r="I156" s="5" t="s">
        <v>3431</v>
      </c>
    </row>
    <row r="157" customFormat="false" ht="15" hidden="false" customHeight="false" outlineLevel="0" collapsed="false">
      <c r="A157" s="5" t="s">
        <v>1183</v>
      </c>
      <c r="B157" s="5" t="s">
        <v>3430</v>
      </c>
      <c r="C157" s="5" t="n">
        <v>8084.4</v>
      </c>
      <c r="D157" s="5" t="n">
        <v>2</v>
      </c>
      <c r="E157" s="5" t="n">
        <v>1</v>
      </c>
      <c r="F157" s="5" t="s">
        <v>1180</v>
      </c>
      <c r="G157" s="5"/>
      <c r="H157" s="5" t="s">
        <v>3528</v>
      </c>
      <c r="I157" s="5" t="s">
        <v>3431</v>
      </c>
    </row>
    <row r="158" customFormat="false" ht="15" hidden="false" customHeight="false" outlineLevel="0" collapsed="false">
      <c r="A158" s="5" t="s">
        <v>3529</v>
      </c>
      <c r="B158" s="5" t="s">
        <v>3430</v>
      </c>
      <c r="C158" s="5" t="n">
        <v>8294.4</v>
      </c>
      <c r="D158" s="5" t="n">
        <v>2</v>
      </c>
      <c r="E158" s="5" t="n">
        <v>2</v>
      </c>
      <c r="F158" s="5" t="s">
        <v>3530</v>
      </c>
      <c r="G158" s="5"/>
      <c r="H158" s="5" t="s">
        <v>3531</v>
      </c>
      <c r="I158" s="5" t="s">
        <v>3431</v>
      </c>
    </row>
    <row r="159" customFormat="false" ht="15" hidden="false" customHeight="false" outlineLevel="0" collapsed="false">
      <c r="A159" s="5" t="s">
        <v>1188</v>
      </c>
      <c r="B159" s="5" t="s">
        <v>3430</v>
      </c>
      <c r="C159" s="5" t="n">
        <v>7969.6</v>
      </c>
      <c r="D159" s="5" t="n">
        <v>2</v>
      </c>
      <c r="E159" s="5" t="n">
        <v>1</v>
      </c>
      <c r="F159" s="5" t="s">
        <v>1185</v>
      </c>
      <c r="G159" s="5"/>
      <c r="H159" s="5" t="s">
        <v>3532</v>
      </c>
      <c r="I159" s="5" t="s">
        <v>3431</v>
      </c>
    </row>
    <row r="160" customFormat="false" ht="15" hidden="false" customHeight="false" outlineLevel="0" collapsed="false">
      <c r="A160" s="5" t="s">
        <v>2830</v>
      </c>
      <c r="B160" s="5" t="s">
        <v>3430</v>
      </c>
      <c r="C160" s="5" t="n">
        <v>8898.7</v>
      </c>
      <c r="D160" s="5" t="n">
        <v>2</v>
      </c>
      <c r="E160" s="5" t="n">
        <v>2</v>
      </c>
      <c r="F160" s="5" t="s">
        <v>3533</v>
      </c>
      <c r="G160" s="5"/>
      <c r="H160" s="5" t="s">
        <v>3534</v>
      </c>
      <c r="I160" s="5" t="s">
        <v>3431</v>
      </c>
    </row>
    <row r="161" customFormat="false" ht="15" hidden="false" customHeight="false" outlineLevel="0" collapsed="false">
      <c r="A161" s="5" t="s">
        <v>1194</v>
      </c>
      <c r="B161" s="5" t="s">
        <v>3430</v>
      </c>
      <c r="C161" s="5" t="n">
        <v>8558.7</v>
      </c>
      <c r="D161" s="5" t="n">
        <v>2</v>
      </c>
      <c r="E161" s="5" t="n">
        <v>1</v>
      </c>
      <c r="F161" s="5" t="s">
        <v>1190</v>
      </c>
      <c r="G161" s="5"/>
      <c r="H161" s="5" t="s">
        <v>3535</v>
      </c>
      <c r="I161" s="5" t="s">
        <v>3431</v>
      </c>
    </row>
    <row r="162" customFormat="false" ht="15" hidden="false" customHeight="false" outlineLevel="0" collapsed="false">
      <c r="A162" s="5" t="s">
        <v>3536</v>
      </c>
      <c r="B162" s="5" t="s">
        <v>3430</v>
      </c>
      <c r="C162" s="5" t="n">
        <v>8871.6</v>
      </c>
      <c r="D162" s="5" t="n">
        <v>2</v>
      </c>
      <c r="E162" s="5" t="n">
        <v>2</v>
      </c>
      <c r="F162" s="5" t="s">
        <v>3537</v>
      </c>
      <c r="G162" s="5"/>
      <c r="H162" s="5" t="s">
        <v>3538</v>
      </c>
      <c r="I162" s="5" t="s">
        <v>3431</v>
      </c>
    </row>
    <row r="163" customFormat="false" ht="15" hidden="false" customHeight="false" outlineLevel="0" collapsed="false">
      <c r="A163" s="5" t="s">
        <v>1199</v>
      </c>
      <c r="B163" s="5" t="s">
        <v>3430</v>
      </c>
      <c r="C163" s="5" t="n">
        <v>7877.2</v>
      </c>
      <c r="D163" s="5" t="n">
        <v>2</v>
      </c>
      <c r="E163" s="5" t="n">
        <v>1</v>
      </c>
      <c r="F163" s="5" t="s">
        <v>1196</v>
      </c>
      <c r="G163" s="5"/>
      <c r="H163" s="5" t="s">
        <v>3539</v>
      </c>
      <c r="I163" s="5" t="s">
        <v>3431</v>
      </c>
    </row>
    <row r="164" customFormat="false" ht="15" hidden="false" customHeight="false" outlineLevel="0" collapsed="false">
      <c r="A164" s="5" t="s">
        <v>2778</v>
      </c>
      <c r="B164" s="5" t="s">
        <v>3430</v>
      </c>
      <c r="C164" s="5" t="n">
        <v>1589.9</v>
      </c>
      <c r="D164" s="5" t="n">
        <v>6</v>
      </c>
      <c r="E164" s="5" t="n">
        <v>3</v>
      </c>
      <c r="F164" s="5" t="s">
        <v>3540</v>
      </c>
      <c r="G164" s="5"/>
      <c r="H164" s="5" t="s">
        <v>3167</v>
      </c>
      <c r="I164" s="5" t="s">
        <v>3431</v>
      </c>
    </row>
    <row r="165" customFormat="false" ht="15" hidden="false" customHeight="false" outlineLevel="0" collapsed="false">
      <c r="A165" s="5" t="s">
        <v>2912</v>
      </c>
      <c r="B165" s="5" t="s">
        <v>3430</v>
      </c>
      <c r="C165" s="5" t="n">
        <v>1538.5</v>
      </c>
      <c r="D165" s="5" t="n">
        <v>6</v>
      </c>
      <c r="E165" s="5" t="n">
        <v>3</v>
      </c>
      <c r="F165" s="5" t="s">
        <v>3541</v>
      </c>
      <c r="G165" s="5"/>
      <c r="H165" s="5" t="s">
        <v>3169</v>
      </c>
      <c r="I165" s="5" t="s">
        <v>3431</v>
      </c>
    </row>
    <row r="166" customFormat="false" ht="15" hidden="false" customHeight="false" outlineLevel="0" collapsed="false">
      <c r="A166" s="5" t="s">
        <v>2871</v>
      </c>
      <c r="B166" s="5" t="s">
        <v>3430</v>
      </c>
      <c r="C166" s="5" t="n">
        <v>1533.4</v>
      </c>
      <c r="D166" s="5" t="n">
        <v>6</v>
      </c>
      <c r="E166" s="5" t="n">
        <v>3</v>
      </c>
      <c r="F166" s="5" t="s">
        <v>3542</v>
      </c>
      <c r="G166" s="5"/>
      <c r="H166" s="5" t="s">
        <v>3171</v>
      </c>
      <c r="I166" s="5" t="s">
        <v>3431</v>
      </c>
    </row>
    <row r="167" customFormat="false" ht="15" hidden="false" customHeight="false" outlineLevel="0" collapsed="false">
      <c r="A167" s="5" t="s">
        <v>2797</v>
      </c>
      <c r="B167" s="5" t="s">
        <v>3430</v>
      </c>
      <c r="C167" s="5" t="n">
        <v>1594.5</v>
      </c>
      <c r="D167" s="5" t="n">
        <v>6</v>
      </c>
      <c r="E167" s="5" t="n">
        <v>3</v>
      </c>
      <c r="F167" s="5" t="s">
        <v>3543</v>
      </c>
      <c r="G167" s="5"/>
      <c r="H167" s="5" t="s">
        <v>3173</v>
      </c>
      <c r="I167" s="5" t="s">
        <v>3431</v>
      </c>
    </row>
    <row r="168" customFormat="false" ht="15" hidden="false" customHeight="false" outlineLevel="0" collapsed="false">
      <c r="A168" s="5" t="s">
        <v>3174</v>
      </c>
      <c r="B168" s="5" t="s">
        <v>3430</v>
      </c>
      <c r="C168" s="5" t="n">
        <v>1594.5</v>
      </c>
      <c r="D168" s="5" t="n">
        <v>6</v>
      </c>
      <c r="E168" s="5" t="n">
        <v>3</v>
      </c>
      <c r="F168" s="5" t="s">
        <v>3543</v>
      </c>
      <c r="G168" s="5"/>
      <c r="H168" s="5" t="s">
        <v>3173</v>
      </c>
      <c r="I168" s="5" t="s">
        <v>3444</v>
      </c>
    </row>
    <row r="169" customFormat="false" ht="15" hidden="false" customHeight="false" outlineLevel="0" collapsed="false">
      <c r="A169" s="5" t="s">
        <v>3175</v>
      </c>
      <c r="B169" s="5" t="s">
        <v>3430</v>
      </c>
      <c r="C169" s="5" t="n">
        <v>1594.5</v>
      </c>
      <c r="D169" s="5" t="n">
        <v>6</v>
      </c>
      <c r="E169" s="5" t="n">
        <v>3</v>
      </c>
      <c r="F169" s="5" t="s">
        <v>3543</v>
      </c>
      <c r="G169" s="5"/>
      <c r="H169" s="5" t="s">
        <v>3173</v>
      </c>
      <c r="I169" s="5" t="s">
        <v>3444</v>
      </c>
    </row>
    <row r="170" customFormat="false" ht="15" hidden="false" customHeight="false" outlineLevel="0" collapsed="false">
      <c r="A170" s="5" t="s">
        <v>2868</v>
      </c>
      <c r="B170" s="5" t="s">
        <v>3430</v>
      </c>
      <c r="C170" s="5" t="n">
        <v>1536.6</v>
      </c>
      <c r="D170" s="5" t="n">
        <v>6</v>
      </c>
      <c r="E170" s="5" t="n">
        <v>3</v>
      </c>
      <c r="F170" s="5" t="s">
        <v>3544</v>
      </c>
      <c r="G170" s="5"/>
      <c r="H170" s="5" t="s">
        <v>3177</v>
      </c>
      <c r="I170" s="5" t="s">
        <v>3431</v>
      </c>
    </row>
    <row r="171" customFormat="false" ht="15" hidden="false" customHeight="false" outlineLevel="0" collapsed="false">
      <c r="A171" s="5" t="s">
        <v>2913</v>
      </c>
      <c r="B171" s="5" t="s">
        <v>3430</v>
      </c>
      <c r="C171" s="5" t="n">
        <v>266.1</v>
      </c>
      <c r="D171" s="5" t="n">
        <v>1</v>
      </c>
      <c r="E171" s="5" t="n">
        <v>1</v>
      </c>
      <c r="F171" s="5" t="s">
        <v>1365</v>
      </c>
      <c r="G171" s="5"/>
      <c r="H171" s="5" t="s">
        <v>3179</v>
      </c>
      <c r="I171" s="5" t="s">
        <v>3431</v>
      </c>
    </row>
    <row r="172" customFormat="false" ht="15" hidden="false" customHeight="false" outlineLevel="0" collapsed="false">
      <c r="A172" s="5" t="s">
        <v>2914</v>
      </c>
      <c r="B172" s="5" t="s">
        <v>3430</v>
      </c>
      <c r="C172" s="5" t="n">
        <v>266.3</v>
      </c>
      <c r="D172" s="5" t="n">
        <v>1</v>
      </c>
      <c r="E172" s="5" t="n">
        <v>1</v>
      </c>
      <c r="F172" s="5" t="s">
        <v>1370</v>
      </c>
      <c r="G172" s="5"/>
      <c r="H172" s="5" t="s">
        <v>3181</v>
      </c>
      <c r="I172" s="5" t="s">
        <v>3431</v>
      </c>
    </row>
    <row r="173" customFormat="false" ht="15" hidden="false" customHeight="false" outlineLevel="0" collapsed="false">
      <c r="A173" s="5" t="s">
        <v>2915</v>
      </c>
      <c r="B173" s="5" t="s">
        <v>3430</v>
      </c>
      <c r="C173" s="5" t="n">
        <v>265.7</v>
      </c>
      <c r="D173" s="5" t="n">
        <v>1</v>
      </c>
      <c r="E173" s="5" t="n">
        <v>1</v>
      </c>
      <c r="F173" s="5" t="s">
        <v>1374</v>
      </c>
      <c r="G173" s="5"/>
      <c r="H173" s="5" t="s">
        <v>3183</v>
      </c>
      <c r="I173" s="5" t="s">
        <v>3431</v>
      </c>
    </row>
    <row r="174" customFormat="false" ht="15" hidden="false" customHeight="false" outlineLevel="0" collapsed="false">
      <c r="A174" s="5" t="s">
        <v>2756</v>
      </c>
      <c r="B174" s="5" t="s">
        <v>3430</v>
      </c>
      <c r="C174" s="5" t="n">
        <v>267.7</v>
      </c>
      <c r="D174" s="5" t="n">
        <v>1</v>
      </c>
      <c r="E174" s="5" t="n">
        <v>1</v>
      </c>
      <c r="F174" s="5" t="s">
        <v>1378</v>
      </c>
      <c r="G174" s="5"/>
      <c r="H174" s="5" t="s">
        <v>3185</v>
      </c>
      <c r="I174" s="5" t="s">
        <v>3431</v>
      </c>
    </row>
    <row r="175" customFormat="false" ht="15" hidden="false" customHeight="false" outlineLevel="0" collapsed="false">
      <c r="A175" s="5" t="s">
        <v>2916</v>
      </c>
      <c r="B175" s="5" t="s">
        <v>3430</v>
      </c>
      <c r="C175" s="5" t="n">
        <v>266.5</v>
      </c>
      <c r="D175" s="5" t="n">
        <v>1</v>
      </c>
      <c r="E175" s="5" t="n">
        <v>1</v>
      </c>
      <c r="F175" s="5" t="s">
        <v>1382</v>
      </c>
      <c r="G175" s="5"/>
      <c r="H175" s="5" t="s">
        <v>3187</v>
      </c>
      <c r="I175" s="5" t="s">
        <v>3431</v>
      </c>
    </row>
    <row r="176" customFormat="false" ht="15" hidden="false" customHeight="false" outlineLevel="0" collapsed="false">
      <c r="A176" s="5" t="s">
        <v>2917</v>
      </c>
      <c r="B176" s="5" t="s">
        <v>3430</v>
      </c>
      <c r="C176" s="5" t="n">
        <v>268.7</v>
      </c>
      <c r="D176" s="5" t="n">
        <v>1</v>
      </c>
      <c r="E176" s="5" t="n">
        <v>1</v>
      </c>
      <c r="F176" s="5" t="s">
        <v>1386</v>
      </c>
      <c r="G176" s="5"/>
      <c r="H176" s="5" t="s">
        <v>3189</v>
      </c>
      <c r="I176" s="5" t="s">
        <v>3431</v>
      </c>
    </row>
    <row r="177" customFormat="false" ht="15" hidden="false" customHeight="false" outlineLevel="0" collapsed="false">
      <c r="A177" s="5" t="s">
        <v>2918</v>
      </c>
      <c r="B177" s="5" t="s">
        <v>3430</v>
      </c>
      <c r="C177" s="5" t="n">
        <v>267.7</v>
      </c>
      <c r="D177" s="5" t="n">
        <v>1</v>
      </c>
      <c r="E177" s="5" t="n">
        <v>1</v>
      </c>
      <c r="F177" s="5" t="s">
        <v>1390</v>
      </c>
      <c r="G177" s="5"/>
      <c r="H177" s="5" t="s">
        <v>3191</v>
      </c>
      <c r="I177" s="5" t="s">
        <v>3431</v>
      </c>
    </row>
    <row r="178" customFormat="false" ht="15" hidden="false" customHeight="false" outlineLevel="0" collapsed="false">
      <c r="A178" s="5" t="s">
        <v>2919</v>
      </c>
      <c r="B178" s="5" t="s">
        <v>3430</v>
      </c>
      <c r="C178" s="5" t="n">
        <v>265</v>
      </c>
      <c r="D178" s="5" t="n">
        <v>1</v>
      </c>
      <c r="E178" s="5" t="n">
        <v>1</v>
      </c>
      <c r="F178" s="5" t="s">
        <v>1394</v>
      </c>
      <c r="G178" s="5"/>
      <c r="H178" s="5" t="s">
        <v>3193</v>
      </c>
      <c r="I178" s="5" t="s">
        <v>3431</v>
      </c>
    </row>
    <row r="179" customFormat="false" ht="15" hidden="false" customHeight="false" outlineLevel="0" collapsed="false">
      <c r="A179" s="5" t="s">
        <v>2866</v>
      </c>
      <c r="B179" s="5" t="s">
        <v>3430</v>
      </c>
      <c r="C179" s="5" t="n">
        <v>273.1</v>
      </c>
      <c r="D179" s="5" t="n">
        <v>1</v>
      </c>
      <c r="E179" s="5" t="n">
        <v>1</v>
      </c>
      <c r="F179" s="5" t="s">
        <v>1398</v>
      </c>
      <c r="G179" s="5"/>
      <c r="H179" s="5" t="s">
        <v>3195</v>
      </c>
      <c r="I179" s="5" t="s">
        <v>3431</v>
      </c>
    </row>
    <row r="180" customFormat="false" ht="15" hidden="false" customHeight="false" outlineLevel="0" collapsed="false">
      <c r="A180" s="5" t="s">
        <v>2757</v>
      </c>
      <c r="B180" s="5" t="s">
        <v>3430</v>
      </c>
      <c r="C180" s="5" t="n">
        <v>270.4</v>
      </c>
      <c r="D180" s="5" t="n">
        <v>1</v>
      </c>
      <c r="E180" s="5" t="n">
        <v>1</v>
      </c>
      <c r="F180" s="5" t="s">
        <v>1406</v>
      </c>
      <c r="G180" s="5"/>
      <c r="H180" s="5" t="s">
        <v>3197</v>
      </c>
      <c r="I180" s="5" t="s">
        <v>3431</v>
      </c>
    </row>
    <row r="181" customFormat="false" ht="15" hidden="false" customHeight="false" outlineLevel="0" collapsed="false">
      <c r="A181" s="5" t="s">
        <v>2920</v>
      </c>
      <c r="B181" s="5" t="s">
        <v>3430</v>
      </c>
      <c r="C181" s="5" t="n">
        <v>271.9</v>
      </c>
      <c r="D181" s="5" t="n">
        <v>1</v>
      </c>
      <c r="E181" s="5" t="n">
        <v>1</v>
      </c>
      <c r="F181" s="5" t="s">
        <v>1411</v>
      </c>
      <c r="G181" s="5"/>
      <c r="H181" s="5" t="s">
        <v>3199</v>
      </c>
      <c r="I181" s="5" t="s">
        <v>3431</v>
      </c>
    </row>
    <row r="182" customFormat="false" ht="15" hidden="false" customHeight="false" outlineLevel="0" collapsed="false">
      <c r="A182" s="5" t="s">
        <v>2921</v>
      </c>
      <c r="B182" s="5" t="s">
        <v>3430</v>
      </c>
      <c r="C182" s="5" t="n">
        <v>273.2</v>
      </c>
      <c r="D182" s="5" t="n">
        <v>1</v>
      </c>
      <c r="E182" s="5" t="n">
        <v>1</v>
      </c>
      <c r="F182" s="5" t="s">
        <v>1416</v>
      </c>
      <c r="G182" s="5"/>
      <c r="H182" s="5" t="s">
        <v>3201</v>
      </c>
      <c r="I182" s="5" t="s">
        <v>3431</v>
      </c>
    </row>
    <row r="183" customFormat="false" ht="15" hidden="false" customHeight="false" outlineLevel="0" collapsed="false">
      <c r="A183" s="5" t="s">
        <v>2831</v>
      </c>
      <c r="B183" s="5" t="s">
        <v>3430</v>
      </c>
      <c r="C183" s="5" t="n">
        <v>271.8</v>
      </c>
      <c r="D183" s="5" t="n">
        <v>1</v>
      </c>
      <c r="E183" s="5" t="n">
        <v>1</v>
      </c>
      <c r="F183" s="5" t="s">
        <v>1420</v>
      </c>
      <c r="G183" s="5"/>
      <c r="H183" s="5" t="s">
        <v>3203</v>
      </c>
      <c r="I183" s="5" t="s">
        <v>3431</v>
      </c>
    </row>
    <row r="184" customFormat="false" ht="15" hidden="false" customHeight="false" outlineLevel="0" collapsed="false">
      <c r="A184" s="5" t="s">
        <v>2922</v>
      </c>
      <c r="B184" s="5" t="s">
        <v>3430</v>
      </c>
      <c r="C184" s="5" t="n">
        <v>270.8</v>
      </c>
      <c r="D184" s="5" t="n">
        <v>1</v>
      </c>
      <c r="E184" s="5" t="n">
        <v>1</v>
      </c>
      <c r="F184" s="5" t="s">
        <v>1425</v>
      </c>
      <c r="G184" s="5"/>
      <c r="H184" s="5" t="s">
        <v>3205</v>
      </c>
      <c r="I184" s="5" t="s">
        <v>3431</v>
      </c>
    </row>
    <row r="185" customFormat="false" ht="15" hidden="false" customHeight="false" outlineLevel="0" collapsed="false">
      <c r="A185" s="5" t="s">
        <v>2923</v>
      </c>
      <c r="B185" s="5" t="s">
        <v>3430</v>
      </c>
      <c r="C185" s="5" t="n">
        <v>269.8</v>
      </c>
      <c r="D185" s="5" t="n">
        <v>1</v>
      </c>
      <c r="E185" s="5" t="n">
        <v>1</v>
      </c>
      <c r="F185" s="5" t="s">
        <v>1430</v>
      </c>
      <c r="G185" s="5"/>
      <c r="H185" s="5" t="s">
        <v>3207</v>
      </c>
      <c r="I185" s="5" t="s">
        <v>3431</v>
      </c>
    </row>
    <row r="186" customFormat="false" ht="15" hidden="false" customHeight="false" outlineLevel="0" collapsed="false">
      <c r="A186" s="5" t="s">
        <v>2924</v>
      </c>
      <c r="B186" s="5" t="s">
        <v>3430</v>
      </c>
      <c r="C186" s="5" t="n">
        <v>265.8</v>
      </c>
      <c r="D186" s="5" t="n">
        <v>1</v>
      </c>
      <c r="E186" s="5" t="n">
        <v>1</v>
      </c>
      <c r="F186" s="5" t="s">
        <v>1436</v>
      </c>
      <c r="G186" s="5"/>
      <c r="H186" s="5" t="s">
        <v>3209</v>
      </c>
      <c r="I186" s="5" t="s">
        <v>3431</v>
      </c>
    </row>
    <row r="187" customFormat="false" ht="15" hidden="false" customHeight="false" outlineLevel="0" collapsed="false">
      <c r="A187" s="5" t="s">
        <v>2854</v>
      </c>
      <c r="B187" s="5" t="s">
        <v>3430</v>
      </c>
      <c r="C187" s="5" t="n">
        <v>266.7</v>
      </c>
      <c r="D187" s="5" t="n">
        <v>1</v>
      </c>
      <c r="E187" s="5" t="n">
        <v>1</v>
      </c>
      <c r="F187" s="5" t="s">
        <v>1441</v>
      </c>
      <c r="G187" s="5"/>
      <c r="H187" s="5" t="s">
        <v>3211</v>
      </c>
      <c r="I187" s="5" t="s">
        <v>3431</v>
      </c>
    </row>
    <row r="188" customFormat="false" ht="15" hidden="false" customHeight="false" outlineLevel="0" collapsed="false">
      <c r="A188" s="5" t="s">
        <v>2925</v>
      </c>
      <c r="B188" s="5" t="s">
        <v>3430</v>
      </c>
      <c r="C188" s="5" t="n">
        <v>269</v>
      </c>
      <c r="D188" s="5" t="n">
        <v>1</v>
      </c>
      <c r="E188" s="5" t="n">
        <v>1</v>
      </c>
      <c r="F188" s="5" t="s">
        <v>1446</v>
      </c>
      <c r="G188" s="5"/>
      <c r="H188" s="5" t="s">
        <v>3213</v>
      </c>
      <c r="I188" s="5" t="s">
        <v>3431</v>
      </c>
    </row>
    <row r="189" customFormat="false" ht="15" hidden="false" customHeight="false" outlineLevel="0" collapsed="false">
      <c r="A189" s="5" t="s">
        <v>2926</v>
      </c>
      <c r="B189" s="5" t="s">
        <v>3430</v>
      </c>
      <c r="C189" s="5" t="n">
        <v>268.2</v>
      </c>
      <c r="D189" s="5" t="n">
        <v>1</v>
      </c>
      <c r="E189" s="5" t="n">
        <v>1</v>
      </c>
      <c r="F189" s="5" t="s">
        <v>1451</v>
      </c>
      <c r="G189" s="5"/>
      <c r="H189" s="5" t="s">
        <v>3215</v>
      </c>
      <c r="I189" s="5" t="s">
        <v>3431</v>
      </c>
    </row>
    <row r="190" customFormat="false" ht="15" hidden="false" customHeight="false" outlineLevel="0" collapsed="false">
      <c r="A190" s="5" t="s">
        <v>2927</v>
      </c>
      <c r="B190" s="5" t="s">
        <v>3430</v>
      </c>
      <c r="C190" s="5" t="n">
        <v>268.1</v>
      </c>
      <c r="D190" s="5" t="n">
        <v>1</v>
      </c>
      <c r="E190" s="5" t="n">
        <v>1</v>
      </c>
      <c r="F190" s="5" t="s">
        <v>1455</v>
      </c>
      <c r="G190" s="5"/>
      <c r="H190" s="5" t="s">
        <v>3217</v>
      </c>
      <c r="I190" s="5" t="s">
        <v>3431</v>
      </c>
    </row>
    <row r="191" customFormat="false" ht="15" hidden="false" customHeight="false" outlineLevel="0" collapsed="false">
      <c r="A191" s="5" t="s">
        <v>2928</v>
      </c>
      <c r="B191" s="5" t="s">
        <v>3430</v>
      </c>
      <c r="C191" s="5" t="n">
        <v>268.2</v>
      </c>
      <c r="D191" s="5" t="n">
        <v>1</v>
      </c>
      <c r="E191" s="5" t="n">
        <v>1</v>
      </c>
      <c r="F191" s="5" t="s">
        <v>1460</v>
      </c>
      <c r="G191" s="5"/>
      <c r="H191" s="5" t="s">
        <v>3219</v>
      </c>
      <c r="I191" s="5" t="s">
        <v>3431</v>
      </c>
    </row>
    <row r="192" customFormat="false" ht="15" hidden="false" customHeight="false" outlineLevel="0" collapsed="false">
      <c r="A192" s="5" t="s">
        <v>2859</v>
      </c>
      <c r="B192" s="5" t="s">
        <v>3430</v>
      </c>
      <c r="C192" s="5" t="n">
        <v>281.7</v>
      </c>
      <c r="D192" s="5" t="n">
        <v>1</v>
      </c>
      <c r="E192" s="5" t="n">
        <v>1</v>
      </c>
      <c r="F192" s="5" t="s">
        <v>1465</v>
      </c>
      <c r="G192" s="5"/>
      <c r="H192" s="5" t="s">
        <v>3221</v>
      </c>
      <c r="I192" s="5" t="s">
        <v>3431</v>
      </c>
    </row>
    <row r="193" customFormat="false" ht="15" hidden="false" customHeight="false" outlineLevel="0" collapsed="false">
      <c r="A193" s="5" t="s">
        <v>2931</v>
      </c>
      <c r="B193" s="5" t="s">
        <v>3430</v>
      </c>
      <c r="C193" s="5" t="n">
        <v>282.7</v>
      </c>
      <c r="D193" s="5" t="n">
        <v>1</v>
      </c>
      <c r="E193" s="5" t="n">
        <v>1</v>
      </c>
      <c r="F193" s="5" t="s">
        <v>1473</v>
      </c>
      <c r="G193" s="5"/>
      <c r="H193" s="5" t="s">
        <v>3223</v>
      </c>
      <c r="I193" s="5" t="s">
        <v>3431</v>
      </c>
    </row>
    <row r="194" customFormat="false" ht="15" hidden="false" customHeight="false" outlineLevel="0" collapsed="false">
      <c r="A194" s="5" t="s">
        <v>2932</v>
      </c>
      <c r="B194" s="5" t="s">
        <v>3430</v>
      </c>
      <c r="C194" s="5" t="n">
        <v>281.3</v>
      </c>
      <c r="D194" s="5" t="n">
        <v>1</v>
      </c>
      <c r="E194" s="5" t="n">
        <v>1</v>
      </c>
      <c r="F194" s="5" t="s">
        <v>1478</v>
      </c>
      <c r="G194" s="5"/>
      <c r="H194" s="5" t="s">
        <v>3225</v>
      </c>
      <c r="I194" s="5" t="s">
        <v>3431</v>
      </c>
    </row>
    <row r="195" customFormat="false" ht="15" hidden="false" customHeight="false" outlineLevel="0" collapsed="false">
      <c r="A195" s="5" t="s">
        <v>2860</v>
      </c>
      <c r="B195" s="5" t="s">
        <v>3430</v>
      </c>
      <c r="C195" s="5" t="n">
        <v>281.1</v>
      </c>
      <c r="D195" s="5" t="n">
        <v>1</v>
      </c>
      <c r="E195" s="5" t="n">
        <v>1</v>
      </c>
      <c r="F195" s="5" t="s">
        <v>1483</v>
      </c>
      <c r="G195" s="5"/>
      <c r="H195" s="5" t="s">
        <v>3227</v>
      </c>
      <c r="I195" s="5" t="s">
        <v>3431</v>
      </c>
    </row>
    <row r="196" customFormat="false" ht="15" hidden="false" customHeight="false" outlineLevel="0" collapsed="false">
      <c r="A196" s="5" t="s">
        <v>2933</v>
      </c>
      <c r="B196" s="5" t="s">
        <v>3430</v>
      </c>
      <c r="C196" s="5" t="n">
        <v>280.8</v>
      </c>
      <c r="D196" s="5" t="n">
        <v>1</v>
      </c>
      <c r="E196" s="5" t="n">
        <v>1</v>
      </c>
      <c r="F196" s="5" t="s">
        <v>1488</v>
      </c>
      <c r="G196" s="5"/>
      <c r="H196" s="5" t="s">
        <v>3229</v>
      </c>
      <c r="I196" s="5" t="s">
        <v>3431</v>
      </c>
    </row>
    <row r="197" customFormat="false" ht="15" hidden="false" customHeight="false" outlineLevel="0" collapsed="false">
      <c r="A197" s="5" t="s">
        <v>2861</v>
      </c>
      <c r="B197" s="5" t="s">
        <v>3430</v>
      </c>
      <c r="C197" s="5" t="n">
        <v>282.1</v>
      </c>
      <c r="D197" s="5" t="n">
        <v>1</v>
      </c>
      <c r="E197" s="5" t="n">
        <v>1</v>
      </c>
      <c r="F197" s="5" t="s">
        <v>1493</v>
      </c>
      <c r="G197" s="5"/>
      <c r="H197" s="5" t="s">
        <v>3231</v>
      </c>
      <c r="I197" s="5" t="s">
        <v>3431</v>
      </c>
    </row>
    <row r="198" customFormat="false" ht="15" hidden="false" customHeight="false" outlineLevel="0" collapsed="false">
      <c r="A198" s="5" t="s">
        <v>2785</v>
      </c>
      <c r="B198" s="5" t="s">
        <v>3430</v>
      </c>
      <c r="C198" s="5" t="n">
        <v>226</v>
      </c>
      <c r="D198" s="5" t="n">
        <v>2</v>
      </c>
      <c r="E198" s="5" t="n">
        <v>1</v>
      </c>
      <c r="F198" s="5" t="s">
        <v>1521</v>
      </c>
      <c r="G198" s="5"/>
      <c r="H198" s="5" t="s">
        <v>3233</v>
      </c>
      <c r="I198" s="5" t="s">
        <v>3431</v>
      </c>
    </row>
    <row r="199" customFormat="false" ht="15" hidden="false" customHeight="false" outlineLevel="0" collapsed="false">
      <c r="A199" s="5" t="s">
        <v>2986</v>
      </c>
      <c r="B199" s="5" t="s">
        <v>3545</v>
      </c>
      <c r="C199" s="5" t="n">
        <v>163.8</v>
      </c>
      <c r="D199" s="5" t="n">
        <v>2</v>
      </c>
      <c r="E199" s="5" t="n">
        <v>1</v>
      </c>
      <c r="F199" s="5" t="s">
        <v>238</v>
      </c>
      <c r="G199" s="5"/>
      <c r="H199" s="5" t="s">
        <v>2985</v>
      </c>
      <c r="I199" s="5" t="s">
        <v>3444</v>
      </c>
    </row>
    <row r="200" customFormat="false" ht="15" hidden="false" customHeight="false" outlineLevel="0" collapsed="false">
      <c r="A200" s="5" t="s">
        <v>2988</v>
      </c>
      <c r="B200" s="5" t="s">
        <v>3545</v>
      </c>
      <c r="C200" s="5" t="n">
        <v>178.8</v>
      </c>
      <c r="D200" s="5" t="n">
        <v>2</v>
      </c>
      <c r="E200" s="5" t="n">
        <v>1</v>
      </c>
      <c r="F200" s="5" t="s">
        <v>248</v>
      </c>
      <c r="G200" s="5"/>
      <c r="H200" s="5" t="s">
        <v>2987</v>
      </c>
      <c r="I200" s="5" t="s">
        <v>3444</v>
      </c>
    </row>
    <row r="201" customFormat="false" ht="15" hidden="false" customHeight="false" outlineLevel="0" collapsed="false">
      <c r="A201" s="5" t="s">
        <v>3082</v>
      </c>
      <c r="B201" s="5" t="s">
        <v>3545</v>
      </c>
      <c r="C201" s="5" t="n">
        <v>1448.7</v>
      </c>
      <c r="D201" s="5" t="n">
        <v>6</v>
      </c>
      <c r="E201" s="5" t="n">
        <v>3</v>
      </c>
      <c r="F201" s="5" t="s">
        <v>3433</v>
      </c>
      <c r="G201" s="5"/>
      <c r="H201" s="5" t="s">
        <v>3081</v>
      </c>
      <c r="I201" s="5" t="s">
        <v>3444</v>
      </c>
    </row>
    <row r="202" customFormat="false" ht="15" hidden="false" customHeight="false" outlineLevel="0" collapsed="false">
      <c r="A202" s="5" t="s">
        <v>3030</v>
      </c>
      <c r="B202" s="5" t="s">
        <v>3545</v>
      </c>
      <c r="C202" s="5" t="n">
        <v>162.1</v>
      </c>
      <c r="D202" s="5" t="n">
        <v>2</v>
      </c>
      <c r="E202" s="5" t="n">
        <v>1</v>
      </c>
      <c r="F202" s="5" t="s">
        <v>374</v>
      </c>
      <c r="G202" s="5"/>
      <c r="H202" s="5" t="s">
        <v>3029</v>
      </c>
      <c r="I202" s="5" t="s">
        <v>3444</v>
      </c>
    </row>
    <row r="203" customFormat="false" ht="15" hidden="false" customHeight="false" outlineLevel="0" collapsed="false">
      <c r="A203" s="5" t="s">
        <v>3032</v>
      </c>
      <c r="B203" s="5" t="s">
        <v>3545</v>
      </c>
      <c r="C203" s="5" t="n">
        <v>183.2</v>
      </c>
      <c r="D203" s="5" t="n">
        <v>2</v>
      </c>
      <c r="E203" s="5" t="n">
        <v>1</v>
      </c>
      <c r="F203" s="5" t="s">
        <v>380</v>
      </c>
      <c r="G203" s="5"/>
      <c r="H203" s="5" t="s">
        <v>3031</v>
      </c>
      <c r="I203" s="5" t="s">
        <v>3444</v>
      </c>
    </row>
    <row r="204" customFormat="false" ht="15" hidden="false" customHeight="false" outlineLevel="0" collapsed="false">
      <c r="A204" s="5" t="s">
        <v>3086</v>
      </c>
      <c r="B204" s="5" t="s">
        <v>3545</v>
      </c>
      <c r="C204" s="5" t="n">
        <v>1372.5</v>
      </c>
      <c r="D204" s="5" t="n">
        <v>6</v>
      </c>
      <c r="E204" s="5" t="n">
        <v>3</v>
      </c>
      <c r="F204" s="5" t="s">
        <v>3436</v>
      </c>
      <c r="G204" s="5"/>
      <c r="H204" s="5" t="s">
        <v>3085</v>
      </c>
      <c r="I204" s="5" t="s">
        <v>3444</v>
      </c>
    </row>
    <row r="205" customFormat="false" ht="15" hidden="false" customHeight="false" outlineLevel="0" collapsed="false">
      <c r="A205" s="5" t="s">
        <v>3218</v>
      </c>
      <c r="B205" s="5" t="s">
        <v>3545</v>
      </c>
      <c r="C205" s="5" t="n">
        <v>268.1</v>
      </c>
      <c r="D205" s="5" t="n">
        <v>1</v>
      </c>
      <c r="E205" s="5" t="n">
        <v>1</v>
      </c>
      <c r="F205" s="5" t="s">
        <v>1455</v>
      </c>
      <c r="G205" s="5"/>
      <c r="H205" s="5" t="s">
        <v>3217</v>
      </c>
      <c r="I205" s="5" t="s">
        <v>3444</v>
      </c>
    </row>
    <row r="206" customFormat="false" ht="15" hidden="false" customHeight="false" outlineLevel="0" collapsed="false">
      <c r="A206" s="5" t="s">
        <v>3110</v>
      </c>
      <c r="B206" s="5" t="s">
        <v>3545</v>
      </c>
      <c r="C206" s="5" t="n">
        <v>1375.1</v>
      </c>
      <c r="D206" s="5" t="n">
        <v>6</v>
      </c>
      <c r="E206" s="5" t="n">
        <v>3</v>
      </c>
      <c r="F206" s="5" t="s">
        <v>3449</v>
      </c>
      <c r="G206" s="5"/>
      <c r="H206" s="5" t="s">
        <v>3109</v>
      </c>
      <c r="I206" s="5" t="s">
        <v>3444</v>
      </c>
    </row>
    <row r="207" customFormat="false" ht="15" hidden="false" customHeight="false" outlineLevel="0" collapsed="false">
      <c r="A207" s="5" t="s">
        <v>3216</v>
      </c>
      <c r="B207" s="5" t="s">
        <v>3545</v>
      </c>
      <c r="C207" s="5" t="n">
        <v>268.2</v>
      </c>
      <c r="D207" s="5" t="n">
        <v>1</v>
      </c>
      <c r="E207" s="5" t="n">
        <v>1</v>
      </c>
      <c r="F207" s="5" t="s">
        <v>1451</v>
      </c>
      <c r="G207" s="5"/>
      <c r="H207" s="5" t="s">
        <v>3215</v>
      </c>
      <c r="I207" s="5" t="s">
        <v>3444</v>
      </c>
    </row>
    <row r="208" customFormat="false" ht="15" hidden="false" customHeight="false" outlineLevel="0" collapsed="false">
      <c r="A208" s="5" t="s">
        <v>3226</v>
      </c>
      <c r="B208" s="5" t="s">
        <v>3545</v>
      </c>
      <c r="C208" s="5" t="n">
        <v>281.3</v>
      </c>
      <c r="D208" s="5" t="n">
        <v>1</v>
      </c>
      <c r="E208" s="5" t="n">
        <v>1</v>
      </c>
      <c r="F208" s="5" t="s">
        <v>1478</v>
      </c>
      <c r="G208" s="5"/>
      <c r="H208" s="5" t="s">
        <v>3225</v>
      </c>
      <c r="I208" s="5" t="s">
        <v>3444</v>
      </c>
    </row>
    <row r="209" customFormat="false" ht="15" hidden="false" customHeight="false" outlineLevel="0" collapsed="false">
      <c r="A209" s="5" t="s">
        <v>3222</v>
      </c>
      <c r="B209" s="5" t="s">
        <v>3545</v>
      </c>
      <c r="C209" s="5" t="n">
        <v>281.7</v>
      </c>
      <c r="D209" s="5" t="n">
        <v>1</v>
      </c>
      <c r="E209" s="5" t="n">
        <v>1</v>
      </c>
      <c r="F209" s="5" t="s">
        <v>1465</v>
      </c>
      <c r="G209" s="5"/>
      <c r="H209" s="5" t="s">
        <v>3221</v>
      </c>
      <c r="I209" s="5" t="s">
        <v>3444</v>
      </c>
    </row>
    <row r="210" customFormat="false" ht="15" hidden="false" customHeight="false" outlineLevel="0" collapsed="false">
      <c r="A210" s="5" t="s">
        <v>3234</v>
      </c>
      <c r="B210" s="5" t="s">
        <v>3545</v>
      </c>
      <c r="C210" s="5" t="n">
        <v>226</v>
      </c>
      <c r="D210" s="5" t="n">
        <v>2</v>
      </c>
      <c r="E210" s="5" t="n">
        <v>1</v>
      </c>
      <c r="F210" s="5" t="s">
        <v>1521</v>
      </c>
      <c r="G210" s="5"/>
      <c r="H210" s="5" t="s">
        <v>3233</v>
      </c>
      <c r="I210" s="5" t="s">
        <v>3444</v>
      </c>
    </row>
    <row r="211" customFormat="false" ht="15" hidden="false" customHeight="false" outlineLevel="0" collapsed="false">
      <c r="A211" s="5" t="s">
        <v>3214</v>
      </c>
      <c r="B211" s="5" t="s">
        <v>3545</v>
      </c>
      <c r="C211" s="5" t="n">
        <v>269</v>
      </c>
      <c r="D211" s="5" t="n">
        <v>1</v>
      </c>
      <c r="E211" s="5" t="n">
        <v>1</v>
      </c>
      <c r="F211" s="5" t="s">
        <v>1446</v>
      </c>
      <c r="G211" s="5"/>
      <c r="H211" s="5" t="s">
        <v>3213</v>
      </c>
      <c r="I211" s="5" t="s">
        <v>3444</v>
      </c>
    </row>
    <row r="212" customFormat="false" ht="15" hidden="false" customHeight="false" outlineLevel="0" collapsed="false">
      <c r="A212" s="5" t="s">
        <v>3206</v>
      </c>
      <c r="B212" s="5" t="s">
        <v>3545</v>
      </c>
      <c r="C212" s="5" t="n">
        <v>270.8</v>
      </c>
      <c r="D212" s="5" t="n">
        <v>1</v>
      </c>
      <c r="E212" s="5" t="n">
        <v>1</v>
      </c>
      <c r="F212" s="5" t="s">
        <v>1425</v>
      </c>
      <c r="G212" s="5"/>
      <c r="H212" s="5" t="s">
        <v>3205</v>
      </c>
      <c r="I212" s="5" t="s">
        <v>3444</v>
      </c>
    </row>
    <row r="213" customFormat="false" ht="15" hidden="false" customHeight="false" outlineLevel="0" collapsed="false">
      <c r="A213" s="5" t="s">
        <v>3230</v>
      </c>
      <c r="B213" s="5" t="s">
        <v>3545</v>
      </c>
      <c r="C213" s="5" t="n">
        <v>280.8</v>
      </c>
      <c r="D213" s="5" t="n">
        <v>1</v>
      </c>
      <c r="E213" s="5" t="n">
        <v>1</v>
      </c>
      <c r="F213" s="5" t="s">
        <v>1488</v>
      </c>
      <c r="G213" s="5"/>
      <c r="H213" s="5" t="s">
        <v>3229</v>
      </c>
      <c r="I213" s="5" t="s">
        <v>3444</v>
      </c>
    </row>
    <row r="214" customFormat="false" ht="15" hidden="false" customHeight="false" outlineLevel="0" collapsed="false">
      <c r="A214" s="5" t="s">
        <v>3078</v>
      </c>
      <c r="B214" s="5" t="s">
        <v>3545</v>
      </c>
      <c r="C214" s="5" t="n">
        <v>228.9</v>
      </c>
      <c r="D214" s="5" t="n">
        <v>1</v>
      </c>
      <c r="E214" s="5" t="n">
        <v>1</v>
      </c>
      <c r="F214" s="5" t="s">
        <v>1528</v>
      </c>
      <c r="G214" s="5"/>
      <c r="H214" s="5" t="s">
        <v>3077</v>
      </c>
      <c r="I214" s="5" t="s">
        <v>3444</v>
      </c>
    </row>
    <row r="215" customFormat="false" ht="15" hidden="false" customHeight="false" outlineLevel="0" collapsed="false">
      <c r="A215" s="5" t="s">
        <v>3115</v>
      </c>
      <c r="B215" s="5" t="s">
        <v>3545</v>
      </c>
      <c r="C215" s="5" t="n">
        <v>629.9</v>
      </c>
      <c r="D215" s="5" t="n">
        <v>2</v>
      </c>
      <c r="E215" s="5" t="n">
        <v>1</v>
      </c>
      <c r="F215" s="5" t="s">
        <v>1003</v>
      </c>
      <c r="G215" s="5"/>
      <c r="H215" s="5" t="s">
        <v>3113</v>
      </c>
      <c r="I215" s="5" t="s">
        <v>3444</v>
      </c>
    </row>
    <row r="216" customFormat="false" ht="15" hidden="false" customHeight="false" outlineLevel="0" collapsed="false">
      <c r="A216" s="5" t="s">
        <v>3204</v>
      </c>
      <c r="B216" s="5" t="s">
        <v>3545</v>
      </c>
      <c r="C216" s="5" t="n">
        <v>271.8</v>
      </c>
      <c r="D216" s="5" t="n">
        <v>1</v>
      </c>
      <c r="E216" s="5" t="n">
        <v>1</v>
      </c>
      <c r="F216" s="5" t="s">
        <v>1420</v>
      </c>
      <c r="G216" s="5"/>
      <c r="H216" s="5" t="s">
        <v>3203</v>
      </c>
      <c r="I216" s="5" t="s">
        <v>3444</v>
      </c>
    </row>
    <row r="217" customFormat="false" ht="15" hidden="false" customHeight="false" outlineLevel="0" collapsed="false">
      <c r="A217" s="5" t="s">
        <v>2966</v>
      </c>
      <c r="B217" s="5" t="s">
        <v>3545</v>
      </c>
      <c r="C217" s="5" t="n">
        <v>172.5</v>
      </c>
      <c r="D217" s="5" t="n">
        <v>2</v>
      </c>
      <c r="E217" s="5" t="n">
        <v>1</v>
      </c>
      <c r="F217" s="5" t="s">
        <v>163</v>
      </c>
      <c r="G217" s="5"/>
      <c r="H217" s="5" t="s">
        <v>2965</v>
      </c>
      <c r="I217" s="5" t="s">
        <v>3444</v>
      </c>
    </row>
    <row r="218" customFormat="false" ht="15" hidden="false" customHeight="false" outlineLevel="0" collapsed="false">
      <c r="A218" s="5" t="s">
        <v>2968</v>
      </c>
      <c r="B218" s="5" t="s">
        <v>3545</v>
      </c>
      <c r="C218" s="5" t="n">
        <v>171</v>
      </c>
      <c r="D218" s="5" t="n">
        <v>2</v>
      </c>
      <c r="E218" s="5" t="n">
        <v>1</v>
      </c>
      <c r="F218" s="5" t="s">
        <v>170</v>
      </c>
      <c r="G218" s="5"/>
      <c r="H218" s="5" t="s">
        <v>2967</v>
      </c>
      <c r="I218" s="5" t="s">
        <v>3444</v>
      </c>
    </row>
    <row r="219" customFormat="false" ht="15" hidden="false" customHeight="false" outlineLevel="0" collapsed="false">
      <c r="A219" s="5" t="s">
        <v>3002</v>
      </c>
      <c r="B219" s="5" t="s">
        <v>3545</v>
      </c>
      <c r="C219" s="5" t="n">
        <v>159.7</v>
      </c>
      <c r="D219" s="5" t="n">
        <v>2</v>
      </c>
      <c r="E219" s="5" t="n">
        <v>1</v>
      </c>
      <c r="F219" s="5" t="s">
        <v>292</v>
      </c>
      <c r="G219" s="5"/>
      <c r="H219" s="5" t="s">
        <v>3001</v>
      </c>
      <c r="I219" s="5" t="s">
        <v>3444</v>
      </c>
    </row>
    <row r="220" customFormat="false" ht="15" hidden="false" customHeight="false" outlineLevel="0" collapsed="false">
      <c r="A220" s="5" t="s">
        <v>3004</v>
      </c>
      <c r="B220" s="5" t="s">
        <v>3545</v>
      </c>
      <c r="C220" s="5" t="n">
        <v>181.3</v>
      </c>
      <c r="D220" s="5" t="n">
        <v>2</v>
      </c>
      <c r="E220" s="5" t="n">
        <v>1</v>
      </c>
      <c r="F220" s="5" t="s">
        <v>299</v>
      </c>
      <c r="G220" s="5"/>
      <c r="H220" s="5" t="s">
        <v>3003</v>
      </c>
      <c r="I220" s="5" t="s">
        <v>3444</v>
      </c>
    </row>
    <row r="221" customFormat="false" ht="15" hidden="false" customHeight="false" outlineLevel="0" collapsed="false">
      <c r="A221" s="5" t="s">
        <v>3143</v>
      </c>
      <c r="B221" s="5" t="s">
        <v>3545</v>
      </c>
      <c r="C221" s="5" t="n">
        <v>622.9</v>
      </c>
      <c r="D221" s="5" t="n">
        <v>2</v>
      </c>
      <c r="E221" s="5" t="n">
        <v>1</v>
      </c>
      <c r="F221" s="5" t="s">
        <v>1003</v>
      </c>
      <c r="G221" s="5"/>
      <c r="H221" s="5" t="s">
        <v>3141</v>
      </c>
      <c r="I221" s="5" t="s">
        <v>3444</v>
      </c>
    </row>
    <row r="222" customFormat="false" ht="15" hidden="false" customHeight="false" outlineLevel="0" collapsed="false">
      <c r="A222" s="5" t="s">
        <v>2945</v>
      </c>
      <c r="B222" s="5" t="s">
        <v>3545</v>
      </c>
      <c r="C222" s="5" t="n">
        <v>172.2</v>
      </c>
      <c r="D222" s="5" t="n">
        <v>2</v>
      </c>
      <c r="E222" s="5" t="n">
        <v>1</v>
      </c>
      <c r="F222" s="5" t="s">
        <v>90</v>
      </c>
      <c r="G222" s="5"/>
      <c r="H222" s="5" t="s">
        <v>2944</v>
      </c>
      <c r="I222" s="5" t="s">
        <v>3444</v>
      </c>
    </row>
    <row r="223" customFormat="false" ht="15" hidden="false" customHeight="false" outlineLevel="0" collapsed="false">
      <c r="A223" s="5" t="s">
        <v>2948</v>
      </c>
      <c r="B223" s="5" t="s">
        <v>3545</v>
      </c>
      <c r="C223" s="5" t="n">
        <v>172.4</v>
      </c>
      <c r="D223" s="5" t="n">
        <v>2</v>
      </c>
      <c r="E223" s="5" t="n">
        <v>1</v>
      </c>
      <c r="F223" s="5" t="s">
        <v>108</v>
      </c>
      <c r="G223" s="5"/>
      <c r="H223" s="5" t="s">
        <v>2947</v>
      </c>
      <c r="I223" s="5" t="s">
        <v>3444</v>
      </c>
    </row>
    <row r="224" customFormat="false" ht="15" hidden="false" customHeight="false" outlineLevel="0" collapsed="false">
      <c r="A224" s="5" t="s">
        <v>2962</v>
      </c>
      <c r="B224" s="5" t="s">
        <v>3545</v>
      </c>
      <c r="C224" s="5" t="n">
        <v>175.9</v>
      </c>
      <c r="D224" s="5" t="n">
        <v>2</v>
      </c>
      <c r="E224" s="5" t="n">
        <v>1</v>
      </c>
      <c r="F224" s="5" t="s">
        <v>152</v>
      </c>
      <c r="G224" s="5"/>
      <c r="H224" s="5" t="s">
        <v>2961</v>
      </c>
      <c r="I224" s="5" t="s">
        <v>3444</v>
      </c>
    </row>
    <row r="225" customFormat="false" ht="15" hidden="false" customHeight="false" outlineLevel="0" collapsed="false">
      <c r="A225" s="5" t="s">
        <v>2964</v>
      </c>
      <c r="B225" s="5" t="s">
        <v>3545</v>
      </c>
      <c r="C225" s="5" t="n">
        <v>172.3</v>
      </c>
      <c r="D225" s="5" t="n">
        <v>2</v>
      </c>
      <c r="E225" s="5" t="n">
        <v>1</v>
      </c>
      <c r="F225" s="5" t="s">
        <v>159</v>
      </c>
      <c r="G225" s="5"/>
      <c r="H225" s="5" t="s">
        <v>2963</v>
      </c>
      <c r="I225" s="5" t="s">
        <v>3444</v>
      </c>
    </row>
    <row r="226" customFormat="false" ht="15" hidden="false" customHeight="false" outlineLevel="0" collapsed="false">
      <c r="A226" s="5" t="s">
        <v>2970</v>
      </c>
      <c r="B226" s="5" t="s">
        <v>3545</v>
      </c>
      <c r="C226" s="5" t="n">
        <v>154</v>
      </c>
      <c r="D226" s="5" t="n">
        <v>2</v>
      </c>
      <c r="E226" s="5" t="n">
        <v>1</v>
      </c>
      <c r="F226" s="5" t="s">
        <v>176</v>
      </c>
      <c r="G226" s="5"/>
      <c r="H226" s="5" t="s">
        <v>2969</v>
      </c>
      <c r="I226" s="5" t="s">
        <v>3444</v>
      </c>
    </row>
    <row r="227" customFormat="false" ht="15" hidden="false" customHeight="false" outlineLevel="0" collapsed="false">
      <c r="A227" s="5" t="s">
        <v>2972</v>
      </c>
      <c r="B227" s="5" t="s">
        <v>3545</v>
      </c>
      <c r="C227" s="5" t="n">
        <v>163.7</v>
      </c>
      <c r="D227" s="5" t="n">
        <v>2</v>
      </c>
      <c r="E227" s="5" t="n">
        <v>1</v>
      </c>
      <c r="F227" s="5" t="s">
        <v>185</v>
      </c>
      <c r="G227" s="5"/>
      <c r="H227" s="5" t="s">
        <v>2971</v>
      </c>
      <c r="I227" s="5" t="s">
        <v>3444</v>
      </c>
    </row>
    <row r="228" customFormat="false" ht="15" hidden="false" customHeight="false" outlineLevel="0" collapsed="false">
      <c r="A228" s="5" t="s">
        <v>2974</v>
      </c>
      <c r="B228" s="5" t="s">
        <v>3545</v>
      </c>
      <c r="C228" s="5" t="n">
        <v>154.5</v>
      </c>
      <c r="D228" s="5" t="n">
        <v>2</v>
      </c>
      <c r="E228" s="5" t="n">
        <v>1</v>
      </c>
      <c r="F228" s="5" t="s">
        <v>192</v>
      </c>
      <c r="G228" s="5"/>
      <c r="H228" s="5" t="s">
        <v>2973</v>
      </c>
      <c r="I228" s="5" t="s">
        <v>3444</v>
      </c>
    </row>
    <row r="229" customFormat="false" ht="15" hidden="false" customHeight="false" outlineLevel="0" collapsed="false">
      <c r="A229" s="5" t="s">
        <v>2976</v>
      </c>
      <c r="B229" s="5" t="s">
        <v>3545</v>
      </c>
      <c r="C229" s="5" t="n">
        <v>165.8</v>
      </c>
      <c r="D229" s="5" t="n">
        <v>2</v>
      </c>
      <c r="E229" s="5" t="n">
        <v>1</v>
      </c>
      <c r="F229" s="5" t="s">
        <v>201</v>
      </c>
      <c r="G229" s="5"/>
      <c r="H229" s="5" t="s">
        <v>2975</v>
      </c>
      <c r="I229" s="5" t="s">
        <v>3444</v>
      </c>
    </row>
    <row r="230" customFormat="false" ht="15" hidden="false" customHeight="false" outlineLevel="0" collapsed="false">
      <c r="A230" s="5" t="s">
        <v>2978</v>
      </c>
      <c r="B230" s="5" t="s">
        <v>3545</v>
      </c>
      <c r="C230" s="5" t="n">
        <v>155.4</v>
      </c>
      <c r="D230" s="5" t="n">
        <v>2</v>
      </c>
      <c r="E230" s="5" t="n">
        <v>1</v>
      </c>
      <c r="F230" s="5" t="s">
        <v>207</v>
      </c>
      <c r="G230" s="5"/>
      <c r="H230" s="5" t="s">
        <v>2977</v>
      </c>
      <c r="I230" s="5" t="s">
        <v>3444</v>
      </c>
    </row>
    <row r="231" customFormat="false" ht="15" hidden="false" customHeight="false" outlineLevel="0" collapsed="false">
      <c r="A231" s="5" t="s">
        <v>2980</v>
      </c>
      <c r="B231" s="5" t="s">
        <v>3545</v>
      </c>
      <c r="C231" s="5" t="n">
        <v>165.7</v>
      </c>
      <c r="D231" s="5" t="n">
        <v>2</v>
      </c>
      <c r="E231" s="5" t="n">
        <v>1</v>
      </c>
      <c r="F231" s="5" t="s">
        <v>215</v>
      </c>
      <c r="G231" s="5"/>
      <c r="H231" s="5" t="s">
        <v>2979</v>
      </c>
      <c r="I231" s="5" t="s">
        <v>3444</v>
      </c>
    </row>
    <row r="232" customFormat="false" ht="15" hidden="false" customHeight="false" outlineLevel="0" collapsed="false">
      <c r="A232" s="5" t="s">
        <v>3147</v>
      </c>
      <c r="B232" s="5" t="s">
        <v>3545</v>
      </c>
      <c r="C232" s="5" t="n">
        <v>2269</v>
      </c>
      <c r="D232" s="5" t="n">
        <v>9</v>
      </c>
      <c r="E232" s="5" t="n">
        <v>4</v>
      </c>
      <c r="F232" s="5" t="s">
        <v>3470</v>
      </c>
      <c r="G232" s="5"/>
      <c r="H232" s="5" t="s">
        <v>3146</v>
      </c>
      <c r="I232" s="5" t="s">
        <v>3444</v>
      </c>
    </row>
    <row r="233" customFormat="false" ht="15" hidden="false" customHeight="false" outlineLevel="0" collapsed="false">
      <c r="A233" s="5" t="s">
        <v>3149</v>
      </c>
      <c r="B233" s="5" t="s">
        <v>3545</v>
      </c>
      <c r="C233" s="5" t="n">
        <v>1998.4</v>
      </c>
      <c r="D233" s="5" t="n">
        <v>8</v>
      </c>
      <c r="E233" s="5" t="n">
        <v>4</v>
      </c>
      <c r="F233" s="5" t="s">
        <v>3471</v>
      </c>
      <c r="G233" s="5"/>
      <c r="H233" s="5" t="s">
        <v>3148</v>
      </c>
      <c r="I233" s="5" t="s">
        <v>3444</v>
      </c>
    </row>
    <row r="234" customFormat="false" ht="15" hidden="false" customHeight="false" outlineLevel="0" collapsed="false">
      <c r="A234" s="5" t="s">
        <v>3210</v>
      </c>
      <c r="B234" s="5" t="s">
        <v>3545</v>
      </c>
      <c r="C234" s="5" t="n">
        <v>265.8</v>
      </c>
      <c r="D234" s="5" t="n">
        <v>1</v>
      </c>
      <c r="E234" s="5" t="n">
        <v>1</v>
      </c>
      <c r="F234" s="5" t="s">
        <v>1436</v>
      </c>
      <c r="G234" s="5"/>
      <c r="H234" s="5" t="s">
        <v>3209</v>
      </c>
      <c r="I234" s="5" t="s">
        <v>3444</v>
      </c>
    </row>
    <row r="235" customFormat="false" ht="15" hidden="false" customHeight="false" outlineLevel="0" collapsed="false">
      <c r="A235" s="5" t="s">
        <v>3228</v>
      </c>
      <c r="B235" s="5" t="s">
        <v>3545</v>
      </c>
      <c r="C235" s="5" t="n">
        <v>281.1</v>
      </c>
      <c r="D235" s="5" t="n">
        <v>1</v>
      </c>
      <c r="E235" s="5" t="n">
        <v>1</v>
      </c>
      <c r="F235" s="5" t="s">
        <v>1483</v>
      </c>
      <c r="G235" s="5"/>
      <c r="H235" s="5" t="s">
        <v>3227</v>
      </c>
      <c r="I235" s="5" t="s">
        <v>3444</v>
      </c>
    </row>
    <row r="236" customFormat="false" ht="15" hidden="false" customHeight="false" outlineLevel="0" collapsed="false">
      <c r="A236" s="5" t="s">
        <v>3224</v>
      </c>
      <c r="B236" s="5" t="s">
        <v>3545</v>
      </c>
      <c r="C236" s="5" t="n">
        <v>282.7</v>
      </c>
      <c r="D236" s="5" t="n">
        <v>1</v>
      </c>
      <c r="E236" s="5" t="n">
        <v>1</v>
      </c>
      <c r="F236" s="5" t="s">
        <v>1473</v>
      </c>
      <c r="G236" s="5"/>
      <c r="H236" s="5" t="s">
        <v>3223</v>
      </c>
      <c r="I236" s="5" t="s">
        <v>3444</v>
      </c>
    </row>
    <row r="237" customFormat="false" ht="15" hidden="false" customHeight="false" outlineLevel="0" collapsed="false">
      <c r="A237" s="5" t="s">
        <v>3232</v>
      </c>
      <c r="B237" s="5" t="s">
        <v>3545</v>
      </c>
      <c r="C237" s="5" t="n">
        <v>282.1</v>
      </c>
      <c r="D237" s="5" t="n">
        <v>1</v>
      </c>
      <c r="E237" s="5" t="n">
        <v>1</v>
      </c>
      <c r="F237" s="5" t="s">
        <v>1493</v>
      </c>
      <c r="G237" s="5"/>
      <c r="H237" s="5" t="s">
        <v>3231</v>
      </c>
      <c r="I237" s="5" t="s">
        <v>3444</v>
      </c>
    </row>
    <row r="238" customFormat="false" ht="15" hidden="false" customHeight="false" outlineLevel="0" collapsed="false">
      <c r="A238" s="5" t="s">
        <v>3208</v>
      </c>
      <c r="B238" s="5" t="s">
        <v>3545</v>
      </c>
      <c r="C238" s="5" t="n">
        <v>269.8</v>
      </c>
      <c r="D238" s="5" t="n">
        <v>1</v>
      </c>
      <c r="E238" s="5" t="n">
        <v>1</v>
      </c>
      <c r="F238" s="5" t="s">
        <v>1430</v>
      </c>
      <c r="G238" s="5"/>
      <c r="H238" s="5" t="s">
        <v>3207</v>
      </c>
      <c r="I238" s="5" t="s">
        <v>3444</v>
      </c>
    </row>
    <row r="239" customFormat="false" ht="15" hidden="false" customHeight="false" outlineLevel="0" collapsed="false">
      <c r="A239" s="5" t="s">
        <v>3212</v>
      </c>
      <c r="B239" s="5" t="s">
        <v>3545</v>
      </c>
      <c r="C239" s="5" t="n">
        <v>266.7</v>
      </c>
      <c r="D239" s="5" t="n">
        <v>1</v>
      </c>
      <c r="E239" s="5" t="n">
        <v>1</v>
      </c>
      <c r="F239" s="5" t="s">
        <v>1441</v>
      </c>
      <c r="G239" s="5"/>
      <c r="H239" s="5" t="s">
        <v>3211</v>
      </c>
      <c r="I239" s="5" t="s">
        <v>3444</v>
      </c>
    </row>
    <row r="240" customFormat="false" ht="15" hidden="false" customHeight="false" outlineLevel="0" collapsed="false">
      <c r="A240" s="5" t="s">
        <v>2958</v>
      </c>
      <c r="B240" s="5" t="s">
        <v>3545</v>
      </c>
      <c r="C240" s="5" t="n">
        <v>179.4</v>
      </c>
      <c r="D240" s="5" t="n">
        <v>2</v>
      </c>
      <c r="E240" s="5" t="n">
        <v>1</v>
      </c>
      <c r="F240" s="5" t="s">
        <v>141</v>
      </c>
      <c r="G240" s="5"/>
      <c r="H240" s="5" t="s">
        <v>2957</v>
      </c>
      <c r="I240" s="5" t="s">
        <v>3444</v>
      </c>
    </row>
    <row r="241" customFormat="false" ht="15" hidden="false" customHeight="false" outlineLevel="0" collapsed="false">
      <c r="A241" s="5" t="s">
        <v>2960</v>
      </c>
      <c r="B241" s="5" t="s">
        <v>3545</v>
      </c>
      <c r="C241" s="5" t="n">
        <v>171.8</v>
      </c>
      <c r="D241" s="5" t="n">
        <v>2</v>
      </c>
      <c r="E241" s="5" t="n">
        <v>1</v>
      </c>
      <c r="F241" s="5" t="s">
        <v>147</v>
      </c>
      <c r="G241" s="5"/>
      <c r="H241" s="5" t="s">
        <v>2959</v>
      </c>
      <c r="I241" s="5" t="s">
        <v>3444</v>
      </c>
    </row>
    <row r="242" customFormat="false" ht="15" hidden="false" customHeight="false" outlineLevel="0" collapsed="false">
      <c r="A242" s="5" t="s">
        <v>3018</v>
      </c>
      <c r="B242" s="5" t="s">
        <v>3545</v>
      </c>
      <c r="C242" s="5" t="n">
        <v>164</v>
      </c>
      <c r="D242" s="5" t="n">
        <v>2</v>
      </c>
      <c r="E242" s="5" t="n">
        <v>1</v>
      </c>
      <c r="F242" s="5" t="s">
        <v>338</v>
      </c>
      <c r="G242" s="5"/>
      <c r="H242" s="5" t="s">
        <v>3017</v>
      </c>
      <c r="I242" s="5" t="s">
        <v>3444</v>
      </c>
    </row>
    <row r="243" customFormat="false" ht="15" hidden="false" customHeight="false" outlineLevel="0" collapsed="false">
      <c r="A243" s="5" t="s">
        <v>3020</v>
      </c>
      <c r="B243" s="5" t="s">
        <v>3545</v>
      </c>
      <c r="C243" s="5" t="n">
        <v>180.6</v>
      </c>
      <c r="D243" s="5" t="n">
        <v>2</v>
      </c>
      <c r="E243" s="5" t="n">
        <v>1</v>
      </c>
      <c r="F243" s="5" t="s">
        <v>345</v>
      </c>
      <c r="G243" s="5"/>
      <c r="H243" s="5" t="s">
        <v>3019</v>
      </c>
      <c r="I243" s="5" t="s">
        <v>3444</v>
      </c>
    </row>
    <row r="244" customFormat="false" ht="15" hidden="false" customHeight="false" outlineLevel="0" collapsed="false">
      <c r="A244" s="5" t="s">
        <v>3159</v>
      </c>
      <c r="B244" s="5" t="s">
        <v>3545</v>
      </c>
      <c r="C244" s="5" t="n">
        <v>631.9</v>
      </c>
      <c r="D244" s="5" t="n">
        <v>2</v>
      </c>
      <c r="E244" s="5" t="n">
        <v>1</v>
      </c>
      <c r="F244" s="5" t="s">
        <v>1003</v>
      </c>
      <c r="G244" s="5"/>
      <c r="H244" s="5" t="s">
        <v>3157</v>
      </c>
      <c r="I244" s="5" t="s">
        <v>3444</v>
      </c>
    </row>
    <row r="245" customFormat="false" ht="15" hidden="false" customHeight="false" outlineLevel="0" collapsed="false">
      <c r="A245" s="5" t="s">
        <v>3182</v>
      </c>
      <c r="B245" s="5" t="s">
        <v>3545</v>
      </c>
      <c r="C245" s="5" t="n">
        <v>266.3</v>
      </c>
      <c r="D245" s="5" t="n">
        <v>1</v>
      </c>
      <c r="E245" s="5" t="n">
        <v>1</v>
      </c>
      <c r="F245" s="5" t="s">
        <v>1370</v>
      </c>
      <c r="G245" s="5"/>
      <c r="H245" s="5" t="s">
        <v>3181</v>
      </c>
      <c r="I245" s="5" t="s">
        <v>3444</v>
      </c>
    </row>
    <row r="246" customFormat="false" ht="15" hidden="false" customHeight="false" outlineLevel="0" collapsed="false">
      <c r="A246" s="5" t="s">
        <v>2982</v>
      </c>
      <c r="B246" s="5" t="s">
        <v>3545</v>
      </c>
      <c r="C246" s="5" t="n">
        <v>153.2</v>
      </c>
      <c r="D246" s="5" t="n">
        <v>2</v>
      </c>
      <c r="E246" s="5" t="n">
        <v>1</v>
      </c>
      <c r="F246" s="5" t="s">
        <v>223</v>
      </c>
      <c r="G246" s="5"/>
      <c r="H246" s="5" t="s">
        <v>2981</v>
      </c>
      <c r="I246" s="5" t="s">
        <v>3444</v>
      </c>
    </row>
    <row r="247" customFormat="false" ht="15" hidden="false" customHeight="false" outlineLevel="0" collapsed="false">
      <c r="A247" s="5" t="s">
        <v>2984</v>
      </c>
      <c r="B247" s="5" t="s">
        <v>3545</v>
      </c>
      <c r="C247" s="5" t="n">
        <v>165.8</v>
      </c>
      <c r="D247" s="5" t="n">
        <v>2</v>
      </c>
      <c r="E247" s="5" t="n">
        <v>1</v>
      </c>
      <c r="F247" s="5" t="s">
        <v>232</v>
      </c>
      <c r="G247" s="5"/>
      <c r="H247" s="5" t="s">
        <v>2983</v>
      </c>
      <c r="I247" s="5" t="s">
        <v>3444</v>
      </c>
    </row>
    <row r="248" customFormat="false" ht="15" hidden="false" customHeight="false" outlineLevel="0" collapsed="false">
      <c r="A248" s="5" t="s">
        <v>3166</v>
      </c>
      <c r="B248" s="5" t="s">
        <v>3545</v>
      </c>
      <c r="C248" s="5" t="n">
        <v>2551.6</v>
      </c>
      <c r="D248" s="5" t="n">
        <v>10</v>
      </c>
      <c r="E248" s="5" t="n">
        <v>4</v>
      </c>
      <c r="F248" s="5" t="s">
        <v>3479</v>
      </c>
      <c r="G248" s="5"/>
      <c r="H248" s="5" t="s">
        <v>3165</v>
      </c>
      <c r="I248" s="5" t="s">
        <v>3444</v>
      </c>
    </row>
    <row r="249" customFormat="false" ht="15" hidden="false" customHeight="false" outlineLevel="0" collapsed="false">
      <c r="A249" s="5" t="s">
        <v>2807</v>
      </c>
      <c r="B249" s="5" t="s">
        <v>3545</v>
      </c>
      <c r="C249" s="5" t="n">
        <v>1367.9</v>
      </c>
      <c r="D249" s="5" t="n">
        <v>6</v>
      </c>
      <c r="E249" s="5" t="n">
        <v>3</v>
      </c>
      <c r="F249" s="5" t="s">
        <v>3454</v>
      </c>
      <c r="G249" s="5" t="s">
        <v>800</v>
      </c>
      <c r="H249" s="5" t="s">
        <v>3117</v>
      </c>
      <c r="I249" s="5" t="s">
        <v>3444</v>
      </c>
    </row>
    <row r="250" customFormat="false" ht="15" hidden="false" customHeight="false" outlineLevel="0" collapsed="false">
      <c r="A250" s="5" t="s">
        <v>2994</v>
      </c>
      <c r="B250" s="5" t="s">
        <v>3545</v>
      </c>
      <c r="C250" s="5" t="n">
        <v>163.4</v>
      </c>
      <c r="D250" s="5" t="n">
        <v>2</v>
      </c>
      <c r="E250" s="5" t="n">
        <v>1</v>
      </c>
      <c r="F250" s="5" t="s">
        <v>268</v>
      </c>
      <c r="G250" s="5"/>
      <c r="H250" s="5" t="s">
        <v>2993</v>
      </c>
      <c r="I250" s="5" t="s">
        <v>3444</v>
      </c>
    </row>
    <row r="251" customFormat="false" ht="15" hidden="false" customHeight="false" outlineLevel="0" collapsed="false">
      <c r="A251" s="5" t="s">
        <v>2996</v>
      </c>
      <c r="B251" s="5" t="s">
        <v>3545</v>
      </c>
      <c r="C251" s="5" t="n">
        <v>183.9</v>
      </c>
      <c r="D251" s="5" t="n">
        <v>2</v>
      </c>
      <c r="E251" s="5" t="n">
        <v>1</v>
      </c>
      <c r="F251" s="5" t="s">
        <v>275</v>
      </c>
      <c r="G251" s="5"/>
      <c r="H251" s="5" t="s">
        <v>2995</v>
      </c>
      <c r="I251" s="5" t="s">
        <v>3444</v>
      </c>
    </row>
    <row r="252" customFormat="false" ht="15" hidden="false" customHeight="false" outlineLevel="0" collapsed="false">
      <c r="A252" s="5" t="s">
        <v>3129</v>
      </c>
      <c r="B252" s="5" t="s">
        <v>3545</v>
      </c>
      <c r="C252" s="5" t="n">
        <v>1489.5</v>
      </c>
      <c r="D252" s="5" t="n">
        <v>6</v>
      </c>
      <c r="E252" s="5" t="n">
        <v>3</v>
      </c>
      <c r="F252" s="5" t="s">
        <v>3460</v>
      </c>
      <c r="G252" s="5"/>
      <c r="H252" s="5" t="s">
        <v>3128</v>
      </c>
      <c r="I252" s="5" t="s">
        <v>3444</v>
      </c>
    </row>
    <row r="253" customFormat="false" ht="15" hidden="false" customHeight="false" outlineLevel="0" collapsed="false">
      <c r="A253" s="5" t="s">
        <v>2808</v>
      </c>
      <c r="B253" s="5" t="s">
        <v>3545</v>
      </c>
      <c r="C253" s="5" t="n">
        <v>1384.2</v>
      </c>
      <c r="D253" s="5" t="n">
        <v>6</v>
      </c>
      <c r="E253" s="5" t="n">
        <v>3</v>
      </c>
      <c r="F253" s="5" t="s">
        <v>3461</v>
      </c>
      <c r="G253" s="5" t="s">
        <v>800</v>
      </c>
      <c r="H253" s="5" t="s">
        <v>3130</v>
      </c>
      <c r="I253" s="5" t="s">
        <v>3444</v>
      </c>
    </row>
    <row r="254" customFormat="false" ht="15" hidden="false" customHeight="false" outlineLevel="0" collapsed="false">
      <c r="A254" s="5" t="s">
        <v>3184</v>
      </c>
      <c r="B254" s="5" t="s">
        <v>3545</v>
      </c>
      <c r="C254" s="5" t="n">
        <v>265.7</v>
      </c>
      <c r="D254" s="5" t="n">
        <v>1</v>
      </c>
      <c r="E254" s="5" t="n">
        <v>1</v>
      </c>
      <c r="F254" s="5" t="s">
        <v>1374</v>
      </c>
      <c r="G254" s="5"/>
      <c r="H254" s="5" t="s">
        <v>3183</v>
      </c>
      <c r="I254" s="5" t="s">
        <v>3444</v>
      </c>
    </row>
    <row r="255" customFormat="false" ht="15" hidden="false" customHeight="false" outlineLevel="0" collapsed="false">
      <c r="A255" s="5" t="s">
        <v>3186</v>
      </c>
      <c r="B255" s="5" t="s">
        <v>3545</v>
      </c>
      <c r="C255" s="5" t="n">
        <v>267.7</v>
      </c>
      <c r="D255" s="5" t="n">
        <v>1</v>
      </c>
      <c r="E255" s="5" t="n">
        <v>1</v>
      </c>
      <c r="F255" s="5" t="s">
        <v>1378</v>
      </c>
      <c r="G255" s="5"/>
      <c r="H255" s="5" t="s">
        <v>3185</v>
      </c>
      <c r="I255" s="5" t="s">
        <v>3444</v>
      </c>
    </row>
    <row r="256" customFormat="false" ht="15" hidden="false" customHeight="false" outlineLevel="0" collapsed="false">
      <c r="A256" s="5" t="s">
        <v>3200</v>
      </c>
      <c r="B256" s="5" t="s">
        <v>3545</v>
      </c>
      <c r="C256" s="5" t="n">
        <v>271.9</v>
      </c>
      <c r="D256" s="5" t="n">
        <v>1</v>
      </c>
      <c r="E256" s="5" t="n">
        <v>1</v>
      </c>
      <c r="F256" s="5" t="s">
        <v>1411</v>
      </c>
      <c r="G256" s="5"/>
      <c r="H256" s="5" t="s">
        <v>3199</v>
      </c>
      <c r="I256" s="5" t="s">
        <v>3444</v>
      </c>
    </row>
    <row r="257" customFormat="false" ht="15" hidden="false" customHeight="false" outlineLevel="0" collapsed="false">
      <c r="A257" s="5" t="s">
        <v>2809</v>
      </c>
      <c r="B257" s="5" t="s">
        <v>3545</v>
      </c>
      <c r="C257" s="5" t="n">
        <v>1304.5</v>
      </c>
      <c r="D257" s="5" t="n">
        <v>6</v>
      </c>
      <c r="E257" s="5" t="n">
        <v>3</v>
      </c>
      <c r="F257" s="5" t="s">
        <v>3472</v>
      </c>
      <c r="G257" s="5" t="s">
        <v>800</v>
      </c>
      <c r="H257" s="5" t="s">
        <v>3150</v>
      </c>
      <c r="I257" s="5" t="s">
        <v>3444</v>
      </c>
    </row>
    <row r="258" customFormat="false" ht="15" hidden="false" customHeight="false" outlineLevel="0" collapsed="false">
      <c r="A258" s="5" t="s">
        <v>2810</v>
      </c>
      <c r="B258" s="5" t="s">
        <v>3545</v>
      </c>
      <c r="C258" s="5" t="n">
        <v>1347.9</v>
      </c>
      <c r="D258" s="5" t="n">
        <v>6</v>
      </c>
      <c r="E258" s="5" t="n">
        <v>3</v>
      </c>
      <c r="F258" s="5" t="s">
        <v>3476</v>
      </c>
      <c r="G258" s="5" t="s">
        <v>800</v>
      </c>
      <c r="H258" s="5" t="s">
        <v>3160</v>
      </c>
      <c r="I258" s="5" t="s">
        <v>3444</v>
      </c>
    </row>
    <row r="259" customFormat="false" ht="15" hidden="false" customHeight="false" outlineLevel="0" collapsed="false">
      <c r="A259" s="5" t="s">
        <v>3006</v>
      </c>
      <c r="B259" s="5" t="s">
        <v>3545</v>
      </c>
      <c r="C259" s="5" t="n">
        <v>162.8</v>
      </c>
      <c r="D259" s="5" t="n">
        <v>2</v>
      </c>
      <c r="E259" s="5" t="n">
        <v>1</v>
      </c>
      <c r="F259" s="5" t="s">
        <v>304</v>
      </c>
      <c r="G259" s="5"/>
      <c r="H259" s="5" t="s">
        <v>3005</v>
      </c>
      <c r="I259" s="5" t="s">
        <v>3444</v>
      </c>
    </row>
    <row r="260" customFormat="false" ht="15" hidden="false" customHeight="false" outlineLevel="0" collapsed="false">
      <c r="A260" s="5" t="s">
        <v>3008</v>
      </c>
      <c r="B260" s="5" t="s">
        <v>3545</v>
      </c>
      <c r="C260" s="5" t="n">
        <v>181.5</v>
      </c>
      <c r="D260" s="5" t="n">
        <v>2</v>
      </c>
      <c r="E260" s="5" t="n">
        <v>1</v>
      </c>
      <c r="F260" s="5" t="s">
        <v>311</v>
      </c>
      <c r="G260" s="5"/>
      <c r="H260" s="5" t="s">
        <v>3007</v>
      </c>
      <c r="I260" s="5" t="s">
        <v>3444</v>
      </c>
    </row>
    <row r="261" customFormat="false" ht="15" hidden="false" customHeight="false" outlineLevel="0" collapsed="false">
      <c r="A261" s="5" t="s">
        <v>3145</v>
      </c>
      <c r="B261" s="5" t="s">
        <v>3545</v>
      </c>
      <c r="C261" s="5" t="n">
        <v>1418.1</v>
      </c>
      <c r="D261" s="5" t="n">
        <v>6</v>
      </c>
      <c r="E261" s="5" t="n">
        <v>3</v>
      </c>
      <c r="F261" s="5" t="s">
        <v>3469</v>
      </c>
      <c r="G261" s="5"/>
      <c r="H261" s="5" t="s">
        <v>3144</v>
      </c>
      <c r="I261" s="5" t="s">
        <v>3444</v>
      </c>
    </row>
    <row r="262" customFormat="false" ht="15" hidden="false" customHeight="false" outlineLevel="0" collapsed="false">
      <c r="A262" s="5" t="s">
        <v>3022</v>
      </c>
      <c r="B262" s="5" t="s">
        <v>3545</v>
      </c>
      <c r="C262" s="5" t="n">
        <v>161.8</v>
      </c>
      <c r="D262" s="5" t="n">
        <v>2</v>
      </c>
      <c r="E262" s="5" t="n">
        <v>1</v>
      </c>
      <c r="F262" s="5" t="s">
        <v>350</v>
      </c>
      <c r="G262" s="5"/>
      <c r="H262" s="5" t="s">
        <v>3021</v>
      </c>
      <c r="I262" s="5" t="s">
        <v>3444</v>
      </c>
    </row>
    <row r="263" customFormat="false" ht="15" hidden="false" customHeight="false" outlineLevel="0" collapsed="false">
      <c r="A263" s="5" t="s">
        <v>3024</v>
      </c>
      <c r="B263" s="5" t="s">
        <v>3545</v>
      </c>
      <c r="C263" s="5" t="n">
        <v>181.4</v>
      </c>
      <c r="D263" s="5" t="n">
        <v>2</v>
      </c>
      <c r="E263" s="5" t="n">
        <v>1</v>
      </c>
      <c r="F263" s="5" t="s">
        <v>356</v>
      </c>
      <c r="G263" s="5"/>
      <c r="H263" s="5" t="s">
        <v>3023</v>
      </c>
      <c r="I263" s="5" t="s">
        <v>3444</v>
      </c>
    </row>
    <row r="264" customFormat="false" ht="15" hidden="false" customHeight="false" outlineLevel="0" collapsed="false">
      <c r="A264" s="5" t="s">
        <v>3162</v>
      </c>
      <c r="B264" s="5" t="s">
        <v>3545</v>
      </c>
      <c r="C264" s="5" t="n">
        <v>1532.1</v>
      </c>
      <c r="D264" s="5" t="n">
        <v>6</v>
      </c>
      <c r="E264" s="5" t="n">
        <v>3</v>
      </c>
      <c r="F264" s="5" t="s">
        <v>3477</v>
      </c>
      <c r="G264" s="5"/>
      <c r="H264" s="5" t="s">
        <v>3161</v>
      </c>
      <c r="I264" s="5" t="s">
        <v>3444</v>
      </c>
    </row>
    <row r="265" customFormat="false" ht="15" hidden="false" customHeight="false" outlineLevel="0" collapsed="false">
      <c r="A265" s="5" t="s">
        <v>3132</v>
      </c>
      <c r="B265" s="5" t="s">
        <v>3545</v>
      </c>
      <c r="C265" s="5" t="n">
        <v>1490.2</v>
      </c>
      <c r="D265" s="5" t="n">
        <v>6</v>
      </c>
      <c r="E265" s="5" t="n">
        <v>3</v>
      </c>
      <c r="F265" s="5" t="s">
        <v>3464</v>
      </c>
      <c r="G265" s="5"/>
      <c r="H265" s="5" t="s">
        <v>3131</v>
      </c>
      <c r="I265" s="5" t="s">
        <v>3444</v>
      </c>
    </row>
    <row r="266" customFormat="false" ht="15" hidden="false" customHeight="false" outlineLevel="0" collapsed="false">
      <c r="A266" s="5" t="s">
        <v>3188</v>
      </c>
      <c r="B266" s="5" t="s">
        <v>3545</v>
      </c>
      <c r="C266" s="5" t="n">
        <v>266.5</v>
      </c>
      <c r="D266" s="5" t="n">
        <v>1</v>
      </c>
      <c r="E266" s="5" t="n">
        <v>1</v>
      </c>
      <c r="F266" s="5" t="s">
        <v>1382</v>
      </c>
      <c r="G266" s="5"/>
      <c r="H266" s="5" t="s">
        <v>3187</v>
      </c>
      <c r="I266" s="5" t="s">
        <v>3444</v>
      </c>
    </row>
    <row r="267" customFormat="false" ht="15" hidden="false" customHeight="false" outlineLevel="0" collapsed="false">
      <c r="A267" s="5" t="s">
        <v>3190</v>
      </c>
      <c r="B267" s="5" t="s">
        <v>3545</v>
      </c>
      <c r="C267" s="5" t="n">
        <v>268.7</v>
      </c>
      <c r="D267" s="5" t="n">
        <v>1</v>
      </c>
      <c r="E267" s="5" t="n">
        <v>1</v>
      </c>
      <c r="F267" s="5" t="s">
        <v>1386</v>
      </c>
      <c r="G267" s="5"/>
      <c r="H267" s="5" t="s">
        <v>3189</v>
      </c>
      <c r="I267" s="5" t="s">
        <v>3444</v>
      </c>
    </row>
    <row r="268" customFormat="false" ht="15" hidden="false" customHeight="false" outlineLevel="0" collapsed="false">
      <c r="A268" s="5" t="s">
        <v>3202</v>
      </c>
      <c r="B268" s="5" t="s">
        <v>3545</v>
      </c>
      <c r="C268" s="5" t="n">
        <v>273.2</v>
      </c>
      <c r="D268" s="5" t="n">
        <v>1</v>
      </c>
      <c r="E268" s="5" t="n">
        <v>1</v>
      </c>
      <c r="F268" s="5" t="s">
        <v>1416</v>
      </c>
      <c r="G268" s="5"/>
      <c r="H268" s="5" t="s">
        <v>3201</v>
      </c>
      <c r="I268" s="5" t="s">
        <v>3444</v>
      </c>
    </row>
    <row r="269" customFormat="false" ht="15" hidden="false" customHeight="false" outlineLevel="0" collapsed="false">
      <c r="A269" s="5" t="s">
        <v>3164</v>
      </c>
      <c r="B269" s="5" t="s">
        <v>3545</v>
      </c>
      <c r="C269" s="5" t="n">
        <v>1516.2</v>
      </c>
      <c r="D269" s="5" t="n">
        <v>6</v>
      </c>
      <c r="E269" s="5" t="n">
        <v>3</v>
      </c>
      <c r="F269" s="5" t="s">
        <v>3478</v>
      </c>
      <c r="G269" s="5"/>
      <c r="H269" s="5" t="s">
        <v>3163</v>
      </c>
      <c r="I269" s="5" t="s">
        <v>3444</v>
      </c>
    </row>
    <row r="270" customFormat="false" ht="15" hidden="false" customHeight="false" outlineLevel="0" collapsed="false">
      <c r="A270" s="5" t="s">
        <v>3066</v>
      </c>
      <c r="B270" s="5" t="s">
        <v>3545</v>
      </c>
      <c r="C270" s="5" t="n">
        <v>163.6</v>
      </c>
      <c r="D270" s="5" t="n">
        <v>2</v>
      </c>
      <c r="E270" s="5" t="n">
        <v>1</v>
      </c>
      <c r="F270" s="5" t="s">
        <v>473</v>
      </c>
      <c r="G270" s="5"/>
      <c r="H270" s="5" t="s">
        <v>3065</v>
      </c>
      <c r="I270" s="5" t="s">
        <v>3444</v>
      </c>
    </row>
    <row r="271" customFormat="false" ht="15" hidden="false" customHeight="false" outlineLevel="0" collapsed="false">
      <c r="A271" s="5" t="s">
        <v>3068</v>
      </c>
      <c r="B271" s="5" t="s">
        <v>3545</v>
      </c>
      <c r="C271" s="5" t="n">
        <v>181.5</v>
      </c>
      <c r="D271" s="5" t="n">
        <v>2</v>
      </c>
      <c r="E271" s="5" t="n">
        <v>1</v>
      </c>
      <c r="F271" s="5" t="s">
        <v>479</v>
      </c>
      <c r="G271" s="5"/>
      <c r="H271" s="5" t="s">
        <v>3067</v>
      </c>
      <c r="I271" s="5" t="s">
        <v>3444</v>
      </c>
    </row>
    <row r="272" customFormat="false" ht="15" hidden="false" customHeight="false" outlineLevel="0" collapsed="false">
      <c r="A272" s="5" t="s">
        <v>2811</v>
      </c>
      <c r="B272" s="5" t="s">
        <v>3545</v>
      </c>
      <c r="C272" s="5" t="n">
        <v>1341.6</v>
      </c>
      <c r="D272" s="5" t="n">
        <v>6</v>
      </c>
      <c r="E272" s="5" t="n">
        <v>3</v>
      </c>
      <c r="F272" s="5" t="s">
        <v>3453</v>
      </c>
      <c r="G272" s="5" t="s">
        <v>800</v>
      </c>
      <c r="H272" s="5" t="s">
        <v>3116</v>
      </c>
      <c r="I272" s="5" t="s">
        <v>3444</v>
      </c>
    </row>
    <row r="273" customFormat="false" ht="15" hidden="false" customHeight="false" outlineLevel="0" collapsed="false">
      <c r="A273" s="5" t="s">
        <v>2812</v>
      </c>
      <c r="B273" s="5" t="s">
        <v>3545</v>
      </c>
      <c r="C273" s="5" t="n">
        <v>1539.3</v>
      </c>
      <c r="D273" s="5" t="n">
        <v>7</v>
      </c>
      <c r="E273" s="5" t="n">
        <v>4</v>
      </c>
      <c r="F273" s="5" t="s">
        <v>3459</v>
      </c>
      <c r="G273" s="5" t="s">
        <v>800</v>
      </c>
      <c r="H273" s="5" t="s">
        <v>3127</v>
      </c>
      <c r="I273" s="5" t="s">
        <v>3444</v>
      </c>
    </row>
    <row r="274" customFormat="false" ht="15" hidden="false" customHeight="false" outlineLevel="0" collapsed="false">
      <c r="A274" s="5" t="s">
        <v>3152</v>
      </c>
      <c r="B274" s="5" t="s">
        <v>3545</v>
      </c>
      <c r="C274" s="5" t="n">
        <v>1510.3</v>
      </c>
      <c r="D274" s="5" t="n">
        <v>6</v>
      </c>
      <c r="E274" s="5" t="n">
        <v>3</v>
      </c>
      <c r="F274" s="5" t="s">
        <v>3473</v>
      </c>
      <c r="G274" s="5"/>
      <c r="H274" s="5" t="s">
        <v>3151</v>
      </c>
      <c r="I274" s="5" t="s">
        <v>3444</v>
      </c>
    </row>
    <row r="275" customFormat="false" ht="15" hidden="false" customHeight="false" outlineLevel="0" collapsed="false">
      <c r="A275" s="5" t="s">
        <v>3088</v>
      </c>
      <c r="B275" s="5" t="s">
        <v>3545</v>
      </c>
      <c r="C275" s="5" t="n">
        <v>1511.9</v>
      </c>
      <c r="D275" s="5" t="n">
        <v>6</v>
      </c>
      <c r="E275" s="5" t="n">
        <v>3</v>
      </c>
      <c r="F275" s="5" t="s">
        <v>3437</v>
      </c>
      <c r="G275" s="5"/>
      <c r="H275" s="5" t="s">
        <v>3087</v>
      </c>
      <c r="I275" s="5" t="s">
        <v>3444</v>
      </c>
    </row>
    <row r="276" customFormat="false" ht="15" hidden="false" customHeight="false" outlineLevel="0" collapsed="false">
      <c r="A276" s="5" t="s">
        <v>3154</v>
      </c>
      <c r="B276" s="5" t="s">
        <v>3545</v>
      </c>
      <c r="C276" s="5" t="n">
        <v>1512.8</v>
      </c>
      <c r="D276" s="5" t="n">
        <v>6</v>
      </c>
      <c r="E276" s="5" t="n">
        <v>3</v>
      </c>
      <c r="F276" s="5" t="s">
        <v>3474</v>
      </c>
      <c r="G276" s="5"/>
      <c r="H276" s="5" t="s">
        <v>3153</v>
      </c>
      <c r="I276" s="5" t="s">
        <v>3444</v>
      </c>
    </row>
    <row r="277" customFormat="false" ht="15" hidden="false" customHeight="false" outlineLevel="0" collapsed="false">
      <c r="A277" s="5" t="s">
        <v>2990</v>
      </c>
      <c r="B277" s="5" t="s">
        <v>3545</v>
      </c>
      <c r="C277" s="5" t="n">
        <v>164.8</v>
      </c>
      <c r="D277" s="5" t="n">
        <v>2</v>
      </c>
      <c r="E277" s="5" t="n">
        <v>1</v>
      </c>
      <c r="F277" s="5" t="s">
        <v>257</v>
      </c>
      <c r="G277" s="5"/>
      <c r="H277" s="5" t="s">
        <v>2989</v>
      </c>
      <c r="I277" s="5" t="s">
        <v>3444</v>
      </c>
    </row>
    <row r="278" customFormat="false" ht="15" hidden="false" customHeight="false" outlineLevel="0" collapsed="false">
      <c r="A278" s="5" t="s">
        <v>2992</v>
      </c>
      <c r="B278" s="5" t="s">
        <v>3545</v>
      </c>
      <c r="C278" s="5" t="n">
        <v>183.1</v>
      </c>
      <c r="D278" s="5" t="n">
        <v>2</v>
      </c>
      <c r="E278" s="5" t="n">
        <v>1</v>
      </c>
      <c r="F278" s="5" t="s">
        <v>263</v>
      </c>
      <c r="G278" s="5"/>
      <c r="H278" s="5" t="s">
        <v>2991</v>
      </c>
      <c r="I278" s="5" t="s">
        <v>3444</v>
      </c>
    </row>
    <row r="279" customFormat="false" ht="15" hidden="false" customHeight="false" outlineLevel="0" collapsed="false">
      <c r="A279" s="5" t="s">
        <v>3120</v>
      </c>
      <c r="B279" s="5" t="s">
        <v>3545</v>
      </c>
      <c r="C279" s="5" t="n">
        <v>1519.9</v>
      </c>
      <c r="D279" s="5" t="n">
        <v>6</v>
      </c>
      <c r="E279" s="5" t="n">
        <v>3</v>
      </c>
      <c r="F279" s="5" t="s">
        <v>3455</v>
      </c>
      <c r="G279" s="5"/>
      <c r="H279" s="5" t="s">
        <v>3118</v>
      </c>
      <c r="I279" s="5" t="s">
        <v>3444</v>
      </c>
    </row>
    <row r="280" customFormat="false" ht="15" hidden="false" customHeight="false" outlineLevel="0" collapsed="false">
      <c r="A280" s="5" t="s">
        <v>3042</v>
      </c>
      <c r="B280" s="5" t="s">
        <v>3545</v>
      </c>
      <c r="C280" s="5" t="n">
        <v>166.2</v>
      </c>
      <c r="D280" s="5" t="n">
        <v>2</v>
      </c>
      <c r="E280" s="5" t="n">
        <v>1</v>
      </c>
      <c r="F280" s="5" t="s">
        <v>409</v>
      </c>
      <c r="G280" s="5"/>
      <c r="H280" s="5" t="s">
        <v>3041</v>
      </c>
      <c r="I280" s="5" t="s">
        <v>3444</v>
      </c>
    </row>
    <row r="281" customFormat="false" ht="15" hidden="false" customHeight="false" outlineLevel="0" collapsed="false">
      <c r="A281" s="5" t="s">
        <v>3044</v>
      </c>
      <c r="B281" s="5" t="s">
        <v>3545</v>
      </c>
      <c r="C281" s="5" t="n">
        <v>182.8</v>
      </c>
      <c r="D281" s="5" t="n">
        <v>2</v>
      </c>
      <c r="E281" s="5" t="n">
        <v>1</v>
      </c>
      <c r="F281" s="5" t="s">
        <v>415</v>
      </c>
      <c r="G281" s="5"/>
      <c r="H281" s="5" t="s">
        <v>3043</v>
      </c>
      <c r="I281" s="5" t="s">
        <v>3444</v>
      </c>
    </row>
    <row r="282" customFormat="false" ht="15" hidden="false" customHeight="false" outlineLevel="0" collapsed="false">
      <c r="A282" s="5" t="s">
        <v>3090</v>
      </c>
      <c r="B282" s="5" t="s">
        <v>3545</v>
      </c>
      <c r="C282" s="5" t="n">
        <v>1524.3</v>
      </c>
      <c r="D282" s="5" t="n">
        <v>6</v>
      </c>
      <c r="E282" s="5" t="n">
        <v>3</v>
      </c>
      <c r="F282" s="5" t="s">
        <v>3440</v>
      </c>
      <c r="G282" s="5"/>
      <c r="H282" s="5" t="s">
        <v>3089</v>
      </c>
      <c r="I282" s="5" t="s">
        <v>3444</v>
      </c>
    </row>
    <row r="283" customFormat="false" ht="15" hidden="false" customHeight="false" outlineLevel="0" collapsed="false">
      <c r="A283" s="5" t="s">
        <v>3092</v>
      </c>
      <c r="B283" s="5" t="s">
        <v>3545</v>
      </c>
      <c r="C283" s="5" t="n">
        <v>1516.8</v>
      </c>
      <c r="D283" s="5" t="n">
        <v>6</v>
      </c>
      <c r="E283" s="5" t="n">
        <v>3</v>
      </c>
      <c r="F283" s="5" t="s">
        <v>3441</v>
      </c>
      <c r="G283" s="5"/>
      <c r="H283" s="5" t="s">
        <v>3091</v>
      </c>
      <c r="I283" s="5" t="s">
        <v>3444</v>
      </c>
    </row>
    <row r="284" customFormat="false" ht="15" hidden="false" customHeight="false" outlineLevel="0" collapsed="false">
      <c r="A284" s="5" t="s">
        <v>3140</v>
      </c>
      <c r="B284" s="5" t="s">
        <v>3545</v>
      </c>
      <c r="C284" s="5" t="n">
        <v>1528.9</v>
      </c>
      <c r="D284" s="5" t="n">
        <v>6</v>
      </c>
      <c r="E284" s="5" t="n">
        <v>3</v>
      </c>
      <c r="F284" s="5" t="s">
        <v>3468</v>
      </c>
      <c r="G284" s="5"/>
      <c r="H284" s="5" t="s">
        <v>3139</v>
      </c>
      <c r="I284" s="5" t="s">
        <v>3444</v>
      </c>
    </row>
    <row r="285" customFormat="false" ht="15" hidden="false" customHeight="false" outlineLevel="0" collapsed="false">
      <c r="A285" s="5" t="s">
        <v>3084</v>
      </c>
      <c r="B285" s="5" t="s">
        <v>3545</v>
      </c>
      <c r="C285" s="5" t="n">
        <v>3632</v>
      </c>
      <c r="D285" s="5" t="n">
        <v>12</v>
      </c>
      <c r="E285" s="5" t="n">
        <v>6</v>
      </c>
      <c r="F285" s="5" t="s">
        <v>3435</v>
      </c>
      <c r="G285" s="5"/>
      <c r="H285" s="5" t="s">
        <v>3083</v>
      </c>
      <c r="I285" s="5" t="s">
        <v>3444</v>
      </c>
    </row>
    <row r="286" customFormat="false" ht="15" hidden="false" customHeight="false" outlineLevel="0" collapsed="false">
      <c r="A286" s="5" t="s">
        <v>3122</v>
      </c>
      <c r="B286" s="5" t="s">
        <v>3545</v>
      </c>
      <c r="C286" s="5" t="n">
        <v>1769.4</v>
      </c>
      <c r="D286" s="5" t="n">
        <v>7</v>
      </c>
      <c r="E286" s="5" t="n">
        <v>4</v>
      </c>
      <c r="F286" s="5" t="s">
        <v>3456</v>
      </c>
      <c r="G286" s="5"/>
      <c r="H286" s="5" t="s">
        <v>3121</v>
      </c>
      <c r="I286" s="5" t="s">
        <v>3444</v>
      </c>
    </row>
    <row r="287" customFormat="false" ht="15" hidden="false" customHeight="false" outlineLevel="0" collapsed="false">
      <c r="A287" s="5" t="s">
        <v>3192</v>
      </c>
      <c r="B287" s="5" t="s">
        <v>3545</v>
      </c>
      <c r="C287" s="5" t="n">
        <v>267.7</v>
      </c>
      <c r="D287" s="5" t="n">
        <v>1</v>
      </c>
      <c r="E287" s="5" t="n">
        <v>1</v>
      </c>
      <c r="F287" s="5" t="s">
        <v>1390</v>
      </c>
      <c r="G287" s="5"/>
      <c r="H287" s="5" t="s">
        <v>3191</v>
      </c>
      <c r="I287" s="5" t="s">
        <v>3444</v>
      </c>
    </row>
    <row r="288" customFormat="false" ht="15" hidden="false" customHeight="false" outlineLevel="0" collapsed="false">
      <c r="A288" s="5" t="s">
        <v>3194</v>
      </c>
      <c r="B288" s="5" t="s">
        <v>3545</v>
      </c>
      <c r="C288" s="5" t="n">
        <v>265</v>
      </c>
      <c r="D288" s="5" t="n">
        <v>1</v>
      </c>
      <c r="E288" s="5" t="n">
        <v>1</v>
      </c>
      <c r="F288" s="5" t="s">
        <v>1394</v>
      </c>
      <c r="G288" s="5"/>
      <c r="H288" s="5" t="s">
        <v>3193</v>
      </c>
      <c r="I288" s="5" t="s">
        <v>3444</v>
      </c>
    </row>
    <row r="289" customFormat="false" ht="15" hidden="false" customHeight="false" outlineLevel="0" collapsed="false">
      <c r="A289" s="5" t="s">
        <v>3196</v>
      </c>
      <c r="B289" s="5" t="s">
        <v>3545</v>
      </c>
      <c r="C289" s="5" t="n">
        <v>273.1</v>
      </c>
      <c r="D289" s="5" t="n">
        <v>1</v>
      </c>
      <c r="E289" s="5" t="n">
        <v>1</v>
      </c>
      <c r="F289" s="5" t="s">
        <v>1398</v>
      </c>
      <c r="G289" s="5"/>
      <c r="H289" s="5" t="s">
        <v>3195</v>
      </c>
      <c r="I289" s="5" t="s">
        <v>3444</v>
      </c>
    </row>
    <row r="290" customFormat="false" ht="15" hidden="false" customHeight="false" outlineLevel="0" collapsed="false">
      <c r="A290" s="5" t="s">
        <v>3198</v>
      </c>
      <c r="B290" s="5" t="s">
        <v>3545</v>
      </c>
      <c r="C290" s="5" t="n">
        <v>270.4</v>
      </c>
      <c r="D290" s="5" t="n">
        <v>1</v>
      </c>
      <c r="E290" s="5" t="n">
        <v>1</v>
      </c>
      <c r="F290" s="5" t="s">
        <v>1406</v>
      </c>
      <c r="G290" s="5"/>
      <c r="H290" s="5" t="s">
        <v>3197</v>
      </c>
      <c r="I290" s="5" t="s">
        <v>3444</v>
      </c>
    </row>
    <row r="291" customFormat="false" ht="15" hidden="false" customHeight="false" outlineLevel="0" collapsed="false">
      <c r="A291" s="5" t="s">
        <v>3046</v>
      </c>
      <c r="B291" s="5" t="s">
        <v>3545</v>
      </c>
      <c r="C291" s="5" t="n">
        <v>162.4</v>
      </c>
      <c r="D291" s="5" t="n">
        <v>2</v>
      </c>
      <c r="E291" s="5" t="n">
        <v>1</v>
      </c>
      <c r="F291" s="5" t="s">
        <v>419</v>
      </c>
      <c r="G291" s="5"/>
      <c r="H291" s="5" t="s">
        <v>3045</v>
      </c>
      <c r="I291" s="5" t="s">
        <v>3444</v>
      </c>
    </row>
    <row r="292" customFormat="false" ht="15" hidden="false" customHeight="false" outlineLevel="0" collapsed="false">
      <c r="A292" s="5" t="s">
        <v>3048</v>
      </c>
      <c r="B292" s="5" t="s">
        <v>3545</v>
      </c>
      <c r="C292" s="5" t="n">
        <v>180.3</v>
      </c>
      <c r="D292" s="5" t="n">
        <v>2</v>
      </c>
      <c r="E292" s="5" t="n">
        <v>1</v>
      </c>
      <c r="F292" s="5" t="s">
        <v>425</v>
      </c>
      <c r="G292" s="5"/>
      <c r="H292" s="5" t="s">
        <v>3047</v>
      </c>
      <c r="I292" s="5" t="s">
        <v>3444</v>
      </c>
    </row>
    <row r="293" customFormat="false" ht="15" hidden="false" customHeight="false" outlineLevel="0" collapsed="false">
      <c r="A293" s="5" t="s">
        <v>3094</v>
      </c>
      <c r="B293" s="5" t="s">
        <v>3545</v>
      </c>
      <c r="C293" s="5" t="n">
        <v>1527.1</v>
      </c>
      <c r="D293" s="5" t="n">
        <v>6</v>
      </c>
      <c r="E293" s="5" t="n">
        <v>3</v>
      </c>
      <c r="F293" s="5" t="s">
        <v>3442</v>
      </c>
      <c r="G293" s="5"/>
      <c r="H293" s="5" t="s">
        <v>3093</v>
      </c>
      <c r="I293" s="5" t="s">
        <v>3444</v>
      </c>
    </row>
    <row r="294" customFormat="false" ht="15" hidden="false" customHeight="false" outlineLevel="0" collapsed="false">
      <c r="A294" s="5" t="s">
        <v>3098</v>
      </c>
      <c r="B294" s="5" t="s">
        <v>3545</v>
      </c>
      <c r="C294" s="5" t="n">
        <v>1523.6</v>
      </c>
      <c r="D294" s="5" t="n">
        <v>6</v>
      </c>
      <c r="E294" s="5" t="n">
        <v>3</v>
      </c>
      <c r="F294" s="5" t="s">
        <v>3443</v>
      </c>
      <c r="G294" s="5"/>
      <c r="H294" s="5" t="s">
        <v>3095</v>
      </c>
      <c r="I294" s="5" t="s">
        <v>3444</v>
      </c>
    </row>
    <row r="295" customFormat="false" ht="15" hidden="false" customHeight="false" outlineLevel="0" collapsed="false">
      <c r="A295" s="5" t="s">
        <v>3102</v>
      </c>
      <c r="B295" s="5" t="s">
        <v>3545</v>
      </c>
      <c r="C295" s="5" t="n">
        <v>1586.2</v>
      </c>
      <c r="D295" s="5" t="n">
        <v>6</v>
      </c>
      <c r="E295" s="5" t="n">
        <v>3</v>
      </c>
      <c r="F295" s="5" t="s">
        <v>3445</v>
      </c>
      <c r="G295" s="5"/>
      <c r="H295" s="5" t="s">
        <v>3099</v>
      </c>
      <c r="I295" s="5" t="s">
        <v>3444</v>
      </c>
    </row>
    <row r="296" customFormat="false" ht="15" hidden="false" customHeight="false" outlineLevel="0" collapsed="false">
      <c r="A296" s="5" t="s">
        <v>3176</v>
      </c>
      <c r="B296" s="5" t="s">
        <v>3545</v>
      </c>
      <c r="C296" s="5" t="n">
        <v>1594.5</v>
      </c>
      <c r="D296" s="5" t="n">
        <v>6</v>
      </c>
      <c r="E296" s="5" t="n">
        <v>3</v>
      </c>
      <c r="F296" s="5" t="s">
        <v>3543</v>
      </c>
      <c r="G296" s="5"/>
      <c r="H296" s="5" t="s">
        <v>3173</v>
      </c>
      <c r="I296" s="5" t="s">
        <v>3444</v>
      </c>
    </row>
    <row r="297" customFormat="false" ht="15" hidden="false" customHeight="false" outlineLevel="0" collapsed="false">
      <c r="A297" s="5" t="s">
        <v>3168</v>
      </c>
      <c r="B297" s="5" t="s">
        <v>3545</v>
      </c>
      <c r="C297" s="5" t="n">
        <v>1589.9</v>
      </c>
      <c r="D297" s="5" t="n">
        <v>6</v>
      </c>
      <c r="E297" s="5" t="n">
        <v>3</v>
      </c>
      <c r="F297" s="5" t="s">
        <v>3540</v>
      </c>
      <c r="G297" s="5"/>
      <c r="H297" s="5" t="s">
        <v>3167</v>
      </c>
      <c r="I297" s="5" t="s">
        <v>3444</v>
      </c>
    </row>
    <row r="298" customFormat="false" ht="15" hidden="false" customHeight="false" outlineLevel="0" collapsed="false">
      <c r="A298" s="5" t="s">
        <v>3112</v>
      </c>
      <c r="B298" s="5" t="s">
        <v>3545</v>
      </c>
      <c r="C298" s="5" t="n">
        <v>1575.3</v>
      </c>
      <c r="D298" s="5" t="n">
        <v>6</v>
      </c>
      <c r="E298" s="5" t="n">
        <v>3</v>
      </c>
      <c r="F298" s="5" t="s">
        <v>3452</v>
      </c>
      <c r="G298" s="5"/>
      <c r="H298" s="5" t="s">
        <v>3111</v>
      </c>
      <c r="I298" s="5" t="s">
        <v>3444</v>
      </c>
    </row>
    <row r="299" customFormat="false" ht="15" hidden="false" customHeight="false" outlineLevel="0" collapsed="false">
      <c r="A299" s="5" t="s">
        <v>3124</v>
      </c>
      <c r="B299" s="5" t="s">
        <v>3545</v>
      </c>
      <c r="C299" s="5" t="n">
        <v>1570.8</v>
      </c>
      <c r="D299" s="5" t="n">
        <v>6</v>
      </c>
      <c r="E299" s="5" t="n">
        <v>3</v>
      </c>
      <c r="F299" s="5" t="s">
        <v>3457</v>
      </c>
      <c r="G299" s="5"/>
      <c r="H299" s="5" t="s">
        <v>3123</v>
      </c>
      <c r="I299" s="5" t="s">
        <v>3444</v>
      </c>
    </row>
    <row r="300" customFormat="false" ht="15" hidden="false" customHeight="false" outlineLevel="0" collapsed="false">
      <c r="A300" s="5" t="s">
        <v>3126</v>
      </c>
      <c r="B300" s="5" t="s">
        <v>3545</v>
      </c>
      <c r="C300" s="5" t="n">
        <v>1578</v>
      </c>
      <c r="D300" s="5" t="n">
        <v>6</v>
      </c>
      <c r="E300" s="5" t="n">
        <v>3</v>
      </c>
      <c r="F300" s="5" t="s">
        <v>3458</v>
      </c>
      <c r="G300" s="5"/>
      <c r="H300" s="5" t="s">
        <v>3125</v>
      </c>
      <c r="I300" s="5" t="s">
        <v>3444</v>
      </c>
    </row>
    <row r="301" customFormat="false" ht="15" hidden="false" customHeight="false" outlineLevel="0" collapsed="false">
      <c r="A301" s="5" t="s">
        <v>3134</v>
      </c>
      <c r="B301" s="5" t="s">
        <v>3545</v>
      </c>
      <c r="C301" s="5" t="n">
        <v>1582.9</v>
      </c>
      <c r="D301" s="5" t="n">
        <v>6</v>
      </c>
      <c r="E301" s="5" t="n">
        <v>3</v>
      </c>
      <c r="F301" s="5" t="s">
        <v>3465</v>
      </c>
      <c r="G301" s="5"/>
      <c r="H301" s="5" t="s">
        <v>3133</v>
      </c>
      <c r="I301" s="5" t="s">
        <v>3444</v>
      </c>
    </row>
    <row r="302" customFormat="false" ht="15" hidden="false" customHeight="false" outlineLevel="0" collapsed="false">
      <c r="A302" s="5" t="s">
        <v>2998</v>
      </c>
      <c r="B302" s="5" t="s">
        <v>3545</v>
      </c>
      <c r="C302" s="5" t="n">
        <v>160.6</v>
      </c>
      <c r="D302" s="5" t="n">
        <v>2</v>
      </c>
      <c r="E302" s="5" t="n">
        <v>1</v>
      </c>
      <c r="F302" s="5" t="s">
        <v>280</v>
      </c>
      <c r="G302" s="5"/>
      <c r="H302" s="5" t="s">
        <v>2997</v>
      </c>
      <c r="I302" s="5" t="s">
        <v>3444</v>
      </c>
    </row>
    <row r="303" customFormat="false" ht="15" hidden="false" customHeight="false" outlineLevel="0" collapsed="false">
      <c r="A303" s="5" t="s">
        <v>3000</v>
      </c>
      <c r="B303" s="5" t="s">
        <v>3545</v>
      </c>
      <c r="C303" s="5" t="n">
        <v>181.2</v>
      </c>
      <c r="D303" s="5" t="n">
        <v>2</v>
      </c>
      <c r="E303" s="5" t="n">
        <v>1</v>
      </c>
      <c r="F303" s="5" t="s">
        <v>286</v>
      </c>
      <c r="G303" s="5"/>
      <c r="H303" s="5" t="s">
        <v>2999</v>
      </c>
      <c r="I303" s="5" t="s">
        <v>3444</v>
      </c>
    </row>
    <row r="304" customFormat="false" ht="15" hidden="false" customHeight="false" outlineLevel="0" collapsed="false">
      <c r="A304" s="5" t="s">
        <v>3136</v>
      </c>
      <c r="B304" s="5" t="s">
        <v>3545</v>
      </c>
      <c r="C304" s="5" t="n">
        <v>1582.1</v>
      </c>
      <c r="D304" s="5" t="n">
        <v>6</v>
      </c>
      <c r="E304" s="5" t="n">
        <v>3</v>
      </c>
      <c r="F304" s="5" t="s">
        <v>3466</v>
      </c>
      <c r="G304" s="5"/>
      <c r="H304" s="5" t="s">
        <v>3135</v>
      </c>
      <c r="I304" s="5" t="s">
        <v>3444</v>
      </c>
    </row>
    <row r="305" customFormat="false" ht="15" hidden="false" customHeight="false" outlineLevel="0" collapsed="false">
      <c r="A305" s="5" t="s">
        <v>3178</v>
      </c>
      <c r="B305" s="5" t="s">
        <v>3545</v>
      </c>
      <c r="C305" s="5" t="n">
        <v>1536.6</v>
      </c>
      <c r="D305" s="5" t="n">
        <v>6</v>
      </c>
      <c r="E305" s="5" t="n">
        <v>3</v>
      </c>
      <c r="F305" s="5" t="s">
        <v>3544</v>
      </c>
      <c r="G305" s="5"/>
      <c r="H305" s="5" t="s">
        <v>3177</v>
      </c>
      <c r="I305" s="5" t="s">
        <v>3444</v>
      </c>
    </row>
    <row r="306" customFormat="false" ht="15" hidden="false" customHeight="false" outlineLevel="0" collapsed="false">
      <c r="A306" s="5" t="s">
        <v>3104</v>
      </c>
      <c r="B306" s="5" t="s">
        <v>3545</v>
      </c>
      <c r="C306" s="5" t="n">
        <v>1533.6</v>
      </c>
      <c r="D306" s="5" t="n">
        <v>6</v>
      </c>
      <c r="E306" s="5" t="n">
        <v>3</v>
      </c>
      <c r="F306" s="5" t="s">
        <v>3446</v>
      </c>
      <c r="G306" s="5"/>
      <c r="H306" s="5" t="s">
        <v>3103</v>
      </c>
      <c r="I306" s="5" t="s">
        <v>3444</v>
      </c>
    </row>
    <row r="307" customFormat="false" ht="15" hidden="false" customHeight="false" outlineLevel="0" collapsed="false">
      <c r="A307" s="5" t="s">
        <v>3050</v>
      </c>
      <c r="B307" s="5" t="s">
        <v>3545</v>
      </c>
      <c r="C307" s="5" t="n">
        <v>162.9</v>
      </c>
      <c r="D307" s="5" t="n">
        <v>2</v>
      </c>
      <c r="E307" s="5" t="n">
        <v>1</v>
      </c>
      <c r="F307" s="5" t="s">
        <v>431</v>
      </c>
      <c r="G307" s="5"/>
      <c r="H307" s="5" t="s">
        <v>3049</v>
      </c>
      <c r="I307" s="5" t="s">
        <v>3444</v>
      </c>
    </row>
    <row r="308" customFormat="false" ht="15" hidden="false" customHeight="false" outlineLevel="0" collapsed="false">
      <c r="A308" s="5" t="s">
        <v>3052</v>
      </c>
      <c r="B308" s="5" t="s">
        <v>3545</v>
      </c>
      <c r="C308" s="5" t="n">
        <v>180.7</v>
      </c>
      <c r="D308" s="5" t="n">
        <v>2</v>
      </c>
      <c r="E308" s="5" t="n">
        <v>1</v>
      </c>
      <c r="F308" s="5" t="s">
        <v>438</v>
      </c>
      <c r="G308" s="5"/>
      <c r="H308" s="5" t="s">
        <v>3051</v>
      </c>
      <c r="I308" s="5" t="s">
        <v>3444</v>
      </c>
    </row>
    <row r="309" customFormat="false" ht="15" hidden="false" customHeight="false" outlineLevel="0" collapsed="false">
      <c r="A309" s="5" t="s">
        <v>3106</v>
      </c>
      <c r="B309" s="5" t="s">
        <v>3545</v>
      </c>
      <c r="C309" s="5" t="n">
        <v>1538.7</v>
      </c>
      <c r="D309" s="5" t="n">
        <v>6</v>
      </c>
      <c r="E309" s="5" t="n">
        <v>3</v>
      </c>
      <c r="F309" s="5" t="s">
        <v>3447</v>
      </c>
      <c r="G309" s="5"/>
      <c r="H309" s="5" t="s">
        <v>3105</v>
      </c>
      <c r="I309" s="5" t="s">
        <v>3444</v>
      </c>
    </row>
    <row r="310" customFormat="false" ht="15" hidden="false" customHeight="false" outlineLevel="0" collapsed="false">
      <c r="A310" s="5" t="s">
        <v>3156</v>
      </c>
      <c r="B310" s="5" t="s">
        <v>3545</v>
      </c>
      <c r="C310" s="5" t="n">
        <v>1548.1</v>
      </c>
      <c r="D310" s="5" t="n">
        <v>6</v>
      </c>
      <c r="E310" s="5" t="n">
        <v>3</v>
      </c>
      <c r="F310" s="5" t="s">
        <v>3475</v>
      </c>
      <c r="G310" s="5"/>
      <c r="H310" s="5" t="s">
        <v>3155</v>
      </c>
      <c r="I310" s="5" t="s">
        <v>3444</v>
      </c>
    </row>
    <row r="311" customFormat="false" ht="15" hidden="false" customHeight="false" outlineLevel="0" collapsed="false">
      <c r="A311" s="5" t="s">
        <v>3080</v>
      </c>
      <c r="B311" s="5" t="s">
        <v>3545</v>
      </c>
      <c r="C311" s="5" t="n">
        <v>1534.2</v>
      </c>
      <c r="D311" s="5" t="n">
        <v>6</v>
      </c>
      <c r="E311" s="5" t="n">
        <v>3</v>
      </c>
      <c r="F311" s="5" t="s">
        <v>3432</v>
      </c>
      <c r="G311" s="5"/>
      <c r="H311" s="5" t="s">
        <v>3079</v>
      </c>
      <c r="I311" s="5" t="s">
        <v>3444</v>
      </c>
    </row>
    <row r="312" customFormat="false" ht="15" hidden="false" customHeight="false" outlineLevel="0" collapsed="false">
      <c r="A312" s="5" t="s">
        <v>3034</v>
      </c>
      <c r="B312" s="5" t="s">
        <v>3545</v>
      </c>
      <c r="C312" s="5" t="n">
        <v>166.4</v>
      </c>
      <c r="D312" s="5" t="n">
        <v>2</v>
      </c>
      <c r="E312" s="5" t="n">
        <v>1</v>
      </c>
      <c r="F312" s="5" t="s">
        <v>386</v>
      </c>
      <c r="G312" s="5"/>
      <c r="H312" s="5" t="s">
        <v>3033</v>
      </c>
      <c r="I312" s="5" t="s">
        <v>3444</v>
      </c>
    </row>
    <row r="313" customFormat="false" ht="15" hidden="false" customHeight="false" outlineLevel="0" collapsed="false">
      <c r="A313" s="5" t="s">
        <v>3036</v>
      </c>
      <c r="B313" s="5" t="s">
        <v>3545</v>
      </c>
      <c r="C313" s="5" t="n">
        <v>176.2</v>
      </c>
      <c r="D313" s="5" t="n">
        <v>2</v>
      </c>
      <c r="E313" s="5" t="n">
        <v>1</v>
      </c>
      <c r="F313" s="5" t="s">
        <v>392</v>
      </c>
      <c r="G313" s="5"/>
      <c r="H313" s="5" t="s">
        <v>3035</v>
      </c>
      <c r="I313" s="5" t="s">
        <v>3444</v>
      </c>
    </row>
    <row r="314" customFormat="false" ht="15" hidden="false" customHeight="false" outlineLevel="0" collapsed="false">
      <c r="A314" s="5" t="s">
        <v>3170</v>
      </c>
      <c r="B314" s="5" t="s">
        <v>3545</v>
      </c>
      <c r="C314" s="5" t="n">
        <v>1538.5</v>
      </c>
      <c r="D314" s="5" t="n">
        <v>6</v>
      </c>
      <c r="E314" s="5" t="n">
        <v>3</v>
      </c>
      <c r="F314" s="5" t="s">
        <v>3541</v>
      </c>
      <c r="G314" s="5"/>
      <c r="H314" s="5" t="s">
        <v>3169</v>
      </c>
      <c r="I314" s="5" t="s">
        <v>3444</v>
      </c>
    </row>
    <row r="315" customFormat="false" ht="15" hidden="false" customHeight="false" outlineLevel="0" collapsed="false">
      <c r="A315" s="5" t="s">
        <v>3108</v>
      </c>
      <c r="B315" s="5" t="s">
        <v>3545</v>
      </c>
      <c r="C315" s="5" t="n">
        <v>1533</v>
      </c>
      <c r="D315" s="5" t="n">
        <v>6</v>
      </c>
      <c r="E315" s="5" t="n">
        <v>3</v>
      </c>
      <c r="F315" s="5" t="s">
        <v>3448</v>
      </c>
      <c r="G315" s="5"/>
      <c r="H315" s="5" t="s">
        <v>3107</v>
      </c>
      <c r="I315" s="5" t="s">
        <v>3444</v>
      </c>
    </row>
    <row r="316" customFormat="false" ht="15" hidden="false" customHeight="false" outlineLevel="0" collapsed="false">
      <c r="A316" s="5" t="s">
        <v>3172</v>
      </c>
      <c r="B316" s="5" t="s">
        <v>3545</v>
      </c>
      <c r="C316" s="5" t="n">
        <v>1533.4</v>
      </c>
      <c r="D316" s="5" t="n">
        <v>6</v>
      </c>
      <c r="E316" s="5" t="n">
        <v>3</v>
      </c>
      <c r="F316" s="5" t="s">
        <v>3542</v>
      </c>
      <c r="G316" s="5"/>
      <c r="H316" s="5" t="s">
        <v>3171</v>
      </c>
      <c r="I316" s="5" t="s">
        <v>3444</v>
      </c>
    </row>
    <row r="317" customFormat="false" ht="15" hidden="false" customHeight="false" outlineLevel="0" collapsed="false">
      <c r="A317" s="5" t="s">
        <v>3138</v>
      </c>
      <c r="B317" s="5" t="s">
        <v>3545</v>
      </c>
      <c r="C317" s="5" t="n">
        <v>1532.2</v>
      </c>
      <c r="D317" s="5" t="n">
        <v>6</v>
      </c>
      <c r="E317" s="5" t="n">
        <v>3</v>
      </c>
      <c r="F317" s="5" t="s">
        <v>3467</v>
      </c>
      <c r="G317" s="5"/>
      <c r="H317" s="5" t="s">
        <v>3137</v>
      </c>
      <c r="I317" s="5" t="s">
        <v>3444</v>
      </c>
    </row>
    <row r="318" customFormat="false" ht="15" hidden="false" customHeight="false" outlineLevel="0" collapsed="false">
      <c r="A318" s="5" t="s">
        <v>3014</v>
      </c>
      <c r="B318" s="5" t="s">
        <v>3545</v>
      </c>
      <c r="C318" s="5" t="n">
        <v>160.8</v>
      </c>
      <c r="D318" s="5" t="n">
        <v>2</v>
      </c>
      <c r="E318" s="5" t="n">
        <v>1</v>
      </c>
      <c r="F318" s="5" t="s">
        <v>327</v>
      </c>
      <c r="G318" s="5"/>
      <c r="H318" s="5" t="s">
        <v>3013</v>
      </c>
      <c r="I318" s="5" t="s">
        <v>3444</v>
      </c>
    </row>
    <row r="319" customFormat="false" ht="15" hidden="false" customHeight="false" outlineLevel="0" collapsed="false">
      <c r="A319" s="5" t="s">
        <v>3016</v>
      </c>
      <c r="B319" s="5" t="s">
        <v>3545</v>
      </c>
      <c r="C319" s="5" t="n">
        <v>182.1</v>
      </c>
      <c r="D319" s="5" t="n">
        <v>2</v>
      </c>
      <c r="E319" s="5" t="n">
        <v>1</v>
      </c>
      <c r="F319" s="5" t="s">
        <v>333</v>
      </c>
      <c r="G319" s="5"/>
      <c r="H319" s="5" t="s">
        <v>3015</v>
      </c>
      <c r="I319" s="5" t="s">
        <v>3444</v>
      </c>
    </row>
    <row r="320" customFormat="false" ht="15" hidden="false" customHeight="false" outlineLevel="0" collapsed="false">
      <c r="A320" s="5" t="s">
        <v>3010</v>
      </c>
      <c r="B320" s="5" t="s">
        <v>3545</v>
      </c>
      <c r="C320" s="5" t="n">
        <v>162.6</v>
      </c>
      <c r="D320" s="5" t="n">
        <v>2</v>
      </c>
      <c r="E320" s="5" t="n">
        <v>1</v>
      </c>
      <c r="F320" s="5" t="s">
        <v>316</v>
      </c>
      <c r="G320" s="5"/>
      <c r="H320" s="5" t="s">
        <v>3009</v>
      </c>
      <c r="I320" s="5" t="s">
        <v>3444</v>
      </c>
    </row>
    <row r="321" customFormat="false" ht="15" hidden="false" customHeight="false" outlineLevel="0" collapsed="false">
      <c r="A321" s="5" t="s">
        <v>3012</v>
      </c>
      <c r="B321" s="5" t="s">
        <v>3545</v>
      </c>
      <c r="C321" s="5" t="n">
        <v>182.9</v>
      </c>
      <c r="D321" s="5" t="n">
        <v>2</v>
      </c>
      <c r="E321" s="5" t="n">
        <v>1</v>
      </c>
      <c r="F321" s="5" t="s">
        <v>323</v>
      </c>
      <c r="G321" s="5"/>
      <c r="H321" s="5" t="s">
        <v>3011</v>
      </c>
      <c r="I321" s="5" t="s">
        <v>3444</v>
      </c>
    </row>
    <row r="322" customFormat="false" ht="15" hidden="false" customHeight="false" outlineLevel="0" collapsed="false">
      <c r="A322" s="5" t="s">
        <v>3026</v>
      </c>
      <c r="B322" s="5" t="s">
        <v>3545</v>
      </c>
      <c r="C322" s="5" t="n">
        <v>165.6</v>
      </c>
      <c r="D322" s="5" t="n">
        <v>2</v>
      </c>
      <c r="E322" s="5" t="n">
        <v>1</v>
      </c>
      <c r="F322" s="5" t="s">
        <v>362</v>
      </c>
      <c r="G322" s="5"/>
      <c r="H322" s="5" t="s">
        <v>3025</v>
      </c>
      <c r="I322" s="5" t="s">
        <v>3444</v>
      </c>
    </row>
    <row r="323" customFormat="false" ht="15" hidden="false" customHeight="false" outlineLevel="0" collapsed="false">
      <c r="A323" s="5" t="s">
        <v>3028</v>
      </c>
      <c r="B323" s="5" t="s">
        <v>3545</v>
      </c>
      <c r="C323" s="5" t="n">
        <v>177.2</v>
      </c>
      <c r="D323" s="5" t="n">
        <v>2</v>
      </c>
      <c r="E323" s="5" t="n">
        <v>1</v>
      </c>
      <c r="F323" s="5" t="s">
        <v>369</v>
      </c>
      <c r="G323" s="5"/>
      <c r="H323" s="5" t="s">
        <v>3027</v>
      </c>
      <c r="I323" s="5" t="s">
        <v>3444</v>
      </c>
    </row>
    <row r="324" customFormat="false" ht="15" hidden="false" customHeight="false" outlineLevel="0" collapsed="false">
      <c r="A324" s="5" t="s">
        <v>3054</v>
      </c>
      <c r="B324" s="5" t="s">
        <v>3545</v>
      </c>
      <c r="C324" s="5" t="n">
        <v>161.3</v>
      </c>
      <c r="D324" s="5" t="n">
        <v>2</v>
      </c>
      <c r="E324" s="5" t="n">
        <v>1</v>
      </c>
      <c r="F324" s="5" t="s">
        <v>443</v>
      </c>
      <c r="G324" s="5"/>
      <c r="H324" s="5" t="s">
        <v>3053</v>
      </c>
      <c r="I324" s="5" t="s">
        <v>3444</v>
      </c>
    </row>
    <row r="325" customFormat="false" ht="15" hidden="false" customHeight="false" outlineLevel="0" collapsed="false">
      <c r="A325" s="5" t="s">
        <v>3056</v>
      </c>
      <c r="B325" s="5" t="s">
        <v>3545</v>
      </c>
      <c r="C325" s="5" t="n">
        <v>180.8</v>
      </c>
      <c r="D325" s="5" t="n">
        <v>2</v>
      </c>
      <c r="E325" s="5" t="n">
        <v>1</v>
      </c>
      <c r="F325" s="5" t="s">
        <v>449</v>
      </c>
      <c r="G325" s="5"/>
      <c r="H325" s="5" t="s">
        <v>3055</v>
      </c>
      <c r="I325" s="5" t="s">
        <v>3444</v>
      </c>
    </row>
    <row r="326" customFormat="false" ht="15" hidden="false" customHeight="false" outlineLevel="0" collapsed="false">
      <c r="A326" s="5" t="s">
        <v>3058</v>
      </c>
      <c r="B326" s="5" t="s">
        <v>3545</v>
      </c>
      <c r="C326" s="5" t="n">
        <v>159.9</v>
      </c>
      <c r="D326" s="5" t="n">
        <v>2</v>
      </c>
      <c r="E326" s="5" t="n">
        <v>1</v>
      </c>
      <c r="F326" s="5" t="s">
        <v>453</v>
      </c>
      <c r="G326" s="5"/>
      <c r="H326" s="5" t="s">
        <v>3057</v>
      </c>
      <c r="I326" s="5" t="s">
        <v>3444</v>
      </c>
    </row>
    <row r="327" customFormat="false" ht="15" hidden="false" customHeight="false" outlineLevel="0" collapsed="false">
      <c r="A327" s="5" t="s">
        <v>3060</v>
      </c>
      <c r="B327" s="5" t="s">
        <v>3545</v>
      </c>
      <c r="C327" s="5" t="n">
        <v>182.6</v>
      </c>
      <c r="D327" s="5" t="n">
        <v>2</v>
      </c>
      <c r="E327" s="5" t="n">
        <v>1</v>
      </c>
      <c r="F327" s="5" t="s">
        <v>459</v>
      </c>
      <c r="G327" s="5"/>
      <c r="H327" s="5" t="s">
        <v>3059</v>
      </c>
      <c r="I327" s="5" t="s">
        <v>3444</v>
      </c>
    </row>
    <row r="328" customFormat="false" ht="15" hidden="false" customHeight="false" outlineLevel="0" collapsed="false">
      <c r="A328" s="5" t="s">
        <v>3038</v>
      </c>
      <c r="B328" s="5" t="s">
        <v>3545</v>
      </c>
      <c r="C328" s="5" t="n">
        <v>161</v>
      </c>
      <c r="D328" s="5" t="n">
        <v>2</v>
      </c>
      <c r="E328" s="5" t="n">
        <v>1</v>
      </c>
      <c r="F328" s="5" t="s">
        <v>397</v>
      </c>
      <c r="G328" s="5"/>
      <c r="H328" s="5" t="s">
        <v>3037</v>
      </c>
      <c r="I328" s="5" t="s">
        <v>3444</v>
      </c>
    </row>
    <row r="329" customFormat="false" ht="15" hidden="false" customHeight="false" outlineLevel="0" collapsed="false">
      <c r="A329" s="5" t="s">
        <v>3040</v>
      </c>
      <c r="B329" s="5" t="s">
        <v>3545</v>
      </c>
      <c r="C329" s="5" t="n">
        <v>180</v>
      </c>
      <c r="D329" s="5" t="n">
        <v>2</v>
      </c>
      <c r="E329" s="5" t="n">
        <v>1</v>
      </c>
      <c r="F329" s="5" t="s">
        <v>404</v>
      </c>
      <c r="G329" s="5"/>
      <c r="H329" s="5" t="s">
        <v>3039</v>
      </c>
      <c r="I329" s="5" t="s">
        <v>3444</v>
      </c>
    </row>
    <row r="330" customFormat="false" ht="15" hidden="false" customHeight="false" outlineLevel="0" collapsed="false">
      <c r="A330" s="5" t="s">
        <v>3062</v>
      </c>
      <c r="B330" s="5" t="s">
        <v>3545</v>
      </c>
      <c r="C330" s="5" t="n">
        <v>159.7</v>
      </c>
      <c r="D330" s="5" t="n">
        <v>2</v>
      </c>
      <c r="E330" s="5" t="n">
        <v>1</v>
      </c>
      <c r="F330" s="5" t="s">
        <v>463</v>
      </c>
      <c r="G330" s="5"/>
      <c r="H330" s="5" t="s">
        <v>3061</v>
      </c>
      <c r="I330" s="5" t="s">
        <v>3444</v>
      </c>
    </row>
    <row r="331" customFormat="false" ht="15" hidden="false" customHeight="false" outlineLevel="0" collapsed="false">
      <c r="A331" s="5" t="s">
        <v>3064</v>
      </c>
      <c r="B331" s="5" t="s">
        <v>3545</v>
      </c>
      <c r="C331" s="5" t="n">
        <v>182.1</v>
      </c>
      <c r="D331" s="5" t="n">
        <v>2</v>
      </c>
      <c r="E331" s="5" t="n">
        <v>1</v>
      </c>
      <c r="F331" s="5" t="s">
        <v>468</v>
      </c>
      <c r="G331" s="5"/>
      <c r="H331" s="5" t="s">
        <v>3063</v>
      </c>
      <c r="I331" s="5" t="s">
        <v>3444</v>
      </c>
    </row>
    <row r="332" customFormat="false" ht="15" hidden="false" customHeight="false" outlineLevel="0" collapsed="false">
      <c r="A332" s="5" t="s">
        <v>3072</v>
      </c>
      <c r="B332" s="5" t="s">
        <v>3545</v>
      </c>
      <c r="C332" s="5" t="n">
        <v>420.2</v>
      </c>
      <c r="D332" s="5" t="n">
        <v>1</v>
      </c>
      <c r="E332" s="5" t="n">
        <v>1</v>
      </c>
      <c r="F332" s="5" t="s">
        <v>1505</v>
      </c>
      <c r="G332" s="5"/>
      <c r="H332" s="5" t="s">
        <v>3071</v>
      </c>
      <c r="I332" s="5" t="s">
        <v>3444</v>
      </c>
    </row>
    <row r="333" customFormat="false" ht="15" hidden="false" customHeight="false" outlineLevel="0" collapsed="false">
      <c r="A333" s="5" t="s">
        <v>3074</v>
      </c>
      <c r="B333" s="5" t="s">
        <v>3545</v>
      </c>
      <c r="C333" s="5" t="n">
        <v>420.2</v>
      </c>
      <c r="D333" s="5" t="n">
        <v>1</v>
      </c>
      <c r="E333" s="5" t="n">
        <v>1</v>
      </c>
      <c r="F333" s="5" t="s">
        <v>1510</v>
      </c>
      <c r="G333" s="5"/>
      <c r="H333" s="5" t="s">
        <v>3073</v>
      </c>
      <c r="I333" s="5" t="s">
        <v>3444</v>
      </c>
    </row>
    <row r="334" customFormat="false" ht="15" hidden="false" customHeight="false" outlineLevel="0" collapsed="false">
      <c r="A334" s="5" t="s">
        <v>3076</v>
      </c>
      <c r="B334" s="5" t="s">
        <v>3545</v>
      </c>
      <c r="C334" s="5" t="n">
        <v>420.2</v>
      </c>
      <c r="D334" s="5" t="n">
        <v>1</v>
      </c>
      <c r="E334" s="5" t="n">
        <v>1</v>
      </c>
      <c r="F334" s="5" t="s">
        <v>1516</v>
      </c>
      <c r="G334" s="5"/>
      <c r="H334" s="5" t="s">
        <v>3075</v>
      </c>
      <c r="I334" s="5" t="s">
        <v>3444</v>
      </c>
    </row>
    <row r="335" customFormat="false" ht="15" hidden="false" customHeight="false" outlineLevel="0" collapsed="false">
      <c r="A335" s="5" t="s">
        <v>3180</v>
      </c>
      <c r="B335" s="5" t="s">
        <v>3545</v>
      </c>
      <c r="C335" s="5" t="n">
        <v>266.1</v>
      </c>
      <c r="D335" s="5" t="n">
        <v>1</v>
      </c>
      <c r="E335" s="5" t="n">
        <v>1</v>
      </c>
      <c r="F335" s="5" t="s">
        <v>1365</v>
      </c>
      <c r="G335" s="5"/>
      <c r="H335" s="5" t="s">
        <v>3179</v>
      </c>
      <c r="I335" s="5" t="s">
        <v>3444</v>
      </c>
    </row>
    <row r="336" customFormat="false" ht="15" hidden="false" customHeight="false" outlineLevel="0" collapsed="false">
      <c r="A336" s="5" t="s">
        <v>3070</v>
      </c>
      <c r="B336" s="5" t="s">
        <v>3545</v>
      </c>
      <c r="C336" s="5" t="n">
        <v>583.8</v>
      </c>
      <c r="D336" s="5" t="n">
        <v>1</v>
      </c>
      <c r="E336" s="5" t="n">
        <v>1</v>
      </c>
      <c r="F336" s="5" t="s">
        <v>1498</v>
      </c>
      <c r="G336" s="5"/>
      <c r="H336" s="5" t="s">
        <v>3069</v>
      </c>
      <c r="I336" s="5" t="s">
        <v>3444</v>
      </c>
    </row>
    <row r="337" customFormat="false" ht="15" hidden="false" customHeight="false" outlineLevel="0" collapsed="false">
      <c r="A337" s="5" t="s">
        <v>3220</v>
      </c>
      <c r="B337" s="5" t="s">
        <v>3545</v>
      </c>
      <c r="C337" s="5" t="n">
        <v>268.2</v>
      </c>
      <c r="D337" s="5" t="n">
        <v>1</v>
      </c>
      <c r="E337" s="5" t="n">
        <v>1</v>
      </c>
      <c r="F337" s="5" t="s">
        <v>1460</v>
      </c>
      <c r="G337" s="5"/>
      <c r="H337" s="5" t="s">
        <v>3219</v>
      </c>
      <c r="I337" s="5" t="s">
        <v>3444</v>
      </c>
    </row>
    <row r="338" customFormat="false" ht="15" hidden="false" customHeight="false" outlineLevel="0" collapsed="false">
      <c r="A338" s="5" t="s">
        <v>2954</v>
      </c>
      <c r="B338" s="5" t="s">
        <v>3545</v>
      </c>
      <c r="C338" s="5" t="n">
        <v>176.3</v>
      </c>
      <c r="D338" s="5" t="n">
        <v>2</v>
      </c>
      <c r="E338" s="5" t="n">
        <v>1</v>
      </c>
      <c r="F338" s="5" t="s">
        <v>129</v>
      </c>
      <c r="G338" s="5"/>
      <c r="H338" s="5" t="s">
        <v>2953</v>
      </c>
      <c r="I338" s="5" t="s">
        <v>3444</v>
      </c>
    </row>
    <row r="339" customFormat="false" ht="15" hidden="false" customHeight="false" outlineLevel="0" collapsed="false">
      <c r="A339" s="5" t="s">
        <v>2956</v>
      </c>
      <c r="B339" s="5" t="s">
        <v>3545</v>
      </c>
      <c r="C339" s="5" t="n">
        <v>171.6</v>
      </c>
      <c r="D339" s="5" t="n">
        <v>2</v>
      </c>
      <c r="E339" s="5" t="n">
        <v>1</v>
      </c>
      <c r="F339" s="5" t="s">
        <v>136</v>
      </c>
      <c r="G339" s="5"/>
      <c r="H339" s="5" t="s">
        <v>2955</v>
      </c>
      <c r="I339" s="5" t="s">
        <v>3444</v>
      </c>
    </row>
    <row r="340" customFormat="false" ht="15" hidden="false" customHeight="false" outlineLevel="0" collapsed="false">
      <c r="A340" s="5" t="s">
        <v>2950</v>
      </c>
      <c r="B340" s="5" t="s">
        <v>3545</v>
      </c>
      <c r="C340" s="5" t="n">
        <v>170.8</v>
      </c>
      <c r="D340" s="5" t="n">
        <v>2</v>
      </c>
      <c r="E340" s="5" t="n">
        <v>1</v>
      </c>
      <c r="F340" s="5" t="s">
        <v>116</v>
      </c>
      <c r="G340" s="5"/>
      <c r="H340" s="5" t="s">
        <v>2949</v>
      </c>
      <c r="I340" s="5" t="s">
        <v>3444</v>
      </c>
    </row>
    <row r="341" customFormat="false" ht="15" hidden="false" customHeight="false" outlineLevel="0" collapsed="false">
      <c r="A341" s="5" t="s">
        <v>2952</v>
      </c>
      <c r="B341" s="5" t="s">
        <v>3545</v>
      </c>
      <c r="C341" s="5" t="n">
        <v>171.9</v>
      </c>
      <c r="D341" s="5" t="n">
        <v>2</v>
      </c>
      <c r="E341" s="5" t="n">
        <v>1</v>
      </c>
      <c r="F341" s="5" t="s">
        <v>124</v>
      </c>
      <c r="G341" s="5"/>
      <c r="H341" s="5" t="s">
        <v>2951</v>
      </c>
      <c r="I341" s="5" t="s">
        <v>3444</v>
      </c>
    </row>
  </sheetData>
  <autoFilter ref="A1:I3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5" min="3" style="0" width="11"/>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90"/>
  </cols>
  <sheetData>
    <row r="1" customFormat="false" ht="33.75" hidden="false" customHeight="true" outlineLevel="0" collapsed="false">
      <c r="A1" s="4" t="s">
        <v>3546</v>
      </c>
      <c r="B1" s="4" t="s">
        <v>3547</v>
      </c>
      <c r="C1" s="4" t="s">
        <v>3548</v>
      </c>
      <c r="D1" s="4" t="s">
        <v>3549</v>
      </c>
      <c r="E1" s="4" t="s">
        <v>3550</v>
      </c>
      <c r="F1" s="4" t="s">
        <v>3551</v>
      </c>
      <c r="G1" s="4" t="s">
        <v>3552</v>
      </c>
      <c r="H1" s="4" t="s">
        <v>3553</v>
      </c>
      <c r="I1" s="4" t="s">
        <v>3427</v>
      </c>
    </row>
    <row r="2" customFormat="false" ht="15" hidden="false" customHeight="false" outlineLevel="0" collapsed="false">
      <c r="A2" s="5" t="s">
        <v>760</v>
      </c>
      <c r="B2" s="5" t="n">
        <v>3</v>
      </c>
      <c r="C2" s="5" t="n">
        <v>0</v>
      </c>
      <c r="D2" s="5" t="n">
        <v>1</v>
      </c>
      <c r="E2" s="5" t="n">
        <v>0</v>
      </c>
      <c r="F2" s="5" t="n">
        <v>1</v>
      </c>
      <c r="G2" s="5" t="n">
        <v>1</v>
      </c>
      <c r="H2" s="5" t="n">
        <v>0</v>
      </c>
      <c r="I2" s="6" t="s">
        <v>3432</v>
      </c>
    </row>
    <row r="3" customFormat="false" ht="15" hidden="false" customHeight="false" outlineLevel="0" collapsed="false">
      <c r="A3" s="5" t="s">
        <v>733</v>
      </c>
      <c r="B3" s="5" t="n">
        <v>2</v>
      </c>
      <c r="C3" s="5" t="n">
        <v>0</v>
      </c>
      <c r="D3" s="5" t="n">
        <v>0</v>
      </c>
      <c r="E3" s="5" t="n">
        <v>0</v>
      </c>
      <c r="F3" s="5" t="n">
        <v>1</v>
      </c>
      <c r="G3" s="5" t="n">
        <v>1</v>
      </c>
      <c r="H3" s="5" t="n">
        <v>0</v>
      </c>
      <c r="I3" s="6" t="s">
        <v>3554</v>
      </c>
    </row>
    <row r="4" customFormat="false" ht="15" hidden="false" customHeight="false" outlineLevel="0" collapsed="false">
      <c r="A4" s="5" t="s">
        <v>1215</v>
      </c>
      <c r="B4" s="5" t="n">
        <v>1</v>
      </c>
      <c r="C4" s="5" t="n">
        <v>0</v>
      </c>
      <c r="D4" s="5" t="n">
        <v>1</v>
      </c>
      <c r="E4" s="5" t="n">
        <v>0</v>
      </c>
      <c r="F4" s="5" t="n">
        <v>0</v>
      </c>
      <c r="G4" s="5" t="n">
        <v>0</v>
      </c>
      <c r="H4" s="5" t="n">
        <v>0</v>
      </c>
      <c r="I4" s="6" t="s">
        <v>1212</v>
      </c>
    </row>
    <row r="5" customFormat="false" ht="15" hidden="false" customHeight="false" outlineLevel="0" collapsed="false">
      <c r="A5" s="5" t="s">
        <v>669</v>
      </c>
      <c r="B5" s="5" t="n">
        <v>2</v>
      </c>
      <c r="C5" s="5" t="n">
        <v>0</v>
      </c>
      <c r="D5" s="5" t="n">
        <v>0</v>
      </c>
      <c r="E5" s="5" t="n">
        <v>0</v>
      </c>
      <c r="F5" s="5" t="n">
        <v>1</v>
      </c>
      <c r="G5" s="5" t="n">
        <v>1</v>
      </c>
      <c r="H5" s="5" t="n">
        <v>0</v>
      </c>
      <c r="I5" s="6" t="s">
        <v>3555</v>
      </c>
    </row>
    <row r="6" customFormat="false" ht="15" hidden="false" customHeight="false" outlineLevel="0" collapsed="false">
      <c r="A6" s="5" t="s">
        <v>728</v>
      </c>
      <c r="B6" s="5" t="n">
        <v>2</v>
      </c>
      <c r="C6" s="5" t="n">
        <v>0</v>
      </c>
      <c r="D6" s="5" t="n">
        <v>0</v>
      </c>
      <c r="E6" s="5" t="n">
        <v>0</v>
      </c>
      <c r="F6" s="5" t="n">
        <v>1</v>
      </c>
      <c r="G6" s="5" t="n">
        <v>1</v>
      </c>
      <c r="H6" s="5" t="n">
        <v>0</v>
      </c>
      <c r="I6" s="6" t="s">
        <v>3556</v>
      </c>
    </row>
    <row r="7" customFormat="false" ht="15" hidden="false" customHeight="false" outlineLevel="0" collapsed="false">
      <c r="A7" s="5" t="s">
        <v>588</v>
      </c>
      <c r="B7" s="5" t="n">
        <v>2</v>
      </c>
      <c r="C7" s="5" t="n">
        <v>0</v>
      </c>
      <c r="D7" s="5" t="n">
        <v>0</v>
      </c>
      <c r="E7" s="5" t="n">
        <v>0</v>
      </c>
      <c r="F7" s="5" t="n">
        <v>1</v>
      </c>
      <c r="G7" s="5" t="n">
        <v>1</v>
      </c>
      <c r="H7" s="5" t="n">
        <v>0</v>
      </c>
      <c r="I7" s="6" t="s">
        <v>3557</v>
      </c>
    </row>
    <row r="8" customFormat="false" ht="15" hidden="false" customHeight="false" outlineLevel="0" collapsed="false">
      <c r="A8" s="5" t="s">
        <v>1221</v>
      </c>
      <c r="B8" s="5" t="n">
        <v>1</v>
      </c>
      <c r="C8" s="5" t="n">
        <v>0</v>
      </c>
      <c r="D8" s="5" t="n">
        <v>1</v>
      </c>
      <c r="E8" s="5" t="n">
        <v>0</v>
      </c>
      <c r="F8" s="5" t="n">
        <v>0</v>
      </c>
      <c r="G8" s="5" t="n">
        <v>0</v>
      </c>
      <c r="H8" s="5" t="n">
        <v>0</v>
      </c>
      <c r="I8" s="6" t="s">
        <v>1219</v>
      </c>
    </row>
    <row r="9" customFormat="false" ht="15" hidden="false" customHeight="false" outlineLevel="0" collapsed="false">
      <c r="A9" s="5" t="s">
        <v>1263</v>
      </c>
      <c r="B9" s="5" t="n">
        <v>1</v>
      </c>
      <c r="C9" s="5" t="n">
        <v>0</v>
      </c>
      <c r="D9" s="5" t="n">
        <v>1</v>
      </c>
      <c r="E9" s="5" t="n">
        <v>0</v>
      </c>
      <c r="F9" s="5" t="n">
        <v>0</v>
      </c>
      <c r="G9" s="5" t="n">
        <v>0</v>
      </c>
      <c r="H9" s="5" t="n">
        <v>0</v>
      </c>
      <c r="I9" s="6" t="s">
        <v>1261</v>
      </c>
    </row>
    <row r="10" customFormat="false" ht="15" hidden="false" customHeight="false" outlineLevel="0" collapsed="false">
      <c r="A10" s="6" t="s">
        <v>254</v>
      </c>
      <c r="B10" s="5" t="n">
        <v>1</v>
      </c>
      <c r="C10" s="5" t="n">
        <v>0</v>
      </c>
      <c r="D10" s="5" t="n">
        <v>0</v>
      </c>
      <c r="E10" s="5" t="n">
        <v>1</v>
      </c>
      <c r="F10" s="5" t="n">
        <v>0</v>
      </c>
      <c r="G10" s="5" t="n">
        <v>0</v>
      </c>
      <c r="H10" s="5" t="n">
        <v>0</v>
      </c>
      <c r="I10" s="6" t="s">
        <v>248</v>
      </c>
    </row>
    <row r="11" customFormat="false" ht="15" hidden="false" customHeight="false" outlineLevel="0" collapsed="false">
      <c r="A11" s="5" t="s">
        <v>244</v>
      </c>
      <c r="B11" s="5" t="n">
        <v>1</v>
      </c>
      <c r="C11" s="5" t="n">
        <v>0</v>
      </c>
      <c r="D11" s="5" t="n">
        <v>0</v>
      </c>
      <c r="E11" s="5" t="n">
        <v>1</v>
      </c>
      <c r="F11" s="5" t="n">
        <v>0</v>
      </c>
      <c r="G11" s="5" t="n">
        <v>0</v>
      </c>
      <c r="H11" s="5" t="n">
        <v>0</v>
      </c>
      <c r="I11" s="6" t="s">
        <v>238</v>
      </c>
    </row>
    <row r="12" customFormat="false" ht="15" hidden="false" customHeight="false" outlineLevel="0" collapsed="false">
      <c r="A12" s="5" t="s">
        <v>383</v>
      </c>
      <c r="B12" s="5" t="n">
        <v>1</v>
      </c>
      <c r="C12" s="5" t="n">
        <v>0</v>
      </c>
      <c r="D12" s="5" t="n">
        <v>0</v>
      </c>
      <c r="E12" s="5" t="n">
        <v>1</v>
      </c>
      <c r="F12" s="5" t="n">
        <v>0</v>
      </c>
      <c r="G12" s="5" t="n">
        <v>0</v>
      </c>
      <c r="H12" s="5" t="n">
        <v>0</v>
      </c>
      <c r="I12" s="6" t="s">
        <v>380</v>
      </c>
    </row>
    <row r="13" customFormat="false" ht="15" hidden="false" customHeight="false" outlineLevel="0" collapsed="false">
      <c r="A13" s="5" t="s">
        <v>377</v>
      </c>
      <c r="B13" s="5" t="n">
        <v>1</v>
      </c>
      <c r="C13" s="5" t="n">
        <v>0</v>
      </c>
      <c r="D13" s="5" t="n">
        <v>0</v>
      </c>
      <c r="E13" s="5" t="n">
        <v>1</v>
      </c>
      <c r="F13" s="5" t="n">
        <v>0</v>
      </c>
      <c r="G13" s="5" t="n">
        <v>0</v>
      </c>
      <c r="H13" s="5" t="n">
        <v>0</v>
      </c>
      <c r="I13" s="6" t="s">
        <v>374</v>
      </c>
    </row>
    <row r="14" customFormat="false" ht="15" hidden="false" customHeight="false" outlineLevel="0" collapsed="false">
      <c r="A14" s="5" t="s">
        <v>489</v>
      </c>
      <c r="B14" s="5" t="n">
        <v>1</v>
      </c>
      <c r="C14" s="5" t="n">
        <v>0</v>
      </c>
      <c r="D14" s="5" t="n">
        <v>0</v>
      </c>
      <c r="E14" s="5" t="n">
        <v>1</v>
      </c>
      <c r="F14" s="5" t="n">
        <v>0</v>
      </c>
      <c r="G14" s="5" t="n">
        <v>0</v>
      </c>
      <c r="H14" s="5" t="n">
        <v>0</v>
      </c>
      <c r="I14" s="6" t="s">
        <v>483</v>
      </c>
    </row>
    <row r="15" customFormat="false" ht="15" hidden="false" customHeight="false" outlineLevel="0" collapsed="false">
      <c r="A15" s="5" t="s">
        <v>1457</v>
      </c>
      <c r="B15" s="5" t="n">
        <v>1</v>
      </c>
      <c r="C15" s="5" t="n">
        <v>0</v>
      </c>
      <c r="D15" s="5" t="n">
        <v>1</v>
      </c>
      <c r="E15" s="5" t="n">
        <v>0</v>
      </c>
      <c r="F15" s="5" t="n">
        <v>0</v>
      </c>
      <c r="G15" s="5" t="n">
        <v>0</v>
      </c>
      <c r="H15" s="5" t="n">
        <v>0</v>
      </c>
      <c r="I15" s="6" t="s">
        <v>1455</v>
      </c>
    </row>
    <row r="16" customFormat="false" ht="15" hidden="false" customHeight="false" outlineLevel="0" collapsed="false">
      <c r="A16" s="5" t="s">
        <v>633</v>
      </c>
      <c r="B16" s="5" t="n">
        <v>2</v>
      </c>
      <c r="C16" s="5" t="n">
        <v>0</v>
      </c>
      <c r="D16" s="5" t="n">
        <v>0</v>
      </c>
      <c r="E16" s="5" t="n">
        <v>0</v>
      </c>
      <c r="F16" s="5" t="n">
        <v>1</v>
      </c>
      <c r="G16" s="5" t="n">
        <v>1</v>
      </c>
      <c r="H16" s="5" t="n">
        <v>0</v>
      </c>
      <c r="I16" s="6" t="s">
        <v>3558</v>
      </c>
    </row>
    <row r="17" customFormat="false" ht="15" hidden="false" customHeight="false" outlineLevel="0" collapsed="false">
      <c r="A17" s="5" t="s">
        <v>628</v>
      </c>
      <c r="B17" s="5" t="n">
        <v>2</v>
      </c>
      <c r="C17" s="5" t="n">
        <v>0</v>
      </c>
      <c r="D17" s="5" t="n">
        <v>0</v>
      </c>
      <c r="E17" s="5" t="n">
        <v>0</v>
      </c>
      <c r="F17" s="5" t="n">
        <v>1</v>
      </c>
      <c r="G17" s="5" t="n">
        <v>1</v>
      </c>
      <c r="H17" s="5" t="n">
        <v>0</v>
      </c>
      <c r="I17" s="6" t="s">
        <v>3559</v>
      </c>
    </row>
    <row r="18" customFormat="false" ht="15" hidden="false" customHeight="false" outlineLevel="0" collapsed="false">
      <c r="A18" s="5" t="s">
        <v>655</v>
      </c>
      <c r="B18" s="5" t="n">
        <v>1</v>
      </c>
      <c r="C18" s="5" t="n">
        <v>0</v>
      </c>
      <c r="D18" s="5" t="n">
        <v>0</v>
      </c>
      <c r="E18" s="5" t="n">
        <v>0</v>
      </c>
      <c r="F18" s="5" t="n">
        <v>1</v>
      </c>
      <c r="G18" s="5" t="n">
        <v>0</v>
      </c>
      <c r="H18" s="5" t="n">
        <v>0</v>
      </c>
      <c r="I18" s="6" t="s">
        <v>650</v>
      </c>
    </row>
    <row r="19" customFormat="false" ht="15" hidden="false" customHeight="false" outlineLevel="0" collapsed="false">
      <c r="A19" s="5" t="s">
        <v>661</v>
      </c>
      <c r="B19" s="5" t="n">
        <v>1</v>
      </c>
      <c r="C19" s="5" t="n">
        <v>0</v>
      </c>
      <c r="D19" s="5" t="n">
        <v>0</v>
      </c>
      <c r="E19" s="5" t="n">
        <v>0</v>
      </c>
      <c r="F19" s="5" t="n">
        <v>1</v>
      </c>
      <c r="G19" s="5" t="n">
        <v>0</v>
      </c>
      <c r="H19" s="5" t="n">
        <v>0</v>
      </c>
      <c r="I19" s="6" t="s">
        <v>659</v>
      </c>
    </row>
    <row r="20" customFormat="false" ht="15" hidden="false" customHeight="false" outlineLevel="0" collapsed="false">
      <c r="A20" s="5" t="s">
        <v>677</v>
      </c>
      <c r="B20" s="5" t="n">
        <v>1</v>
      </c>
      <c r="C20" s="5" t="n">
        <v>0</v>
      </c>
      <c r="D20" s="5" t="n">
        <v>0</v>
      </c>
      <c r="E20" s="5" t="n">
        <v>0</v>
      </c>
      <c r="F20" s="5" t="n">
        <v>1</v>
      </c>
      <c r="G20" s="5" t="n">
        <v>0</v>
      </c>
      <c r="H20" s="5" t="n">
        <v>0</v>
      </c>
      <c r="I20" s="6" t="s">
        <v>673</v>
      </c>
    </row>
    <row r="21" customFormat="false" ht="15" hidden="false" customHeight="false" outlineLevel="0" collapsed="false">
      <c r="A21" s="5" t="s">
        <v>723</v>
      </c>
      <c r="B21" s="5" t="n">
        <v>2</v>
      </c>
      <c r="C21" s="5" t="n">
        <v>0</v>
      </c>
      <c r="D21" s="5" t="n">
        <v>0</v>
      </c>
      <c r="E21" s="5" t="n">
        <v>0</v>
      </c>
      <c r="F21" s="5" t="n">
        <v>1</v>
      </c>
      <c r="G21" s="5" t="n">
        <v>1</v>
      </c>
      <c r="H21" s="5" t="n">
        <v>0</v>
      </c>
      <c r="I21" s="6" t="s">
        <v>3560</v>
      </c>
    </row>
    <row r="22" customFormat="false" ht="15" hidden="false" customHeight="false" outlineLevel="0" collapsed="false">
      <c r="A22" s="5" t="s">
        <v>1291</v>
      </c>
      <c r="B22" s="5" t="n">
        <v>1</v>
      </c>
      <c r="C22" s="5" t="n">
        <v>0</v>
      </c>
      <c r="D22" s="5" t="n">
        <v>1</v>
      </c>
      <c r="E22" s="5" t="n">
        <v>0</v>
      </c>
      <c r="F22" s="5" t="n">
        <v>0</v>
      </c>
      <c r="G22" s="5" t="n">
        <v>0</v>
      </c>
      <c r="H22" s="5" t="n">
        <v>0</v>
      </c>
      <c r="I22" s="6" t="s">
        <v>1289</v>
      </c>
    </row>
    <row r="23" customFormat="false" ht="15" hidden="false" customHeight="false" outlineLevel="0" collapsed="false">
      <c r="A23" s="5" t="s">
        <v>1296</v>
      </c>
      <c r="B23" s="5" t="n">
        <v>1</v>
      </c>
      <c r="C23" s="5" t="n">
        <v>0</v>
      </c>
      <c r="D23" s="5" t="n">
        <v>1</v>
      </c>
      <c r="E23" s="5" t="n">
        <v>0</v>
      </c>
      <c r="F23" s="5" t="n">
        <v>0</v>
      </c>
      <c r="G23" s="5" t="n">
        <v>0</v>
      </c>
      <c r="H23" s="5" t="n">
        <v>0</v>
      </c>
      <c r="I23" s="6" t="s">
        <v>1294</v>
      </c>
    </row>
    <row r="24" customFormat="false" ht="15" hidden="false" customHeight="false" outlineLevel="0" collapsed="false">
      <c r="A24" s="5" t="s">
        <v>822</v>
      </c>
      <c r="B24" s="5" t="n">
        <v>2</v>
      </c>
      <c r="C24" s="5" t="n">
        <v>0</v>
      </c>
      <c r="D24" s="5" t="n">
        <v>1</v>
      </c>
      <c r="E24" s="5" t="n">
        <v>0</v>
      </c>
      <c r="F24" s="5" t="n">
        <v>0</v>
      </c>
      <c r="G24" s="5" t="n">
        <v>1</v>
      </c>
      <c r="H24" s="5" t="n">
        <v>0</v>
      </c>
      <c r="I24" s="6" t="s">
        <v>3561</v>
      </c>
    </row>
    <row r="25" customFormat="false" ht="15" hidden="false" customHeight="false" outlineLevel="0" collapsed="false">
      <c r="A25" s="5" t="s">
        <v>806</v>
      </c>
      <c r="B25" s="5" t="n">
        <v>2</v>
      </c>
      <c r="C25" s="5" t="n">
        <v>0</v>
      </c>
      <c r="D25" s="5" t="n">
        <v>1</v>
      </c>
      <c r="E25" s="5" t="n">
        <v>0</v>
      </c>
      <c r="F25" s="5" t="n">
        <v>0</v>
      </c>
      <c r="G25" s="5" t="n">
        <v>1</v>
      </c>
      <c r="H25" s="5" t="n">
        <v>0</v>
      </c>
      <c r="I25" s="6" t="s">
        <v>3562</v>
      </c>
    </row>
    <row r="26" customFormat="false" ht="15" hidden="false" customHeight="false" outlineLevel="0" collapsed="false">
      <c r="A26" s="5" t="s">
        <v>826</v>
      </c>
      <c r="B26" s="5" t="n">
        <v>2</v>
      </c>
      <c r="C26" s="5" t="n">
        <v>0</v>
      </c>
      <c r="D26" s="5" t="n">
        <v>1</v>
      </c>
      <c r="E26" s="5" t="n">
        <v>0</v>
      </c>
      <c r="F26" s="5" t="n">
        <v>0</v>
      </c>
      <c r="G26" s="5" t="n">
        <v>1</v>
      </c>
      <c r="H26" s="5" t="n">
        <v>0</v>
      </c>
      <c r="I26" s="6" t="s">
        <v>3563</v>
      </c>
    </row>
    <row r="27" customFormat="false" ht="15" hidden="false" customHeight="false" outlineLevel="0" collapsed="false">
      <c r="A27" s="5" t="s">
        <v>745</v>
      </c>
      <c r="B27" s="5" t="n">
        <v>4</v>
      </c>
      <c r="C27" s="5" t="n">
        <v>0</v>
      </c>
      <c r="D27" s="5" t="n">
        <v>1</v>
      </c>
      <c r="E27" s="5" t="n">
        <v>0</v>
      </c>
      <c r="F27" s="5" t="n">
        <v>1</v>
      </c>
      <c r="G27" s="5" t="n">
        <v>2</v>
      </c>
      <c r="H27" s="5" t="n">
        <v>0</v>
      </c>
      <c r="I27" s="6" t="s">
        <v>3564</v>
      </c>
    </row>
    <row r="28" customFormat="false" ht="15" hidden="false" customHeight="false" outlineLevel="0" collapsed="false">
      <c r="A28" s="5" t="s">
        <v>750</v>
      </c>
      <c r="B28" s="5" t="n">
        <v>3</v>
      </c>
      <c r="C28" s="5" t="n">
        <v>0</v>
      </c>
      <c r="D28" s="5" t="n">
        <v>1</v>
      </c>
      <c r="E28" s="5" t="n">
        <v>0</v>
      </c>
      <c r="F28" s="5" t="n">
        <v>1</v>
      </c>
      <c r="G28" s="5" t="n">
        <v>1</v>
      </c>
      <c r="H28" s="5" t="n">
        <v>0</v>
      </c>
      <c r="I28" s="6" t="s">
        <v>3447</v>
      </c>
    </row>
    <row r="29" customFormat="false" ht="15" hidden="false" customHeight="false" outlineLevel="0" collapsed="false">
      <c r="A29" s="5" t="s">
        <v>770</v>
      </c>
      <c r="B29" s="5" t="n">
        <v>3</v>
      </c>
      <c r="C29" s="5" t="n">
        <v>0</v>
      </c>
      <c r="D29" s="5" t="n">
        <v>1</v>
      </c>
      <c r="E29" s="5" t="n">
        <v>0</v>
      </c>
      <c r="F29" s="5" t="n">
        <v>1</v>
      </c>
      <c r="G29" s="5" t="n">
        <v>1</v>
      </c>
      <c r="H29" s="5" t="n">
        <v>0</v>
      </c>
      <c r="I29" s="6" t="s">
        <v>3448</v>
      </c>
    </row>
    <row r="30" customFormat="false" ht="15" hidden="false" customHeight="false" outlineLevel="0" collapsed="false">
      <c r="A30" s="5" t="s">
        <v>1225</v>
      </c>
      <c r="B30" s="5" t="n">
        <v>1</v>
      </c>
      <c r="C30" s="5" t="n">
        <v>0</v>
      </c>
      <c r="D30" s="5" t="n">
        <v>1</v>
      </c>
      <c r="E30" s="5" t="n">
        <v>0</v>
      </c>
      <c r="F30" s="5" t="n">
        <v>0</v>
      </c>
      <c r="G30" s="5" t="n">
        <v>0</v>
      </c>
      <c r="H30" s="5" t="n">
        <v>0</v>
      </c>
      <c r="I30" s="6" t="s">
        <v>1223</v>
      </c>
    </row>
    <row r="31" customFormat="false" ht="15" hidden="false" customHeight="false" outlineLevel="0" collapsed="false">
      <c r="A31" s="5" t="s">
        <v>693</v>
      </c>
      <c r="B31" s="5" t="n">
        <v>3</v>
      </c>
      <c r="C31" s="5" t="n">
        <v>0</v>
      </c>
      <c r="D31" s="5" t="n">
        <v>1</v>
      </c>
      <c r="E31" s="5" t="n">
        <v>0</v>
      </c>
      <c r="F31" s="5" t="n">
        <v>1</v>
      </c>
      <c r="G31" s="5" t="n">
        <v>1</v>
      </c>
      <c r="H31" s="5" t="n">
        <v>0</v>
      </c>
      <c r="I31" s="6" t="s">
        <v>3452</v>
      </c>
    </row>
    <row r="32" customFormat="false" ht="15" hidden="false" customHeight="false" outlineLevel="0" collapsed="false">
      <c r="A32" s="6" t="s">
        <v>411</v>
      </c>
      <c r="B32" s="5" t="n">
        <v>2</v>
      </c>
      <c r="C32" s="5" t="n">
        <v>0</v>
      </c>
      <c r="D32" s="5" t="n">
        <v>0</v>
      </c>
      <c r="E32" s="5" t="n">
        <v>2</v>
      </c>
      <c r="F32" s="5" t="n">
        <v>0</v>
      </c>
      <c r="G32" s="5" t="n">
        <v>0</v>
      </c>
      <c r="H32" s="5" t="n">
        <v>0</v>
      </c>
      <c r="I32" s="6" t="s">
        <v>3565</v>
      </c>
    </row>
    <row r="33" customFormat="false" ht="15" hidden="false" customHeight="false" outlineLevel="0" collapsed="false">
      <c r="A33" s="5" t="s">
        <v>434</v>
      </c>
      <c r="B33" s="5" t="n">
        <v>2</v>
      </c>
      <c r="C33" s="5" t="n">
        <v>0</v>
      </c>
      <c r="D33" s="5" t="n">
        <v>0</v>
      </c>
      <c r="E33" s="5" t="n">
        <v>2</v>
      </c>
      <c r="F33" s="5" t="n">
        <v>0</v>
      </c>
      <c r="G33" s="5" t="n">
        <v>0</v>
      </c>
      <c r="H33" s="5" t="n">
        <v>0</v>
      </c>
      <c r="I33" s="6" t="s">
        <v>3566</v>
      </c>
    </row>
    <row r="34" customFormat="false" ht="15" hidden="false" customHeight="false" outlineLevel="0" collapsed="false">
      <c r="A34" s="5" t="s">
        <v>422</v>
      </c>
      <c r="B34" s="5" t="n">
        <v>1</v>
      </c>
      <c r="C34" s="5" t="n">
        <v>0</v>
      </c>
      <c r="D34" s="5" t="n">
        <v>0</v>
      </c>
      <c r="E34" s="5" t="n">
        <v>1</v>
      </c>
      <c r="F34" s="5" t="n">
        <v>0</v>
      </c>
      <c r="G34" s="5" t="n">
        <v>0</v>
      </c>
      <c r="H34" s="5" t="n">
        <v>0</v>
      </c>
      <c r="I34" s="6" t="s">
        <v>419</v>
      </c>
    </row>
    <row r="35" customFormat="false" ht="15" hidden="false" customHeight="false" outlineLevel="0" collapsed="false">
      <c r="A35" s="5" t="s">
        <v>428</v>
      </c>
      <c r="B35" s="5" t="n">
        <v>1</v>
      </c>
      <c r="C35" s="5" t="n">
        <v>0</v>
      </c>
      <c r="D35" s="5" t="n">
        <v>0</v>
      </c>
      <c r="E35" s="5" t="n">
        <v>1</v>
      </c>
      <c r="F35" s="5" t="n">
        <v>0</v>
      </c>
      <c r="G35" s="5" t="n">
        <v>0</v>
      </c>
      <c r="H35" s="5" t="n">
        <v>0</v>
      </c>
      <c r="I35" s="6" t="s">
        <v>425</v>
      </c>
    </row>
    <row r="36" customFormat="false" ht="15" hidden="false" customHeight="false" outlineLevel="0" collapsed="false">
      <c r="A36" s="6" t="s">
        <v>445</v>
      </c>
      <c r="B36" s="5" t="n">
        <v>2</v>
      </c>
      <c r="C36" s="5" t="n">
        <v>0</v>
      </c>
      <c r="D36" s="5" t="n">
        <v>0</v>
      </c>
      <c r="E36" s="5" t="n">
        <v>2</v>
      </c>
      <c r="F36" s="5" t="n">
        <v>0</v>
      </c>
      <c r="G36" s="5" t="n">
        <v>0</v>
      </c>
      <c r="H36" s="5" t="n">
        <v>0</v>
      </c>
      <c r="I36" s="6" t="s">
        <v>3567</v>
      </c>
    </row>
    <row r="37" customFormat="false" ht="15" hidden="false" customHeight="false" outlineLevel="0" collapsed="false">
      <c r="A37" s="5" t="s">
        <v>1453</v>
      </c>
      <c r="B37" s="5" t="n">
        <v>1</v>
      </c>
      <c r="C37" s="5" t="n">
        <v>0</v>
      </c>
      <c r="D37" s="5" t="n">
        <v>1</v>
      </c>
      <c r="E37" s="5" t="n">
        <v>0</v>
      </c>
      <c r="F37" s="5" t="n">
        <v>0</v>
      </c>
      <c r="G37" s="5" t="n">
        <v>0</v>
      </c>
      <c r="H37" s="5" t="n">
        <v>0</v>
      </c>
      <c r="I37" s="6" t="s">
        <v>1451</v>
      </c>
    </row>
    <row r="38" customFormat="false" ht="15" hidden="false" customHeight="false" outlineLevel="0" collapsed="false">
      <c r="A38" s="5" t="s">
        <v>1480</v>
      </c>
      <c r="B38" s="5" t="n">
        <v>1</v>
      </c>
      <c r="C38" s="5" t="n">
        <v>0</v>
      </c>
      <c r="D38" s="5" t="n">
        <v>1</v>
      </c>
      <c r="E38" s="5" t="n">
        <v>0</v>
      </c>
      <c r="F38" s="5" t="n">
        <v>0</v>
      </c>
      <c r="G38" s="5" t="n">
        <v>0</v>
      </c>
      <c r="H38" s="5" t="n">
        <v>0</v>
      </c>
      <c r="I38" s="6" t="s">
        <v>1478</v>
      </c>
    </row>
    <row r="39" customFormat="false" ht="15" hidden="false" customHeight="false" outlineLevel="0" collapsed="false">
      <c r="A39" s="5" t="s">
        <v>1470</v>
      </c>
      <c r="B39" s="5" t="n">
        <v>1</v>
      </c>
      <c r="C39" s="5" t="n">
        <v>0</v>
      </c>
      <c r="D39" s="5" t="n">
        <v>1</v>
      </c>
      <c r="E39" s="5" t="n">
        <v>0</v>
      </c>
      <c r="F39" s="5" t="n">
        <v>0</v>
      </c>
      <c r="G39" s="5" t="n">
        <v>0</v>
      </c>
      <c r="H39" s="5" t="n">
        <v>0</v>
      </c>
      <c r="I39" s="6" t="s">
        <v>1465</v>
      </c>
    </row>
    <row r="40" customFormat="false" ht="15" hidden="false" customHeight="false" outlineLevel="0" collapsed="false">
      <c r="A40" s="5" t="s">
        <v>1525</v>
      </c>
      <c r="B40" s="5" t="n">
        <v>1</v>
      </c>
      <c r="C40" s="5" t="n">
        <v>0</v>
      </c>
      <c r="D40" s="5" t="n">
        <v>1</v>
      </c>
      <c r="E40" s="5" t="n">
        <v>0</v>
      </c>
      <c r="F40" s="5" t="n">
        <v>0</v>
      </c>
      <c r="G40" s="5" t="n">
        <v>0</v>
      </c>
      <c r="H40" s="5" t="n">
        <v>0</v>
      </c>
      <c r="I40" s="6" t="s">
        <v>1521</v>
      </c>
    </row>
    <row r="41" customFormat="false" ht="15" hidden="false" customHeight="false" outlineLevel="0" collapsed="false">
      <c r="A41" s="5" t="s">
        <v>1448</v>
      </c>
      <c r="B41" s="5" t="n">
        <v>1</v>
      </c>
      <c r="C41" s="5" t="n">
        <v>0</v>
      </c>
      <c r="D41" s="5" t="n">
        <v>1</v>
      </c>
      <c r="E41" s="5" t="n">
        <v>0</v>
      </c>
      <c r="F41" s="5" t="n">
        <v>0</v>
      </c>
      <c r="G41" s="5" t="n">
        <v>0</v>
      </c>
      <c r="H41" s="5" t="n">
        <v>0</v>
      </c>
      <c r="I41" s="6" t="s">
        <v>1446</v>
      </c>
    </row>
    <row r="42" customFormat="false" ht="15" hidden="false" customHeight="false" outlineLevel="0" collapsed="false">
      <c r="A42" s="6" t="s">
        <v>461</v>
      </c>
      <c r="B42" s="5" t="n">
        <v>1</v>
      </c>
      <c r="C42" s="5" t="n">
        <v>0</v>
      </c>
      <c r="D42" s="5" t="n">
        <v>0</v>
      </c>
      <c r="E42" s="5" t="n">
        <v>1</v>
      </c>
      <c r="F42" s="5" t="n">
        <v>0</v>
      </c>
      <c r="G42" s="5" t="n">
        <v>0</v>
      </c>
      <c r="H42" s="5" t="n">
        <v>0</v>
      </c>
      <c r="I42" s="6" t="s">
        <v>459</v>
      </c>
    </row>
    <row r="43" customFormat="false" ht="15" hidden="false" customHeight="false" outlineLevel="0" collapsed="false">
      <c r="A43" s="5" t="s">
        <v>456</v>
      </c>
      <c r="B43" s="5" t="n">
        <v>1</v>
      </c>
      <c r="C43" s="5" t="n">
        <v>0</v>
      </c>
      <c r="D43" s="5" t="n">
        <v>0</v>
      </c>
      <c r="E43" s="5" t="n">
        <v>1</v>
      </c>
      <c r="F43" s="5" t="n">
        <v>0</v>
      </c>
      <c r="G43" s="5" t="n">
        <v>0</v>
      </c>
      <c r="H43" s="5" t="n">
        <v>0</v>
      </c>
      <c r="I43" s="6" t="s">
        <v>453</v>
      </c>
    </row>
    <row r="44" customFormat="false" ht="15" hidden="false" customHeight="false" outlineLevel="0" collapsed="false">
      <c r="A44" s="5" t="s">
        <v>527</v>
      </c>
      <c r="B44" s="5" t="n">
        <v>1</v>
      </c>
      <c r="C44" s="5" t="n">
        <v>0</v>
      </c>
      <c r="D44" s="5" t="n">
        <v>0</v>
      </c>
      <c r="E44" s="5" t="n">
        <v>0</v>
      </c>
      <c r="F44" s="5" t="n">
        <v>1</v>
      </c>
      <c r="G44" s="5" t="n">
        <v>0</v>
      </c>
      <c r="H44" s="5" t="n">
        <v>0</v>
      </c>
      <c r="I44" s="6" t="s">
        <v>523</v>
      </c>
    </row>
    <row r="45" customFormat="false" ht="15" hidden="false" customHeight="false" outlineLevel="0" collapsed="false">
      <c r="A45" s="5" t="s">
        <v>562</v>
      </c>
      <c r="B45" s="5" t="n">
        <v>1</v>
      </c>
      <c r="C45" s="5" t="n">
        <v>0</v>
      </c>
      <c r="D45" s="5" t="n">
        <v>0</v>
      </c>
      <c r="E45" s="5" t="n">
        <v>0</v>
      </c>
      <c r="F45" s="5" t="n">
        <v>1</v>
      </c>
      <c r="G45" s="5" t="n">
        <v>0</v>
      </c>
      <c r="H45" s="5" t="n">
        <v>0</v>
      </c>
      <c r="I45" s="6" t="s">
        <v>560</v>
      </c>
    </row>
    <row r="46" customFormat="false" ht="15" hidden="false" customHeight="false" outlineLevel="0" collapsed="false">
      <c r="A46" s="5" t="s">
        <v>1427</v>
      </c>
      <c r="B46" s="5" t="n">
        <v>1</v>
      </c>
      <c r="C46" s="5" t="n">
        <v>0</v>
      </c>
      <c r="D46" s="5" t="n">
        <v>1</v>
      </c>
      <c r="E46" s="5" t="n">
        <v>0</v>
      </c>
      <c r="F46" s="5" t="n">
        <v>0</v>
      </c>
      <c r="G46" s="5" t="n">
        <v>0</v>
      </c>
      <c r="H46" s="5" t="n">
        <v>0</v>
      </c>
      <c r="I46" s="6" t="s">
        <v>1425</v>
      </c>
    </row>
    <row r="47" customFormat="false" ht="15" hidden="false" customHeight="false" outlineLevel="0" collapsed="false">
      <c r="A47" s="5" t="s">
        <v>1490</v>
      </c>
      <c r="B47" s="5" t="n">
        <v>1</v>
      </c>
      <c r="C47" s="5" t="n">
        <v>0</v>
      </c>
      <c r="D47" s="5" t="n">
        <v>1</v>
      </c>
      <c r="E47" s="5" t="n">
        <v>0</v>
      </c>
      <c r="F47" s="5" t="n">
        <v>0</v>
      </c>
      <c r="G47" s="5" t="n">
        <v>0</v>
      </c>
      <c r="H47" s="5" t="n">
        <v>0</v>
      </c>
      <c r="I47" s="6" t="s">
        <v>1488</v>
      </c>
    </row>
    <row r="48" customFormat="false" ht="15" hidden="false" customHeight="false" outlineLevel="0" collapsed="false">
      <c r="A48" s="5" t="s">
        <v>1530</v>
      </c>
      <c r="B48" s="5" t="n">
        <v>1</v>
      </c>
      <c r="C48" s="5" t="n">
        <v>0</v>
      </c>
      <c r="D48" s="5" t="n">
        <v>1</v>
      </c>
      <c r="E48" s="5" t="n">
        <v>0</v>
      </c>
      <c r="F48" s="5" t="n">
        <v>0</v>
      </c>
      <c r="G48" s="5" t="n">
        <v>0</v>
      </c>
      <c r="H48" s="5" t="n">
        <v>0</v>
      </c>
      <c r="I48" s="6" t="s">
        <v>1528</v>
      </c>
    </row>
    <row r="49" customFormat="false" ht="15" hidden="false" customHeight="false" outlineLevel="0" collapsed="false">
      <c r="A49" s="5" t="s">
        <v>895</v>
      </c>
      <c r="B49" s="5" t="n">
        <v>1</v>
      </c>
      <c r="C49" s="5" t="n">
        <v>0</v>
      </c>
      <c r="D49" s="5" t="n">
        <v>0</v>
      </c>
      <c r="E49" s="5" t="n">
        <v>0</v>
      </c>
      <c r="F49" s="5" t="n">
        <v>0</v>
      </c>
      <c r="G49" s="5" t="n">
        <v>1</v>
      </c>
      <c r="H49" s="5" t="n">
        <v>0</v>
      </c>
      <c r="I49" s="6" t="s">
        <v>893</v>
      </c>
    </row>
    <row r="50" customFormat="false" ht="15" hidden="false" customHeight="false" outlineLevel="0" collapsed="false">
      <c r="A50" s="5" t="s">
        <v>918</v>
      </c>
      <c r="B50" s="5" t="n">
        <v>1</v>
      </c>
      <c r="C50" s="5" t="n">
        <v>0</v>
      </c>
      <c r="D50" s="5" t="n">
        <v>0</v>
      </c>
      <c r="E50" s="5" t="n">
        <v>0</v>
      </c>
      <c r="F50" s="5" t="n">
        <v>0</v>
      </c>
      <c r="G50" s="5" t="n">
        <v>1</v>
      </c>
      <c r="H50" s="5" t="n">
        <v>0</v>
      </c>
      <c r="I50" s="6" t="s">
        <v>916</v>
      </c>
    </row>
    <row r="51" customFormat="false" ht="15" hidden="false" customHeight="false" outlineLevel="0" collapsed="false">
      <c r="A51" s="5" t="s">
        <v>1232</v>
      </c>
      <c r="B51" s="5" t="n">
        <v>1</v>
      </c>
      <c r="C51" s="5" t="n">
        <v>0</v>
      </c>
      <c r="D51" s="5" t="n">
        <v>1</v>
      </c>
      <c r="E51" s="5" t="n">
        <v>0</v>
      </c>
      <c r="F51" s="5" t="n">
        <v>0</v>
      </c>
      <c r="G51" s="5" t="n">
        <v>0</v>
      </c>
      <c r="H51" s="5" t="n">
        <v>0</v>
      </c>
      <c r="I51" s="6" t="s">
        <v>1228</v>
      </c>
    </row>
    <row r="52" customFormat="false" ht="15" hidden="false" customHeight="false" outlineLevel="0" collapsed="false">
      <c r="A52" s="5" t="s">
        <v>1249</v>
      </c>
      <c r="B52" s="5" t="n">
        <v>1</v>
      </c>
      <c r="C52" s="5" t="n">
        <v>0</v>
      </c>
      <c r="D52" s="5" t="n">
        <v>1</v>
      </c>
      <c r="E52" s="5" t="n">
        <v>0</v>
      </c>
      <c r="F52" s="5" t="n">
        <v>0</v>
      </c>
      <c r="G52" s="5" t="n">
        <v>0</v>
      </c>
      <c r="H52" s="5" t="n">
        <v>0</v>
      </c>
      <c r="I52" s="6" t="s">
        <v>1247</v>
      </c>
    </row>
    <row r="53" customFormat="false" ht="15" hidden="false" customHeight="false" outlineLevel="0" collapsed="false">
      <c r="A53" s="5" t="s">
        <v>1422</v>
      </c>
      <c r="B53" s="5" t="n">
        <v>1</v>
      </c>
      <c r="C53" s="5" t="n">
        <v>0</v>
      </c>
      <c r="D53" s="5" t="n">
        <v>1</v>
      </c>
      <c r="E53" s="5" t="n">
        <v>0</v>
      </c>
      <c r="F53" s="5" t="n">
        <v>0</v>
      </c>
      <c r="G53" s="5" t="n">
        <v>0</v>
      </c>
      <c r="H53" s="5" t="n">
        <v>0</v>
      </c>
      <c r="I53" s="6" t="s">
        <v>1420</v>
      </c>
    </row>
    <row r="54" customFormat="false" ht="15" hidden="false" customHeight="false" outlineLevel="0" collapsed="false">
      <c r="A54" s="5" t="s">
        <v>622</v>
      </c>
      <c r="B54" s="5" t="n">
        <v>2</v>
      </c>
      <c r="C54" s="5" t="n">
        <v>0</v>
      </c>
      <c r="D54" s="5" t="n">
        <v>0</v>
      </c>
      <c r="E54" s="5" t="n">
        <v>0</v>
      </c>
      <c r="F54" s="5" t="n">
        <v>1</v>
      </c>
      <c r="G54" s="5" t="n">
        <v>1</v>
      </c>
      <c r="H54" s="5" t="n">
        <v>0</v>
      </c>
      <c r="I54" s="6" t="s">
        <v>3568</v>
      </c>
    </row>
    <row r="55" customFormat="false" ht="15" hidden="false" customHeight="false" outlineLevel="0" collapsed="false">
      <c r="A55" s="5" t="s">
        <v>647</v>
      </c>
      <c r="B55" s="5" t="n">
        <v>1</v>
      </c>
      <c r="C55" s="5" t="n">
        <v>0</v>
      </c>
      <c r="D55" s="5" t="n">
        <v>0</v>
      </c>
      <c r="E55" s="5" t="n">
        <v>0</v>
      </c>
      <c r="F55" s="5" t="n">
        <v>1</v>
      </c>
      <c r="G55" s="5" t="n">
        <v>0</v>
      </c>
      <c r="H55" s="5" t="n">
        <v>0</v>
      </c>
      <c r="I55" s="6" t="s">
        <v>643</v>
      </c>
    </row>
    <row r="56" customFormat="false" ht="15" hidden="false" customHeight="false" outlineLevel="0" collapsed="false">
      <c r="A56" s="5" t="s">
        <v>700</v>
      </c>
      <c r="B56" s="5" t="n">
        <v>1</v>
      </c>
      <c r="C56" s="5" t="n">
        <v>0</v>
      </c>
      <c r="D56" s="5" t="n">
        <v>0</v>
      </c>
      <c r="E56" s="5" t="n">
        <v>0</v>
      </c>
      <c r="F56" s="5" t="n">
        <v>1</v>
      </c>
      <c r="G56" s="5" t="n">
        <v>0</v>
      </c>
      <c r="H56" s="5" t="n">
        <v>0</v>
      </c>
      <c r="I56" s="6" t="s">
        <v>697</v>
      </c>
    </row>
    <row r="57" customFormat="false" ht="15" hidden="false" customHeight="false" outlineLevel="0" collapsed="false">
      <c r="A57" s="5" t="s">
        <v>705</v>
      </c>
      <c r="B57" s="5" t="n">
        <v>1</v>
      </c>
      <c r="C57" s="5" t="n">
        <v>0</v>
      </c>
      <c r="D57" s="5" t="n">
        <v>0</v>
      </c>
      <c r="E57" s="5" t="n">
        <v>0</v>
      </c>
      <c r="F57" s="5" t="n">
        <v>1</v>
      </c>
      <c r="G57" s="5" t="n">
        <v>0</v>
      </c>
      <c r="H57" s="5" t="n">
        <v>0</v>
      </c>
      <c r="I57" s="6" t="s">
        <v>703</v>
      </c>
    </row>
    <row r="58" customFormat="false" ht="15" hidden="false" customHeight="false" outlineLevel="0" collapsed="false">
      <c r="A58" s="5" t="s">
        <v>943</v>
      </c>
      <c r="B58" s="5" t="n">
        <v>1</v>
      </c>
      <c r="C58" s="5" t="n">
        <v>0</v>
      </c>
      <c r="D58" s="5" t="n">
        <v>0</v>
      </c>
      <c r="E58" s="5" t="n">
        <v>0</v>
      </c>
      <c r="F58" s="5" t="n">
        <v>0</v>
      </c>
      <c r="G58" s="5" t="n">
        <v>1</v>
      </c>
      <c r="H58" s="5" t="n">
        <v>0</v>
      </c>
      <c r="I58" s="6" t="s">
        <v>940</v>
      </c>
    </row>
    <row r="59" customFormat="false" ht="15" hidden="false" customHeight="false" outlineLevel="0" collapsed="false">
      <c r="A59" s="5" t="s">
        <v>594</v>
      </c>
      <c r="B59" s="5" t="n">
        <v>2</v>
      </c>
      <c r="C59" s="5" t="n">
        <v>0</v>
      </c>
      <c r="D59" s="5" t="n">
        <v>0</v>
      </c>
      <c r="E59" s="5" t="n">
        <v>0</v>
      </c>
      <c r="F59" s="5" t="n">
        <v>1</v>
      </c>
      <c r="G59" s="5" t="n">
        <v>1</v>
      </c>
      <c r="H59" s="5" t="n">
        <v>0</v>
      </c>
      <c r="I59" s="6" t="s">
        <v>3569</v>
      </c>
    </row>
    <row r="60" customFormat="false" ht="15" hidden="false" customHeight="false" outlineLevel="0" collapsed="false">
      <c r="A60" s="5" t="s">
        <v>535</v>
      </c>
      <c r="B60" s="5" t="n">
        <v>1</v>
      </c>
      <c r="C60" s="5" t="n">
        <v>0</v>
      </c>
      <c r="D60" s="5" t="n">
        <v>0</v>
      </c>
      <c r="E60" s="5" t="n">
        <v>0</v>
      </c>
      <c r="F60" s="5" t="n">
        <v>1</v>
      </c>
      <c r="G60" s="5" t="n">
        <v>0</v>
      </c>
      <c r="H60" s="5" t="n">
        <v>0</v>
      </c>
      <c r="I60" s="6" t="s">
        <v>533</v>
      </c>
    </row>
    <row r="61" customFormat="false" ht="15" hidden="false" customHeight="false" outlineLevel="0" collapsed="false">
      <c r="A61" s="5" t="s">
        <v>557</v>
      </c>
      <c r="B61" s="5" t="n">
        <v>1</v>
      </c>
      <c r="C61" s="5" t="n">
        <v>0</v>
      </c>
      <c r="D61" s="5" t="n">
        <v>0</v>
      </c>
      <c r="E61" s="5" t="n">
        <v>0</v>
      </c>
      <c r="F61" s="5" t="n">
        <v>1</v>
      </c>
      <c r="G61" s="5" t="n">
        <v>0</v>
      </c>
      <c r="H61" s="5" t="n">
        <v>0</v>
      </c>
      <c r="I61" s="6" t="s">
        <v>553</v>
      </c>
    </row>
    <row r="62" customFormat="false" ht="15" hidden="false" customHeight="false" outlineLevel="0" collapsed="false">
      <c r="A62" s="5" t="s">
        <v>710</v>
      </c>
      <c r="B62" s="5" t="n">
        <v>1</v>
      </c>
      <c r="C62" s="5" t="n">
        <v>0</v>
      </c>
      <c r="D62" s="5" t="n">
        <v>0</v>
      </c>
      <c r="E62" s="5" t="n">
        <v>0</v>
      </c>
      <c r="F62" s="5" t="n">
        <v>1</v>
      </c>
      <c r="G62" s="5" t="n">
        <v>0</v>
      </c>
      <c r="H62" s="5" t="n">
        <v>0</v>
      </c>
      <c r="I62" s="6" t="s">
        <v>708</v>
      </c>
    </row>
    <row r="63" customFormat="false" ht="15" hidden="false" customHeight="false" outlineLevel="0" collapsed="false">
      <c r="A63" s="5" t="s">
        <v>715</v>
      </c>
      <c r="B63" s="5" t="n">
        <v>1</v>
      </c>
      <c r="C63" s="5" t="n">
        <v>0</v>
      </c>
      <c r="D63" s="5" t="n">
        <v>0</v>
      </c>
      <c r="E63" s="5" t="n">
        <v>0</v>
      </c>
      <c r="F63" s="5" t="n">
        <v>1</v>
      </c>
      <c r="G63" s="5" t="n">
        <v>0</v>
      </c>
      <c r="H63" s="5" t="n">
        <v>0</v>
      </c>
      <c r="I63" s="6" t="s">
        <v>713</v>
      </c>
    </row>
    <row r="64" customFormat="false" ht="15" hidden="false" customHeight="false" outlineLevel="0" collapsed="false">
      <c r="A64" s="5" t="s">
        <v>1287</v>
      </c>
      <c r="B64" s="5" t="n">
        <v>1</v>
      </c>
      <c r="C64" s="5" t="n">
        <v>0</v>
      </c>
      <c r="D64" s="5" t="n">
        <v>1</v>
      </c>
      <c r="E64" s="5" t="n">
        <v>0</v>
      </c>
      <c r="F64" s="5" t="n">
        <v>0</v>
      </c>
      <c r="G64" s="5" t="n">
        <v>0</v>
      </c>
      <c r="H64" s="5" t="n">
        <v>0</v>
      </c>
      <c r="I64" s="6" t="s">
        <v>1284</v>
      </c>
    </row>
    <row r="65" customFormat="false" ht="15" hidden="false" customHeight="false" outlineLevel="0" collapsed="false">
      <c r="A65" s="5" t="s">
        <v>799</v>
      </c>
      <c r="B65" s="5" t="n">
        <v>2</v>
      </c>
      <c r="C65" s="5" t="n">
        <v>0</v>
      </c>
      <c r="D65" s="5" t="n">
        <v>0</v>
      </c>
      <c r="E65" s="5" t="n">
        <v>0</v>
      </c>
      <c r="F65" s="5" t="n">
        <v>0</v>
      </c>
      <c r="G65" s="5" t="n">
        <v>2</v>
      </c>
      <c r="H65" s="5" t="n">
        <v>0</v>
      </c>
      <c r="I65" s="6" t="s">
        <v>3570</v>
      </c>
    </row>
    <row r="66" customFormat="false" ht="15" hidden="false" customHeight="false" outlineLevel="0" collapsed="false">
      <c r="A66" s="5" t="s">
        <v>849</v>
      </c>
      <c r="B66" s="5" t="n">
        <v>2</v>
      </c>
      <c r="C66" s="5" t="n">
        <v>0</v>
      </c>
      <c r="D66" s="5" t="n">
        <v>1</v>
      </c>
      <c r="E66" s="5" t="n">
        <v>0</v>
      </c>
      <c r="F66" s="5" t="n">
        <v>0</v>
      </c>
      <c r="G66" s="5" t="n">
        <v>1</v>
      </c>
      <c r="H66" s="5" t="n">
        <v>0</v>
      </c>
      <c r="I66" s="6" t="s">
        <v>3571</v>
      </c>
    </row>
    <row r="67" customFormat="false" ht="15" hidden="false" customHeight="false" outlineLevel="0" collapsed="false">
      <c r="A67" s="5" t="s">
        <v>853</v>
      </c>
      <c r="B67" s="5" t="n">
        <v>2</v>
      </c>
      <c r="C67" s="5" t="n">
        <v>0</v>
      </c>
      <c r="D67" s="5" t="n">
        <v>1</v>
      </c>
      <c r="E67" s="5" t="n">
        <v>0</v>
      </c>
      <c r="F67" s="5" t="n">
        <v>0</v>
      </c>
      <c r="G67" s="5" t="n">
        <v>1</v>
      </c>
      <c r="H67" s="5" t="n">
        <v>0</v>
      </c>
      <c r="I67" s="6" t="s">
        <v>3572</v>
      </c>
    </row>
    <row r="68" customFormat="false" ht="15" hidden="false" customHeight="false" outlineLevel="0" collapsed="false">
      <c r="A68" s="5" t="s">
        <v>889</v>
      </c>
      <c r="B68" s="5" t="n">
        <v>2</v>
      </c>
      <c r="C68" s="5" t="n">
        <v>0</v>
      </c>
      <c r="D68" s="5" t="n">
        <v>0</v>
      </c>
      <c r="E68" s="5" t="n">
        <v>0</v>
      </c>
      <c r="F68" s="5" t="n">
        <v>0</v>
      </c>
      <c r="G68" s="5" t="n">
        <v>2</v>
      </c>
      <c r="H68" s="5" t="n">
        <v>0</v>
      </c>
      <c r="I68" s="6" t="s">
        <v>3573</v>
      </c>
    </row>
    <row r="69" customFormat="false" ht="15" hidden="false" customHeight="false" outlineLevel="0" collapsed="false">
      <c r="A69" s="5" t="s">
        <v>914</v>
      </c>
      <c r="B69" s="5" t="n">
        <v>1</v>
      </c>
      <c r="C69" s="5" t="n">
        <v>0</v>
      </c>
      <c r="D69" s="5" t="n">
        <v>0</v>
      </c>
      <c r="E69" s="5" t="n">
        <v>0</v>
      </c>
      <c r="F69" s="5" t="n">
        <v>0</v>
      </c>
      <c r="G69" s="5" t="n">
        <v>1</v>
      </c>
      <c r="H69" s="5" t="n">
        <v>0</v>
      </c>
      <c r="I69" s="6" t="s">
        <v>910</v>
      </c>
    </row>
    <row r="70" customFormat="false" ht="15" hidden="false" customHeight="false" outlineLevel="0" collapsed="false">
      <c r="A70" s="5" t="s">
        <v>1236</v>
      </c>
      <c r="B70" s="5" t="n">
        <v>1</v>
      </c>
      <c r="C70" s="5" t="n">
        <v>0</v>
      </c>
      <c r="D70" s="5" t="n">
        <v>1</v>
      </c>
      <c r="E70" s="5" t="n">
        <v>0</v>
      </c>
      <c r="F70" s="5" t="n">
        <v>0</v>
      </c>
      <c r="G70" s="5" t="n">
        <v>0</v>
      </c>
      <c r="H70" s="5" t="n">
        <v>0</v>
      </c>
      <c r="I70" s="6" t="s">
        <v>1234</v>
      </c>
    </row>
    <row r="71" customFormat="false" ht="15" hidden="false" customHeight="false" outlineLevel="0" collapsed="false">
      <c r="A71" s="5" t="s">
        <v>1207</v>
      </c>
      <c r="B71" s="5" t="n">
        <v>2</v>
      </c>
      <c r="C71" s="5" t="n">
        <v>0</v>
      </c>
      <c r="D71" s="5" t="n">
        <v>2</v>
      </c>
      <c r="E71" s="5" t="n">
        <v>0</v>
      </c>
      <c r="F71" s="5" t="n">
        <v>0</v>
      </c>
      <c r="G71" s="5" t="n">
        <v>0</v>
      </c>
      <c r="H71" s="5" t="n">
        <v>0</v>
      </c>
      <c r="I71" s="6" t="s">
        <v>3574</v>
      </c>
    </row>
    <row r="72" customFormat="false" ht="15" hidden="false" customHeight="false" outlineLevel="0" collapsed="false">
      <c r="A72" s="5" t="s">
        <v>1259</v>
      </c>
      <c r="B72" s="5" t="n">
        <v>1</v>
      </c>
      <c r="C72" s="5" t="n">
        <v>0</v>
      </c>
      <c r="D72" s="5" t="n">
        <v>1</v>
      </c>
      <c r="E72" s="5" t="n">
        <v>0</v>
      </c>
      <c r="F72" s="5" t="n">
        <v>0</v>
      </c>
      <c r="G72" s="5" t="n">
        <v>0</v>
      </c>
      <c r="H72" s="5" t="n">
        <v>0</v>
      </c>
      <c r="I72" s="6" t="s">
        <v>1257</v>
      </c>
    </row>
    <row r="73" customFormat="false" ht="15" hidden="false" customHeight="false" outlineLevel="0" collapsed="false">
      <c r="A73" s="5" t="s">
        <v>841</v>
      </c>
      <c r="B73" s="5" t="n">
        <v>2</v>
      </c>
      <c r="C73" s="5" t="n">
        <v>0</v>
      </c>
      <c r="D73" s="5" t="n">
        <v>1</v>
      </c>
      <c r="E73" s="5" t="n">
        <v>0</v>
      </c>
      <c r="F73" s="5" t="n">
        <v>0</v>
      </c>
      <c r="G73" s="5" t="n">
        <v>1</v>
      </c>
      <c r="H73" s="5" t="n">
        <v>0</v>
      </c>
      <c r="I73" s="6" t="s">
        <v>3575</v>
      </c>
    </row>
    <row r="74" customFormat="false" ht="15" hidden="false" customHeight="false" outlineLevel="0" collapsed="false">
      <c r="A74" s="5" t="s">
        <v>845</v>
      </c>
      <c r="B74" s="5" t="n">
        <v>2</v>
      </c>
      <c r="C74" s="5" t="n">
        <v>0</v>
      </c>
      <c r="D74" s="5" t="n">
        <v>1</v>
      </c>
      <c r="E74" s="5" t="n">
        <v>0</v>
      </c>
      <c r="F74" s="5" t="n">
        <v>0</v>
      </c>
      <c r="G74" s="5" t="n">
        <v>1</v>
      </c>
      <c r="H74" s="5" t="n">
        <v>0</v>
      </c>
      <c r="I74" s="6" t="s">
        <v>3576</v>
      </c>
    </row>
    <row r="75" customFormat="false" ht="15" hidden="false" customHeight="false" outlineLevel="0" collapsed="false">
      <c r="A75" s="5" t="s">
        <v>781</v>
      </c>
      <c r="B75" s="5" t="n">
        <v>3</v>
      </c>
      <c r="C75" s="5" t="n">
        <v>0</v>
      </c>
      <c r="D75" s="5" t="n">
        <v>1</v>
      </c>
      <c r="E75" s="5" t="n">
        <v>0</v>
      </c>
      <c r="F75" s="5" t="n">
        <v>1</v>
      </c>
      <c r="G75" s="5" t="n">
        <v>1</v>
      </c>
      <c r="H75" s="5" t="n">
        <v>0</v>
      </c>
      <c r="I75" s="6" t="s">
        <v>3467</v>
      </c>
    </row>
    <row r="76" customFormat="false" ht="15" hidden="false" customHeight="false" outlineLevel="0" collapsed="false">
      <c r="A76" s="5" t="s">
        <v>582</v>
      </c>
      <c r="B76" s="5" t="n">
        <v>1</v>
      </c>
      <c r="C76" s="5" t="n">
        <v>0</v>
      </c>
      <c r="D76" s="5" t="n">
        <v>0</v>
      </c>
      <c r="E76" s="5" t="n">
        <v>0</v>
      </c>
      <c r="F76" s="5" t="n">
        <v>1</v>
      </c>
      <c r="G76" s="5" t="n">
        <v>0</v>
      </c>
      <c r="H76" s="5" t="n">
        <v>0</v>
      </c>
      <c r="I76" s="6" t="s">
        <v>578</v>
      </c>
    </row>
    <row r="77" customFormat="false" ht="15" hidden="false" customHeight="false" outlineLevel="0" collapsed="false">
      <c r="A77" s="6" t="s">
        <v>465</v>
      </c>
      <c r="B77" s="5" t="n">
        <v>1</v>
      </c>
      <c r="C77" s="5" t="n">
        <v>0</v>
      </c>
      <c r="D77" s="5" t="n">
        <v>0</v>
      </c>
      <c r="E77" s="5" t="n">
        <v>1</v>
      </c>
      <c r="F77" s="5" t="n">
        <v>0</v>
      </c>
      <c r="G77" s="5" t="n">
        <v>0</v>
      </c>
      <c r="H77" s="5" t="n">
        <v>0</v>
      </c>
      <c r="I77" s="6" t="s">
        <v>463</v>
      </c>
    </row>
    <row r="78" customFormat="false" ht="15" hidden="false" customHeight="false" outlineLevel="0" collapsed="false">
      <c r="A78" s="5" t="s">
        <v>476</v>
      </c>
      <c r="B78" s="5" t="n">
        <v>2</v>
      </c>
      <c r="C78" s="5" t="n">
        <v>0</v>
      </c>
      <c r="D78" s="5" t="n">
        <v>0</v>
      </c>
      <c r="E78" s="5" t="n">
        <v>2</v>
      </c>
      <c r="F78" s="5" t="n">
        <v>0</v>
      </c>
      <c r="G78" s="5" t="n">
        <v>0</v>
      </c>
      <c r="H78" s="5" t="n">
        <v>0</v>
      </c>
      <c r="I78" s="6" t="s">
        <v>3577</v>
      </c>
    </row>
    <row r="79" customFormat="false" ht="15" hidden="false" customHeight="false" outlineLevel="0" collapsed="false">
      <c r="A79" s="5" t="s">
        <v>471</v>
      </c>
      <c r="B79" s="5" t="n">
        <v>1</v>
      </c>
      <c r="C79" s="5" t="n">
        <v>0</v>
      </c>
      <c r="D79" s="5" t="n">
        <v>0</v>
      </c>
      <c r="E79" s="5" t="n">
        <v>1</v>
      </c>
      <c r="F79" s="5" t="n">
        <v>0</v>
      </c>
      <c r="G79" s="5" t="n">
        <v>0</v>
      </c>
      <c r="H79" s="5" t="n">
        <v>0</v>
      </c>
      <c r="I79" s="6" t="s">
        <v>468</v>
      </c>
    </row>
    <row r="80" customFormat="false" ht="15" hidden="false" customHeight="false" outlineLevel="0" collapsed="false">
      <c r="A80" s="5" t="s">
        <v>289</v>
      </c>
      <c r="B80" s="5" t="n">
        <v>1</v>
      </c>
      <c r="C80" s="5" t="n">
        <v>0</v>
      </c>
      <c r="D80" s="5" t="n">
        <v>0</v>
      </c>
      <c r="E80" s="5" t="n">
        <v>1</v>
      </c>
      <c r="F80" s="5" t="n">
        <v>0</v>
      </c>
      <c r="G80" s="5" t="n">
        <v>0</v>
      </c>
      <c r="H80" s="5" t="n">
        <v>0</v>
      </c>
      <c r="I80" s="6" t="s">
        <v>286</v>
      </c>
    </row>
    <row r="81" customFormat="false" ht="15" hidden="false" customHeight="false" outlineLevel="0" collapsed="false">
      <c r="A81" s="5" t="s">
        <v>272</v>
      </c>
      <c r="B81" s="5" t="n">
        <v>2</v>
      </c>
      <c r="C81" s="5" t="n">
        <v>0</v>
      </c>
      <c r="D81" s="5" t="n">
        <v>0</v>
      </c>
      <c r="E81" s="5" t="n">
        <v>2</v>
      </c>
      <c r="F81" s="5" t="n">
        <v>0</v>
      </c>
      <c r="G81" s="5" t="n">
        <v>0</v>
      </c>
      <c r="H81" s="5" t="n">
        <v>0</v>
      </c>
      <c r="I81" s="6" t="s">
        <v>3578</v>
      </c>
    </row>
    <row r="82" customFormat="false" ht="15" hidden="false" customHeight="false" outlineLevel="0" collapsed="false">
      <c r="A82" s="5" t="s">
        <v>260</v>
      </c>
      <c r="B82" s="5" t="n">
        <v>2</v>
      </c>
      <c r="C82" s="5" t="n">
        <v>0</v>
      </c>
      <c r="D82" s="5" t="n">
        <v>0</v>
      </c>
      <c r="E82" s="5" t="n">
        <v>2</v>
      </c>
      <c r="F82" s="5" t="n">
        <v>0</v>
      </c>
      <c r="G82" s="5" t="n">
        <v>0</v>
      </c>
      <c r="H82" s="5" t="n">
        <v>0</v>
      </c>
      <c r="I82" s="6" t="s">
        <v>3579</v>
      </c>
    </row>
    <row r="83" customFormat="false" ht="15" hidden="false" customHeight="false" outlineLevel="0" collapsed="false">
      <c r="A83" s="5" t="s">
        <v>283</v>
      </c>
      <c r="B83" s="5" t="n">
        <v>1</v>
      </c>
      <c r="C83" s="5" t="n">
        <v>0</v>
      </c>
      <c r="D83" s="5" t="n">
        <v>0</v>
      </c>
      <c r="E83" s="5" t="n">
        <v>1</v>
      </c>
      <c r="F83" s="5" t="n">
        <v>0</v>
      </c>
      <c r="G83" s="5" t="n">
        <v>0</v>
      </c>
      <c r="H83" s="5" t="n">
        <v>0</v>
      </c>
      <c r="I83" s="6" t="s">
        <v>280</v>
      </c>
    </row>
    <row r="84" customFormat="false" ht="15" hidden="false" customHeight="false" outlineLevel="0" collapsed="false">
      <c r="A84" s="6" t="s">
        <v>166</v>
      </c>
      <c r="B84" s="5" t="n">
        <v>1</v>
      </c>
      <c r="C84" s="5" t="n">
        <v>0</v>
      </c>
      <c r="D84" s="5" t="n">
        <v>0</v>
      </c>
      <c r="E84" s="5" t="n">
        <v>1</v>
      </c>
      <c r="F84" s="5" t="n">
        <v>0</v>
      </c>
      <c r="G84" s="5" t="n">
        <v>0</v>
      </c>
      <c r="H84" s="5" t="n">
        <v>0</v>
      </c>
      <c r="I84" s="6" t="s">
        <v>163</v>
      </c>
    </row>
    <row r="85" customFormat="false" ht="15" hidden="false" customHeight="false" outlineLevel="0" collapsed="false">
      <c r="A85" s="5" t="s">
        <v>173</v>
      </c>
      <c r="B85" s="5" t="n">
        <v>1</v>
      </c>
      <c r="C85" s="5" t="n">
        <v>0</v>
      </c>
      <c r="D85" s="5" t="n">
        <v>0</v>
      </c>
      <c r="E85" s="5" t="n">
        <v>1</v>
      </c>
      <c r="F85" s="5" t="n">
        <v>0</v>
      </c>
      <c r="G85" s="5" t="n">
        <v>0</v>
      </c>
      <c r="H85" s="5" t="n">
        <v>0</v>
      </c>
      <c r="I85" s="6" t="s">
        <v>170</v>
      </c>
    </row>
    <row r="86" customFormat="false" ht="15" hidden="false" customHeight="false" outlineLevel="0" collapsed="false">
      <c r="A86" s="5" t="s">
        <v>639</v>
      </c>
      <c r="B86" s="5" t="n">
        <v>1</v>
      </c>
      <c r="C86" s="5" t="n">
        <v>0</v>
      </c>
      <c r="D86" s="5" t="n">
        <v>0</v>
      </c>
      <c r="E86" s="5" t="n">
        <v>0</v>
      </c>
      <c r="F86" s="5" t="n">
        <v>1</v>
      </c>
      <c r="G86" s="5" t="n">
        <v>0</v>
      </c>
      <c r="H86" s="5" t="n">
        <v>0</v>
      </c>
      <c r="I86" s="6" t="s">
        <v>637</v>
      </c>
    </row>
    <row r="87" customFormat="false" ht="15" hidden="false" customHeight="false" outlineLevel="0" collapsed="false">
      <c r="A87" s="5" t="s">
        <v>574</v>
      </c>
      <c r="B87" s="5" t="n">
        <v>2</v>
      </c>
      <c r="C87" s="5" t="n">
        <v>0</v>
      </c>
      <c r="D87" s="5" t="n">
        <v>0</v>
      </c>
      <c r="E87" s="5" t="n">
        <v>0</v>
      </c>
      <c r="F87" s="5" t="n">
        <v>1</v>
      </c>
      <c r="G87" s="5" t="n">
        <v>1</v>
      </c>
      <c r="H87" s="5" t="n">
        <v>0</v>
      </c>
      <c r="I87" s="6" t="s">
        <v>3580</v>
      </c>
    </row>
    <row r="88" customFormat="false" ht="15" hidden="false" customHeight="false" outlineLevel="0" collapsed="false">
      <c r="A88" s="5" t="s">
        <v>985</v>
      </c>
      <c r="B88" s="5" t="n">
        <v>2</v>
      </c>
      <c r="C88" s="5" t="n">
        <v>0</v>
      </c>
      <c r="D88" s="5" t="n">
        <v>1</v>
      </c>
      <c r="E88" s="5" t="n">
        <v>0</v>
      </c>
      <c r="F88" s="5" t="n">
        <v>0</v>
      </c>
      <c r="G88" s="5" t="n">
        <v>1</v>
      </c>
      <c r="H88" s="5" t="n">
        <v>0</v>
      </c>
      <c r="I88" s="6" t="s">
        <v>3581</v>
      </c>
    </row>
    <row r="89" customFormat="false" ht="15" hidden="false" customHeight="false" outlineLevel="0" collapsed="false">
      <c r="A89" s="6" t="s">
        <v>313</v>
      </c>
      <c r="B89" s="5" t="n">
        <v>1</v>
      </c>
      <c r="C89" s="5" t="n">
        <v>0</v>
      </c>
      <c r="D89" s="5" t="n">
        <v>0</v>
      </c>
      <c r="E89" s="5" t="n">
        <v>1</v>
      </c>
      <c r="F89" s="5" t="n">
        <v>0</v>
      </c>
      <c r="G89" s="5" t="n">
        <v>0</v>
      </c>
      <c r="H89" s="5" t="n">
        <v>0</v>
      </c>
      <c r="I89" s="6" t="s">
        <v>311</v>
      </c>
    </row>
    <row r="90" customFormat="false" ht="15" hidden="false" customHeight="false" outlineLevel="0" collapsed="false">
      <c r="A90" s="5" t="s">
        <v>295</v>
      </c>
      <c r="B90" s="5" t="n">
        <v>2</v>
      </c>
      <c r="C90" s="5" t="n">
        <v>0</v>
      </c>
      <c r="D90" s="5" t="n">
        <v>0</v>
      </c>
      <c r="E90" s="5" t="n">
        <v>2</v>
      </c>
      <c r="F90" s="5" t="n">
        <v>0</v>
      </c>
      <c r="G90" s="5" t="n">
        <v>0</v>
      </c>
      <c r="H90" s="5" t="n">
        <v>0</v>
      </c>
      <c r="I90" s="6" t="s">
        <v>3582</v>
      </c>
    </row>
    <row r="91" customFormat="false" ht="15" hidden="false" customHeight="false" outlineLevel="0" collapsed="false">
      <c r="A91" s="5" t="s">
        <v>307</v>
      </c>
      <c r="B91" s="5" t="n">
        <v>1</v>
      </c>
      <c r="C91" s="5" t="n">
        <v>0</v>
      </c>
      <c r="D91" s="5" t="n">
        <v>0</v>
      </c>
      <c r="E91" s="5" t="n">
        <v>1</v>
      </c>
      <c r="F91" s="5" t="n">
        <v>0</v>
      </c>
      <c r="G91" s="5" t="n">
        <v>0</v>
      </c>
      <c r="H91" s="5" t="n">
        <v>0</v>
      </c>
      <c r="I91" s="6" t="s">
        <v>304</v>
      </c>
    </row>
    <row r="92" customFormat="false" ht="15" hidden="false" customHeight="false" outlineLevel="0" collapsed="false">
      <c r="A92" s="5" t="s">
        <v>519</v>
      </c>
      <c r="B92" s="5" t="n">
        <v>1</v>
      </c>
      <c r="C92" s="5" t="n">
        <v>0</v>
      </c>
      <c r="D92" s="5" t="n">
        <v>0</v>
      </c>
      <c r="E92" s="5" t="n">
        <v>0</v>
      </c>
      <c r="F92" s="5" t="n">
        <v>1</v>
      </c>
      <c r="G92" s="5" t="n">
        <v>0</v>
      </c>
      <c r="H92" s="5" t="n">
        <v>0</v>
      </c>
      <c r="I92" s="6" t="s">
        <v>517</v>
      </c>
    </row>
    <row r="93" customFormat="false" ht="15" hidden="false" customHeight="false" outlineLevel="0" collapsed="false">
      <c r="A93" s="5" t="s">
        <v>501</v>
      </c>
      <c r="B93" s="5" t="n">
        <v>3</v>
      </c>
      <c r="C93" s="5" t="n">
        <v>0</v>
      </c>
      <c r="D93" s="5" t="n">
        <v>0</v>
      </c>
      <c r="E93" s="5" t="n">
        <v>0</v>
      </c>
      <c r="F93" s="5" t="n">
        <v>1</v>
      </c>
      <c r="G93" s="5" t="n">
        <v>2</v>
      </c>
      <c r="H93" s="5" t="n">
        <v>0</v>
      </c>
      <c r="I93" s="6" t="s">
        <v>3583</v>
      </c>
    </row>
    <row r="94" customFormat="false" ht="15" hidden="false" customHeight="false" outlineLevel="0" collapsed="false">
      <c r="A94" s="5" t="s">
        <v>1438</v>
      </c>
      <c r="B94" s="5" t="n">
        <v>1</v>
      </c>
      <c r="C94" s="5" t="n">
        <v>0</v>
      </c>
      <c r="D94" s="5" t="n">
        <v>1</v>
      </c>
      <c r="E94" s="5" t="n">
        <v>0</v>
      </c>
      <c r="F94" s="5" t="n">
        <v>0</v>
      </c>
      <c r="G94" s="5" t="n">
        <v>0</v>
      </c>
      <c r="H94" s="5" t="n">
        <v>0</v>
      </c>
      <c r="I94" s="6" t="s">
        <v>1436</v>
      </c>
    </row>
    <row r="95" customFormat="false" ht="15" hidden="false" customHeight="false" outlineLevel="0" collapsed="false">
      <c r="A95" s="5" t="s">
        <v>1485</v>
      </c>
      <c r="B95" s="5" t="n">
        <v>1</v>
      </c>
      <c r="C95" s="5" t="n">
        <v>0</v>
      </c>
      <c r="D95" s="5" t="n">
        <v>1</v>
      </c>
      <c r="E95" s="5" t="n">
        <v>0</v>
      </c>
      <c r="F95" s="5" t="n">
        <v>0</v>
      </c>
      <c r="G95" s="5" t="n">
        <v>0</v>
      </c>
      <c r="H95" s="5" t="n">
        <v>0</v>
      </c>
      <c r="I95" s="6" t="s">
        <v>1483</v>
      </c>
    </row>
    <row r="96" customFormat="false" ht="15" hidden="false" customHeight="false" outlineLevel="0" collapsed="false">
      <c r="A96" s="5" t="s">
        <v>1475</v>
      </c>
      <c r="B96" s="5" t="n">
        <v>1</v>
      </c>
      <c r="C96" s="5" t="n">
        <v>0</v>
      </c>
      <c r="D96" s="5" t="n">
        <v>1</v>
      </c>
      <c r="E96" s="5" t="n">
        <v>0</v>
      </c>
      <c r="F96" s="5" t="n">
        <v>0</v>
      </c>
      <c r="G96" s="5" t="n">
        <v>0</v>
      </c>
      <c r="H96" s="5" t="n">
        <v>0</v>
      </c>
      <c r="I96" s="6" t="s">
        <v>1473</v>
      </c>
    </row>
    <row r="97" customFormat="false" ht="15" hidden="false" customHeight="false" outlineLevel="0" collapsed="false">
      <c r="A97" s="5" t="s">
        <v>1495</v>
      </c>
      <c r="B97" s="5" t="n">
        <v>1</v>
      </c>
      <c r="C97" s="5" t="n">
        <v>0</v>
      </c>
      <c r="D97" s="5" t="n">
        <v>1</v>
      </c>
      <c r="E97" s="5" t="n">
        <v>0</v>
      </c>
      <c r="F97" s="5" t="n">
        <v>0</v>
      </c>
      <c r="G97" s="5" t="n">
        <v>0</v>
      </c>
      <c r="H97" s="5" t="n">
        <v>0</v>
      </c>
      <c r="I97" s="6" t="s">
        <v>1493</v>
      </c>
    </row>
    <row r="98" customFormat="false" ht="15" hidden="false" customHeight="false" outlineLevel="0" collapsed="false">
      <c r="A98" s="5" t="s">
        <v>1432</v>
      </c>
      <c r="B98" s="5" t="n">
        <v>1</v>
      </c>
      <c r="C98" s="5" t="n">
        <v>0</v>
      </c>
      <c r="D98" s="5" t="n">
        <v>1</v>
      </c>
      <c r="E98" s="5" t="n">
        <v>0</v>
      </c>
      <c r="F98" s="5" t="n">
        <v>0</v>
      </c>
      <c r="G98" s="5" t="n">
        <v>0</v>
      </c>
      <c r="H98" s="5" t="n">
        <v>0</v>
      </c>
      <c r="I98" s="6" t="s">
        <v>1430</v>
      </c>
    </row>
    <row r="99" customFormat="false" ht="15" hidden="false" customHeight="false" outlineLevel="0" collapsed="false">
      <c r="A99" s="5" t="s">
        <v>1443</v>
      </c>
      <c r="B99" s="5" t="n">
        <v>1</v>
      </c>
      <c r="C99" s="5" t="n">
        <v>0</v>
      </c>
      <c r="D99" s="5" t="n">
        <v>1</v>
      </c>
      <c r="E99" s="5" t="n">
        <v>0</v>
      </c>
      <c r="F99" s="5" t="n">
        <v>0</v>
      </c>
      <c r="G99" s="5" t="n">
        <v>0</v>
      </c>
      <c r="H99" s="5" t="n">
        <v>0</v>
      </c>
      <c r="I99" s="6" t="s">
        <v>1441</v>
      </c>
    </row>
    <row r="100" customFormat="false" ht="15" hidden="false" customHeight="false" outlineLevel="0" collapsed="false">
      <c r="A100" s="6" t="s">
        <v>325</v>
      </c>
      <c r="B100" s="5" t="n">
        <v>1</v>
      </c>
      <c r="C100" s="5" t="n">
        <v>0</v>
      </c>
      <c r="D100" s="5" t="n">
        <v>0</v>
      </c>
      <c r="E100" s="5" t="n">
        <v>1</v>
      </c>
      <c r="F100" s="5" t="n">
        <v>0</v>
      </c>
      <c r="G100" s="5" t="n">
        <v>0</v>
      </c>
      <c r="H100" s="5" t="n">
        <v>0</v>
      </c>
      <c r="I100" s="6" t="s">
        <v>323</v>
      </c>
    </row>
    <row r="101" customFormat="false" ht="15" hidden="false" customHeight="false" outlineLevel="0" collapsed="false">
      <c r="A101" s="5" t="s">
        <v>319</v>
      </c>
      <c r="B101" s="5" t="n">
        <v>1</v>
      </c>
      <c r="C101" s="5" t="n">
        <v>0</v>
      </c>
      <c r="D101" s="5" t="n">
        <v>0</v>
      </c>
      <c r="E101" s="5" t="n">
        <v>1</v>
      </c>
      <c r="F101" s="5" t="n">
        <v>0</v>
      </c>
      <c r="G101" s="5" t="n">
        <v>0</v>
      </c>
      <c r="H101" s="5" t="n">
        <v>0</v>
      </c>
      <c r="I101" s="6" t="s">
        <v>316</v>
      </c>
    </row>
    <row r="102" customFormat="false" ht="15" hidden="false" customHeight="false" outlineLevel="0" collapsed="false">
      <c r="A102" s="6" t="s">
        <v>155</v>
      </c>
      <c r="B102" s="5" t="n">
        <v>4</v>
      </c>
      <c r="C102" s="5" t="n">
        <v>0</v>
      </c>
      <c r="D102" s="5" t="n">
        <v>0</v>
      </c>
      <c r="E102" s="5" t="n">
        <v>4</v>
      </c>
      <c r="F102" s="5" t="n">
        <v>0</v>
      </c>
      <c r="G102" s="5" t="n">
        <v>0</v>
      </c>
      <c r="H102" s="5" t="n">
        <v>0</v>
      </c>
      <c r="I102" s="6" t="s">
        <v>3584</v>
      </c>
    </row>
    <row r="103" customFormat="false" ht="15" hidden="false" customHeight="false" outlineLevel="0" collapsed="false">
      <c r="A103" s="6" t="s">
        <v>203</v>
      </c>
      <c r="B103" s="5" t="n">
        <v>1</v>
      </c>
      <c r="C103" s="5" t="n">
        <v>0</v>
      </c>
      <c r="D103" s="5" t="n">
        <v>0</v>
      </c>
      <c r="E103" s="5" t="n">
        <v>1</v>
      </c>
      <c r="F103" s="5" t="n">
        <v>0</v>
      </c>
      <c r="G103" s="5" t="n">
        <v>0</v>
      </c>
      <c r="H103" s="5" t="n">
        <v>0</v>
      </c>
      <c r="I103" s="6" t="s">
        <v>201</v>
      </c>
    </row>
    <row r="104" customFormat="false" ht="15" hidden="false" customHeight="false" outlineLevel="0" collapsed="false">
      <c r="A104" s="5" t="s">
        <v>99</v>
      </c>
      <c r="B104" s="5" t="n">
        <v>2</v>
      </c>
      <c r="C104" s="5" t="n">
        <v>0</v>
      </c>
      <c r="D104" s="5" t="n">
        <v>0</v>
      </c>
      <c r="E104" s="5" t="n">
        <v>2</v>
      </c>
      <c r="F104" s="5" t="n">
        <v>0</v>
      </c>
      <c r="G104" s="5" t="n">
        <v>0</v>
      </c>
      <c r="H104" s="5" t="n">
        <v>0</v>
      </c>
      <c r="I104" s="6" t="s">
        <v>3585</v>
      </c>
    </row>
    <row r="105" customFormat="false" ht="15" hidden="false" customHeight="false" outlineLevel="0" collapsed="false">
      <c r="A105" s="5" t="s">
        <v>218</v>
      </c>
      <c r="B105" s="5" t="n">
        <v>1</v>
      </c>
      <c r="C105" s="5" t="n">
        <v>0</v>
      </c>
      <c r="D105" s="5" t="n">
        <v>0</v>
      </c>
      <c r="E105" s="5" t="n">
        <v>1</v>
      </c>
      <c r="F105" s="5" t="n">
        <v>0</v>
      </c>
      <c r="G105" s="5" t="n">
        <v>0</v>
      </c>
      <c r="H105" s="5" t="n">
        <v>0</v>
      </c>
      <c r="I105" s="6" t="s">
        <v>215</v>
      </c>
    </row>
    <row r="106" customFormat="false" ht="15" hidden="false" customHeight="false" outlineLevel="0" collapsed="false">
      <c r="A106" s="5" t="s">
        <v>330</v>
      </c>
      <c r="B106" s="5" t="n">
        <v>1</v>
      </c>
      <c r="C106" s="5" t="n">
        <v>0</v>
      </c>
      <c r="D106" s="5" t="n">
        <v>0</v>
      </c>
      <c r="E106" s="5" t="n">
        <v>1</v>
      </c>
      <c r="F106" s="5" t="n">
        <v>0</v>
      </c>
      <c r="G106" s="5" t="n">
        <v>0</v>
      </c>
      <c r="H106" s="5" t="n">
        <v>0</v>
      </c>
      <c r="I106" s="6" t="s">
        <v>327</v>
      </c>
    </row>
    <row r="107" customFormat="false" ht="15" hidden="false" customHeight="false" outlineLevel="0" collapsed="false">
      <c r="A107" s="6" t="s">
        <v>195</v>
      </c>
      <c r="B107" s="5" t="n">
        <v>1</v>
      </c>
      <c r="C107" s="5" t="n">
        <v>0</v>
      </c>
      <c r="D107" s="5" t="n">
        <v>0</v>
      </c>
      <c r="E107" s="5" t="n">
        <v>1</v>
      </c>
      <c r="F107" s="5" t="n">
        <v>0</v>
      </c>
      <c r="G107" s="5" t="n">
        <v>0</v>
      </c>
      <c r="H107" s="5" t="n">
        <v>0</v>
      </c>
      <c r="I107" s="6" t="s">
        <v>192</v>
      </c>
    </row>
    <row r="108" customFormat="false" ht="15" hidden="false" customHeight="false" outlineLevel="0" collapsed="false">
      <c r="A108" s="5" t="s">
        <v>210</v>
      </c>
      <c r="B108" s="5" t="n">
        <v>1</v>
      </c>
      <c r="C108" s="5" t="n">
        <v>0</v>
      </c>
      <c r="D108" s="5" t="n">
        <v>0</v>
      </c>
      <c r="E108" s="5" t="n">
        <v>1</v>
      </c>
      <c r="F108" s="5" t="n">
        <v>0</v>
      </c>
      <c r="G108" s="5" t="n">
        <v>0</v>
      </c>
      <c r="H108" s="5" t="n">
        <v>0</v>
      </c>
      <c r="I108" s="6" t="s">
        <v>207</v>
      </c>
    </row>
    <row r="109" customFormat="false" ht="15" hidden="false" customHeight="false" outlineLevel="0" collapsed="false">
      <c r="A109" s="5" t="s">
        <v>336</v>
      </c>
      <c r="B109" s="5" t="n">
        <v>1</v>
      </c>
      <c r="C109" s="5" t="n">
        <v>0</v>
      </c>
      <c r="D109" s="5" t="n">
        <v>0</v>
      </c>
      <c r="E109" s="5" t="n">
        <v>1</v>
      </c>
      <c r="F109" s="5" t="n">
        <v>0</v>
      </c>
      <c r="G109" s="5" t="n">
        <v>0</v>
      </c>
      <c r="H109" s="5" t="n">
        <v>0</v>
      </c>
      <c r="I109" s="6" t="s">
        <v>333</v>
      </c>
    </row>
    <row r="110" customFormat="false" ht="15" hidden="false" customHeight="false" outlineLevel="0" collapsed="false">
      <c r="A110" s="6" t="s">
        <v>149</v>
      </c>
      <c r="B110" s="5" t="n">
        <v>1</v>
      </c>
      <c r="C110" s="5" t="n">
        <v>0</v>
      </c>
      <c r="D110" s="5" t="n">
        <v>0</v>
      </c>
      <c r="E110" s="5" t="n">
        <v>1</v>
      </c>
      <c r="F110" s="5" t="n">
        <v>0</v>
      </c>
      <c r="G110" s="5" t="n">
        <v>0</v>
      </c>
      <c r="H110" s="5" t="n">
        <v>0</v>
      </c>
      <c r="I110" s="6" t="s">
        <v>147</v>
      </c>
    </row>
    <row r="111" customFormat="false" ht="15" hidden="false" customHeight="false" outlineLevel="0" collapsed="false">
      <c r="A111" s="5" t="s">
        <v>144</v>
      </c>
      <c r="B111" s="5" t="n">
        <v>1</v>
      </c>
      <c r="C111" s="5" t="n">
        <v>0</v>
      </c>
      <c r="D111" s="5" t="n">
        <v>0</v>
      </c>
      <c r="E111" s="5" t="n">
        <v>1</v>
      </c>
      <c r="F111" s="5" t="n">
        <v>0</v>
      </c>
      <c r="G111" s="5" t="n">
        <v>0</v>
      </c>
      <c r="H111" s="5" t="n">
        <v>0</v>
      </c>
      <c r="I111" s="6" t="s">
        <v>141</v>
      </c>
    </row>
    <row r="112" customFormat="false" ht="15" hidden="false" customHeight="false" outlineLevel="0" collapsed="false">
      <c r="A112" s="5" t="s">
        <v>958</v>
      </c>
      <c r="B112" s="5" t="n">
        <v>1</v>
      </c>
      <c r="C112" s="5" t="n">
        <v>0</v>
      </c>
      <c r="D112" s="5" t="n">
        <v>0</v>
      </c>
      <c r="E112" s="5" t="n">
        <v>0</v>
      </c>
      <c r="F112" s="5" t="n">
        <v>0</v>
      </c>
      <c r="G112" s="5" t="n">
        <v>1</v>
      </c>
      <c r="H112" s="5" t="n">
        <v>0</v>
      </c>
      <c r="I112" s="6" t="s">
        <v>956</v>
      </c>
    </row>
    <row r="113" customFormat="false" ht="15" hidden="false" customHeight="false" outlineLevel="0" collapsed="false">
      <c r="A113" s="5" t="s">
        <v>550</v>
      </c>
      <c r="B113" s="5" t="n">
        <v>1</v>
      </c>
      <c r="C113" s="5" t="n">
        <v>0</v>
      </c>
      <c r="D113" s="5" t="n">
        <v>0</v>
      </c>
      <c r="E113" s="5" t="n">
        <v>0</v>
      </c>
      <c r="F113" s="5" t="n">
        <v>1</v>
      </c>
      <c r="G113" s="5" t="n">
        <v>0</v>
      </c>
      <c r="H113" s="5" t="n">
        <v>0</v>
      </c>
      <c r="I113" s="6" t="s">
        <v>548</v>
      </c>
    </row>
    <row r="114" customFormat="false" ht="15" hidden="false" customHeight="false" outlineLevel="0" collapsed="false">
      <c r="A114" s="5" t="s">
        <v>608</v>
      </c>
      <c r="B114" s="5" t="n">
        <v>1</v>
      </c>
      <c r="C114" s="5" t="n">
        <v>0</v>
      </c>
      <c r="D114" s="5" t="n">
        <v>0</v>
      </c>
      <c r="E114" s="5" t="n">
        <v>0</v>
      </c>
      <c r="F114" s="5" t="n">
        <v>1</v>
      </c>
      <c r="G114" s="5" t="n">
        <v>0</v>
      </c>
      <c r="H114" s="5" t="n">
        <v>0</v>
      </c>
      <c r="I114" s="6" t="s">
        <v>606</v>
      </c>
    </row>
    <row r="115" customFormat="false" ht="15" hidden="false" customHeight="false" outlineLevel="0" collapsed="false">
      <c r="A115" s="5" t="s">
        <v>905</v>
      </c>
      <c r="B115" s="5" t="n">
        <v>1</v>
      </c>
      <c r="C115" s="5" t="n">
        <v>0</v>
      </c>
      <c r="D115" s="5" t="n">
        <v>0</v>
      </c>
      <c r="E115" s="5" t="n">
        <v>0</v>
      </c>
      <c r="F115" s="5" t="n">
        <v>0</v>
      </c>
      <c r="G115" s="5" t="n">
        <v>1</v>
      </c>
      <c r="H115" s="5" t="n">
        <v>0</v>
      </c>
      <c r="I115" s="6" t="s">
        <v>901</v>
      </c>
    </row>
    <row r="116" customFormat="false" ht="15" hidden="false" customHeight="false" outlineLevel="0" collapsed="false">
      <c r="A116" s="5" t="s">
        <v>1244</v>
      </c>
      <c r="B116" s="5" t="n">
        <v>1</v>
      </c>
      <c r="C116" s="5" t="n">
        <v>0</v>
      </c>
      <c r="D116" s="5" t="n">
        <v>1</v>
      </c>
      <c r="E116" s="5" t="n">
        <v>0</v>
      </c>
      <c r="F116" s="5" t="n">
        <v>0</v>
      </c>
      <c r="G116" s="5" t="n">
        <v>0</v>
      </c>
      <c r="H116" s="5" t="n">
        <v>0</v>
      </c>
      <c r="I116" s="6" t="s">
        <v>1242</v>
      </c>
    </row>
    <row r="117" customFormat="false" ht="15" hidden="false" customHeight="false" outlineLevel="0" collapsed="false">
      <c r="A117" s="5" t="s">
        <v>1273</v>
      </c>
      <c r="B117" s="5" t="n">
        <v>1</v>
      </c>
      <c r="C117" s="5" t="n">
        <v>0</v>
      </c>
      <c r="D117" s="5" t="n">
        <v>1</v>
      </c>
      <c r="E117" s="5" t="n">
        <v>0</v>
      </c>
      <c r="F117" s="5" t="n">
        <v>0</v>
      </c>
      <c r="G117" s="5" t="n">
        <v>0</v>
      </c>
      <c r="H117" s="5" t="n">
        <v>0</v>
      </c>
      <c r="I117" s="6" t="s">
        <v>1271</v>
      </c>
    </row>
    <row r="118" customFormat="false" ht="15" hidden="false" customHeight="false" outlineLevel="0" collapsed="false">
      <c r="A118" s="5" t="s">
        <v>615</v>
      </c>
      <c r="B118" s="5" t="n">
        <v>2</v>
      </c>
      <c r="C118" s="5" t="n">
        <v>0</v>
      </c>
      <c r="D118" s="5" t="n">
        <v>0</v>
      </c>
      <c r="E118" s="5" t="n">
        <v>0</v>
      </c>
      <c r="F118" s="5" t="n">
        <v>1</v>
      </c>
      <c r="G118" s="5" t="n">
        <v>1</v>
      </c>
      <c r="H118" s="5" t="n">
        <v>0</v>
      </c>
      <c r="I118" s="6" t="s">
        <v>3586</v>
      </c>
    </row>
    <row r="119" customFormat="false" ht="15" hidden="false" customHeight="false" outlineLevel="0" collapsed="false">
      <c r="A119" s="5" t="s">
        <v>909</v>
      </c>
      <c r="B119" s="5" t="n">
        <v>1</v>
      </c>
      <c r="C119" s="5" t="n">
        <v>0</v>
      </c>
      <c r="D119" s="5" t="n">
        <v>0</v>
      </c>
      <c r="E119" s="5" t="n">
        <v>0</v>
      </c>
      <c r="F119" s="5" t="n">
        <v>0</v>
      </c>
      <c r="G119" s="5" t="n">
        <v>1</v>
      </c>
      <c r="H119" s="5" t="n">
        <v>0</v>
      </c>
      <c r="I119" s="6" t="s">
        <v>907</v>
      </c>
    </row>
    <row r="120" customFormat="false" ht="15" hidden="false" customHeight="false" outlineLevel="0" collapsed="false">
      <c r="A120" s="5" t="s">
        <v>930</v>
      </c>
      <c r="B120" s="5" t="n">
        <v>1</v>
      </c>
      <c r="C120" s="5" t="n">
        <v>0</v>
      </c>
      <c r="D120" s="5" t="n">
        <v>0</v>
      </c>
      <c r="E120" s="5" t="n">
        <v>0</v>
      </c>
      <c r="F120" s="5" t="n">
        <v>0</v>
      </c>
      <c r="G120" s="5" t="n">
        <v>1</v>
      </c>
      <c r="H120" s="5" t="n">
        <v>0</v>
      </c>
      <c r="I120" s="6" t="s">
        <v>928</v>
      </c>
    </row>
    <row r="121" customFormat="false" ht="15" hidden="false" customHeight="false" outlineLevel="0" collapsed="false">
      <c r="A121" s="5" t="s">
        <v>954</v>
      </c>
      <c r="B121" s="5" t="n">
        <v>1</v>
      </c>
      <c r="C121" s="5" t="n">
        <v>0</v>
      </c>
      <c r="D121" s="5" t="n">
        <v>0</v>
      </c>
      <c r="E121" s="5" t="n">
        <v>0</v>
      </c>
      <c r="F121" s="5" t="n">
        <v>0</v>
      </c>
      <c r="G121" s="5" t="n">
        <v>1</v>
      </c>
      <c r="H121" s="5" t="n">
        <v>0</v>
      </c>
      <c r="I121" s="6" t="s">
        <v>951</v>
      </c>
    </row>
    <row r="122" customFormat="false" ht="15" hidden="false" customHeight="false" outlineLevel="0" collapsed="false">
      <c r="A122" s="5" t="s">
        <v>545</v>
      </c>
      <c r="B122" s="5" t="n">
        <v>1</v>
      </c>
      <c r="C122" s="5" t="n">
        <v>0</v>
      </c>
      <c r="D122" s="5" t="n">
        <v>0</v>
      </c>
      <c r="E122" s="5" t="n">
        <v>0</v>
      </c>
      <c r="F122" s="5" t="n">
        <v>1</v>
      </c>
      <c r="G122" s="5" t="n">
        <v>0</v>
      </c>
      <c r="H122" s="5" t="n">
        <v>0</v>
      </c>
      <c r="I122" s="6" t="s">
        <v>540</v>
      </c>
    </row>
    <row r="123" customFormat="false" ht="15" hidden="false" customHeight="false" outlineLevel="0" collapsed="false">
      <c r="A123" s="5" t="s">
        <v>569</v>
      </c>
      <c r="B123" s="5" t="n">
        <v>1</v>
      </c>
      <c r="C123" s="5" t="n">
        <v>0</v>
      </c>
      <c r="D123" s="5" t="n">
        <v>0</v>
      </c>
      <c r="E123" s="5" t="n">
        <v>0</v>
      </c>
      <c r="F123" s="5" t="n">
        <v>1</v>
      </c>
      <c r="G123" s="5" t="n">
        <v>0</v>
      </c>
      <c r="H123" s="5" t="n">
        <v>0</v>
      </c>
      <c r="I123" s="6" t="s">
        <v>565</v>
      </c>
    </row>
    <row r="124" customFormat="false" ht="15" hidden="false" customHeight="false" outlineLevel="0" collapsed="false">
      <c r="A124" s="5" t="s">
        <v>603</v>
      </c>
      <c r="B124" s="5" t="n">
        <v>1</v>
      </c>
      <c r="C124" s="5" t="n">
        <v>0</v>
      </c>
      <c r="D124" s="5" t="n">
        <v>0</v>
      </c>
      <c r="E124" s="5" t="n">
        <v>0</v>
      </c>
      <c r="F124" s="5" t="n">
        <v>1</v>
      </c>
      <c r="G124" s="5" t="n">
        <v>0</v>
      </c>
      <c r="H124" s="5" t="n">
        <v>0</v>
      </c>
      <c r="I124" s="6" t="s">
        <v>598</v>
      </c>
    </row>
    <row r="125" customFormat="false" ht="15" hidden="false" customHeight="false" outlineLevel="0" collapsed="false">
      <c r="A125" s="5" t="s">
        <v>1278</v>
      </c>
      <c r="B125" s="5" t="n">
        <v>1</v>
      </c>
      <c r="C125" s="5" t="n">
        <v>0</v>
      </c>
      <c r="D125" s="5" t="n">
        <v>1</v>
      </c>
      <c r="E125" s="5" t="n">
        <v>0</v>
      </c>
      <c r="F125" s="5" t="n">
        <v>0</v>
      </c>
      <c r="G125" s="5" t="n">
        <v>0</v>
      </c>
      <c r="H125" s="5" t="n">
        <v>0</v>
      </c>
      <c r="I125" s="6" t="s">
        <v>1275</v>
      </c>
    </row>
    <row r="126" customFormat="false" ht="15" hidden="false" customHeight="false" outlineLevel="0" collapsed="false">
      <c r="A126" s="5" t="s">
        <v>776</v>
      </c>
      <c r="B126" s="5" t="n">
        <v>3</v>
      </c>
      <c r="C126" s="5" t="n">
        <v>0</v>
      </c>
      <c r="D126" s="5" t="n">
        <v>1</v>
      </c>
      <c r="E126" s="5" t="n">
        <v>0</v>
      </c>
      <c r="F126" s="5" t="n">
        <v>1</v>
      </c>
      <c r="G126" s="5" t="n">
        <v>1</v>
      </c>
      <c r="H126" s="5" t="n">
        <v>0</v>
      </c>
      <c r="I126" s="6" t="s">
        <v>3475</v>
      </c>
    </row>
    <row r="127" customFormat="false" ht="15" hidden="false" customHeight="false" outlineLevel="0" collapsed="false">
      <c r="A127" s="5" t="s">
        <v>1240</v>
      </c>
      <c r="B127" s="5" t="n">
        <v>1</v>
      </c>
      <c r="C127" s="5" t="n">
        <v>0</v>
      </c>
      <c r="D127" s="5" t="n">
        <v>1</v>
      </c>
      <c r="E127" s="5" t="n">
        <v>0</v>
      </c>
      <c r="F127" s="5" t="n">
        <v>0</v>
      </c>
      <c r="G127" s="5" t="n">
        <v>0</v>
      </c>
      <c r="H127" s="5" t="n">
        <v>0</v>
      </c>
      <c r="I127" s="6" t="s">
        <v>1238</v>
      </c>
    </row>
    <row r="128" customFormat="false" ht="15" hidden="false" customHeight="false" outlineLevel="0" collapsed="false">
      <c r="A128" s="5" t="s">
        <v>1268</v>
      </c>
      <c r="B128" s="5" t="n">
        <v>1</v>
      </c>
      <c r="C128" s="5" t="n">
        <v>0</v>
      </c>
      <c r="D128" s="5" t="n">
        <v>1</v>
      </c>
      <c r="E128" s="5" t="n">
        <v>0</v>
      </c>
      <c r="F128" s="5" t="n">
        <v>0</v>
      </c>
      <c r="G128" s="5" t="n">
        <v>0</v>
      </c>
      <c r="H128" s="5" t="n">
        <v>0</v>
      </c>
      <c r="I128" s="6" t="s">
        <v>1265</v>
      </c>
    </row>
    <row r="129" customFormat="false" ht="15" hidden="false" customHeight="false" outlineLevel="0" collapsed="false">
      <c r="A129" s="5" t="s">
        <v>1372</v>
      </c>
      <c r="B129" s="5" t="n">
        <v>1</v>
      </c>
      <c r="C129" s="5" t="n">
        <v>0</v>
      </c>
      <c r="D129" s="5" t="n">
        <v>1</v>
      </c>
      <c r="E129" s="5" t="n">
        <v>0</v>
      </c>
      <c r="F129" s="5" t="n">
        <v>0</v>
      </c>
      <c r="G129" s="5" t="n">
        <v>0</v>
      </c>
      <c r="H129" s="5" t="n">
        <v>0</v>
      </c>
      <c r="I129" s="6" t="s">
        <v>1370</v>
      </c>
    </row>
    <row r="130" customFormat="false" ht="15" hidden="false" customHeight="false" outlineLevel="0" collapsed="false">
      <c r="A130" s="5" t="s">
        <v>511</v>
      </c>
      <c r="B130" s="5" t="n">
        <v>2</v>
      </c>
      <c r="C130" s="5" t="n">
        <v>0</v>
      </c>
      <c r="D130" s="5" t="n">
        <v>0</v>
      </c>
      <c r="E130" s="5" t="n">
        <v>0</v>
      </c>
      <c r="F130" s="5" t="n">
        <v>1</v>
      </c>
      <c r="G130" s="5" t="n">
        <v>1</v>
      </c>
      <c r="H130" s="5" t="n">
        <v>0</v>
      </c>
      <c r="I130" s="6" t="s">
        <v>3587</v>
      </c>
    </row>
    <row r="131" customFormat="false" ht="15" hidden="false" customHeight="false" outlineLevel="0" collapsed="false">
      <c r="A131" s="5" t="s">
        <v>341</v>
      </c>
      <c r="B131" s="5" t="n">
        <v>1</v>
      </c>
      <c r="C131" s="5" t="n">
        <v>0</v>
      </c>
      <c r="D131" s="5" t="n">
        <v>0</v>
      </c>
      <c r="E131" s="5" t="n">
        <v>1</v>
      </c>
      <c r="F131" s="5" t="n">
        <v>0</v>
      </c>
      <c r="G131" s="5" t="n">
        <v>0</v>
      </c>
      <c r="H131" s="5" t="n">
        <v>0</v>
      </c>
      <c r="I131" s="6" t="s">
        <v>338</v>
      </c>
    </row>
    <row r="132" customFormat="false" ht="15" hidden="false" customHeight="false" outlineLevel="0" collapsed="false">
      <c r="A132" s="5" t="s">
        <v>226</v>
      </c>
      <c r="B132" s="5" t="n">
        <v>2</v>
      </c>
      <c r="C132" s="5" t="n">
        <v>0</v>
      </c>
      <c r="D132" s="5" t="n">
        <v>0</v>
      </c>
      <c r="E132" s="5" t="n">
        <v>2</v>
      </c>
      <c r="F132" s="5" t="n">
        <v>0</v>
      </c>
      <c r="G132" s="5" t="n">
        <v>0</v>
      </c>
      <c r="H132" s="5" t="n">
        <v>0</v>
      </c>
      <c r="I132" s="6" t="s">
        <v>3588</v>
      </c>
    </row>
    <row r="133" customFormat="false" ht="15" hidden="false" customHeight="false" outlineLevel="0" collapsed="false">
      <c r="A133" s="5" t="s">
        <v>359</v>
      </c>
      <c r="B133" s="5" t="n">
        <v>1</v>
      </c>
      <c r="C133" s="5" t="n">
        <v>0</v>
      </c>
      <c r="D133" s="5" t="n">
        <v>0</v>
      </c>
      <c r="E133" s="5" t="n">
        <v>1</v>
      </c>
      <c r="F133" s="5" t="n">
        <v>0</v>
      </c>
      <c r="G133" s="5" t="n">
        <v>0</v>
      </c>
      <c r="H133" s="5" t="n">
        <v>0</v>
      </c>
      <c r="I133" s="6" t="s">
        <v>356</v>
      </c>
    </row>
    <row r="134" customFormat="false" ht="15" hidden="false" customHeight="false" outlineLevel="0" collapsed="false">
      <c r="A134" s="5" t="s">
        <v>348</v>
      </c>
      <c r="B134" s="5" t="n">
        <v>1</v>
      </c>
      <c r="C134" s="5" t="n">
        <v>0</v>
      </c>
      <c r="D134" s="5" t="n">
        <v>0</v>
      </c>
      <c r="E134" s="5" t="n">
        <v>1</v>
      </c>
      <c r="F134" s="5" t="n">
        <v>0</v>
      </c>
      <c r="G134" s="5" t="n">
        <v>0</v>
      </c>
      <c r="H134" s="5" t="n">
        <v>0</v>
      </c>
      <c r="I134" s="6" t="s">
        <v>345</v>
      </c>
    </row>
    <row r="135" customFormat="false" ht="15" hidden="false" customHeight="false" outlineLevel="0" collapsed="false">
      <c r="A135" s="5" t="s">
        <v>353</v>
      </c>
      <c r="B135" s="5" t="n">
        <v>1</v>
      </c>
      <c r="C135" s="5" t="n">
        <v>0</v>
      </c>
      <c r="D135" s="5" t="n">
        <v>0</v>
      </c>
      <c r="E135" s="5" t="n">
        <v>1</v>
      </c>
      <c r="F135" s="5" t="n">
        <v>0</v>
      </c>
      <c r="G135" s="5" t="n">
        <v>0</v>
      </c>
      <c r="H135" s="5" t="n">
        <v>0</v>
      </c>
      <c r="I135" s="6" t="s">
        <v>350</v>
      </c>
    </row>
    <row r="136" customFormat="false" ht="15" hidden="false" customHeight="false" outlineLevel="0" collapsed="false">
      <c r="A136" s="5" t="s">
        <v>365</v>
      </c>
      <c r="B136" s="5" t="n">
        <v>2</v>
      </c>
      <c r="C136" s="5" t="n">
        <v>0</v>
      </c>
      <c r="D136" s="5" t="n">
        <v>0</v>
      </c>
      <c r="E136" s="5" t="n">
        <v>2</v>
      </c>
      <c r="F136" s="5" t="n">
        <v>0</v>
      </c>
      <c r="G136" s="5" t="n">
        <v>0</v>
      </c>
      <c r="H136" s="5" t="n">
        <v>0</v>
      </c>
      <c r="I136" s="6" t="s">
        <v>3589</v>
      </c>
    </row>
    <row r="137" customFormat="false" ht="15" hidden="false" customHeight="false" outlineLevel="0" collapsed="false">
      <c r="A137" s="5" t="s">
        <v>1017</v>
      </c>
      <c r="B137" s="5" t="n">
        <v>1</v>
      </c>
      <c r="C137" s="5" t="n">
        <v>1</v>
      </c>
      <c r="D137" s="5" t="n">
        <v>0</v>
      </c>
      <c r="E137" s="5" t="n">
        <v>0</v>
      </c>
      <c r="F137" s="5" t="n">
        <v>0</v>
      </c>
      <c r="G137" s="5" t="n">
        <v>0</v>
      </c>
      <c r="H137" s="5" t="n">
        <v>0</v>
      </c>
      <c r="I137" s="6" t="s">
        <v>1016</v>
      </c>
    </row>
    <row r="138" customFormat="false" ht="15" hidden="false" customHeight="false" outlineLevel="0" collapsed="false">
      <c r="A138" s="5" t="s">
        <v>1026</v>
      </c>
      <c r="B138" s="5" t="n">
        <v>3</v>
      </c>
      <c r="C138" s="5" t="n">
        <v>1</v>
      </c>
      <c r="D138" s="5" t="n">
        <v>2</v>
      </c>
      <c r="E138" s="5" t="n">
        <v>0</v>
      </c>
      <c r="F138" s="5" t="n">
        <v>0</v>
      </c>
      <c r="G138" s="5" t="n">
        <v>0</v>
      </c>
      <c r="H138" s="5" t="n">
        <v>0</v>
      </c>
      <c r="I138" s="6" t="s">
        <v>3590</v>
      </c>
    </row>
    <row r="139" customFormat="false" ht="15" hidden="false" customHeight="false" outlineLevel="0" collapsed="false">
      <c r="A139" s="5" t="s">
        <v>1033</v>
      </c>
      <c r="B139" s="5" t="n">
        <v>1</v>
      </c>
      <c r="C139" s="5" t="n">
        <v>1</v>
      </c>
      <c r="D139" s="5" t="n">
        <v>0</v>
      </c>
      <c r="E139" s="5" t="n">
        <v>0</v>
      </c>
      <c r="F139" s="5" t="n">
        <v>0</v>
      </c>
      <c r="G139" s="5" t="n">
        <v>0</v>
      </c>
      <c r="H139" s="5" t="n">
        <v>0</v>
      </c>
      <c r="I139" s="6" t="s">
        <v>1032</v>
      </c>
    </row>
    <row r="140" customFormat="false" ht="15" hidden="false" customHeight="false" outlineLevel="0" collapsed="false">
      <c r="A140" s="5" t="s">
        <v>1040</v>
      </c>
      <c r="B140" s="5" t="n">
        <v>1</v>
      </c>
      <c r="C140" s="5" t="n">
        <v>1</v>
      </c>
      <c r="D140" s="5" t="n">
        <v>0</v>
      </c>
      <c r="E140" s="5" t="n">
        <v>0</v>
      </c>
      <c r="F140" s="5" t="n">
        <v>0</v>
      </c>
      <c r="G140" s="5" t="n">
        <v>0</v>
      </c>
      <c r="H140" s="5" t="n">
        <v>0</v>
      </c>
      <c r="I140" s="6" t="s">
        <v>1039</v>
      </c>
    </row>
    <row r="141" customFormat="false" ht="15" hidden="false" customHeight="false" outlineLevel="0" collapsed="false">
      <c r="A141" s="5" t="s">
        <v>1047</v>
      </c>
      <c r="B141" s="5" t="n">
        <v>4</v>
      </c>
      <c r="C141" s="5" t="n">
        <v>1</v>
      </c>
      <c r="D141" s="5" t="n">
        <v>3</v>
      </c>
      <c r="E141" s="5" t="n">
        <v>0</v>
      </c>
      <c r="F141" s="5" t="n">
        <v>0</v>
      </c>
      <c r="G141" s="5" t="n">
        <v>0</v>
      </c>
      <c r="H141" s="5" t="n">
        <v>0</v>
      </c>
      <c r="I141" s="6" t="s">
        <v>3591</v>
      </c>
    </row>
    <row r="142" customFormat="false" ht="15" hidden="false" customHeight="false" outlineLevel="0" collapsed="false">
      <c r="A142" s="5" t="s">
        <v>1053</v>
      </c>
      <c r="B142" s="5" t="n">
        <v>1</v>
      </c>
      <c r="C142" s="5" t="n">
        <v>1</v>
      </c>
      <c r="D142" s="5" t="n">
        <v>0</v>
      </c>
      <c r="E142" s="5" t="n">
        <v>0</v>
      </c>
      <c r="F142" s="5" t="n">
        <v>0</v>
      </c>
      <c r="G142" s="5" t="n">
        <v>0</v>
      </c>
      <c r="H142" s="5" t="n">
        <v>0</v>
      </c>
      <c r="I142" s="6" t="s">
        <v>1052</v>
      </c>
    </row>
    <row r="143" customFormat="false" ht="15" hidden="false" customHeight="false" outlineLevel="0" collapsed="false">
      <c r="A143" s="5" t="s">
        <v>1059</v>
      </c>
      <c r="B143" s="5" t="n">
        <v>1</v>
      </c>
      <c r="C143" s="5" t="n">
        <v>1</v>
      </c>
      <c r="D143" s="5" t="n">
        <v>0</v>
      </c>
      <c r="E143" s="5" t="n">
        <v>0</v>
      </c>
      <c r="F143" s="5" t="n">
        <v>0</v>
      </c>
      <c r="G143" s="5" t="n">
        <v>0</v>
      </c>
      <c r="H143" s="5" t="n">
        <v>0</v>
      </c>
      <c r="I143" s="6" t="s">
        <v>1058</v>
      </c>
    </row>
    <row r="144" customFormat="false" ht="15" hidden="false" customHeight="false" outlineLevel="0" collapsed="false">
      <c r="A144" s="5" t="s">
        <v>1065</v>
      </c>
      <c r="B144" s="5" t="n">
        <v>1</v>
      </c>
      <c r="C144" s="5" t="n">
        <v>1</v>
      </c>
      <c r="D144" s="5" t="n">
        <v>0</v>
      </c>
      <c r="E144" s="5" t="n">
        <v>0</v>
      </c>
      <c r="F144" s="5" t="n">
        <v>0</v>
      </c>
      <c r="G144" s="5" t="n">
        <v>0</v>
      </c>
      <c r="H144" s="5" t="n">
        <v>0</v>
      </c>
      <c r="I144" s="6" t="s">
        <v>1064</v>
      </c>
    </row>
    <row r="145" customFormat="false" ht="15" hidden="false" customHeight="false" outlineLevel="0" collapsed="false">
      <c r="A145" s="5" t="s">
        <v>1072</v>
      </c>
      <c r="B145" s="5" t="n">
        <v>1</v>
      </c>
      <c r="C145" s="5" t="n">
        <v>1</v>
      </c>
      <c r="D145" s="5" t="n">
        <v>0</v>
      </c>
      <c r="E145" s="5" t="n">
        <v>0</v>
      </c>
      <c r="F145" s="5" t="n">
        <v>0</v>
      </c>
      <c r="G145" s="5" t="n">
        <v>0</v>
      </c>
      <c r="H145" s="5" t="n">
        <v>0</v>
      </c>
      <c r="I145" s="6" t="s">
        <v>1071</v>
      </c>
    </row>
    <row r="146" customFormat="false" ht="15" hidden="false" customHeight="false" outlineLevel="0" collapsed="false">
      <c r="A146" s="5" t="s">
        <v>1077</v>
      </c>
      <c r="B146" s="5" t="n">
        <v>1</v>
      </c>
      <c r="C146" s="5" t="n">
        <v>1</v>
      </c>
      <c r="D146" s="5" t="n">
        <v>0</v>
      </c>
      <c r="E146" s="5" t="n">
        <v>0</v>
      </c>
      <c r="F146" s="5" t="n">
        <v>0</v>
      </c>
      <c r="G146" s="5" t="n">
        <v>0</v>
      </c>
      <c r="H146" s="5" t="n">
        <v>0</v>
      </c>
      <c r="I146" s="6" t="s">
        <v>1076</v>
      </c>
    </row>
    <row r="147" customFormat="false" ht="15" hidden="false" customHeight="false" outlineLevel="0" collapsed="false">
      <c r="A147" s="5" t="s">
        <v>1083</v>
      </c>
      <c r="B147" s="5" t="n">
        <v>1</v>
      </c>
      <c r="C147" s="5" t="n">
        <v>1</v>
      </c>
      <c r="D147" s="5" t="n">
        <v>0</v>
      </c>
      <c r="E147" s="5" t="n">
        <v>0</v>
      </c>
      <c r="F147" s="5" t="n">
        <v>0</v>
      </c>
      <c r="G147" s="5" t="n">
        <v>0</v>
      </c>
      <c r="H147" s="5" t="n">
        <v>0</v>
      </c>
      <c r="I147" s="6" t="s">
        <v>1082</v>
      </c>
    </row>
    <row r="148" customFormat="false" ht="15" hidden="false" customHeight="false" outlineLevel="0" collapsed="false">
      <c r="A148" s="5" t="s">
        <v>1088</v>
      </c>
      <c r="B148" s="5" t="n">
        <v>1</v>
      </c>
      <c r="C148" s="5" t="n">
        <v>1</v>
      </c>
      <c r="D148" s="5" t="n">
        <v>0</v>
      </c>
      <c r="E148" s="5" t="n">
        <v>0</v>
      </c>
      <c r="F148" s="5" t="n">
        <v>0</v>
      </c>
      <c r="G148" s="5" t="n">
        <v>0</v>
      </c>
      <c r="H148" s="5" t="n">
        <v>0</v>
      </c>
      <c r="I148" s="6" t="s">
        <v>1087</v>
      </c>
    </row>
    <row r="149" customFormat="false" ht="15" hidden="false" customHeight="false" outlineLevel="0" collapsed="false">
      <c r="A149" s="5" t="s">
        <v>1095</v>
      </c>
      <c r="B149" s="5" t="n">
        <v>1</v>
      </c>
      <c r="C149" s="5" t="n">
        <v>1</v>
      </c>
      <c r="D149" s="5" t="n">
        <v>0</v>
      </c>
      <c r="E149" s="5" t="n">
        <v>0</v>
      </c>
      <c r="F149" s="5" t="n">
        <v>0</v>
      </c>
      <c r="G149" s="5" t="n">
        <v>0</v>
      </c>
      <c r="H149" s="5" t="n">
        <v>0</v>
      </c>
      <c r="I149" s="6" t="s">
        <v>1094</v>
      </c>
    </row>
    <row r="150" customFormat="false" ht="15" hidden="false" customHeight="false" outlineLevel="0" collapsed="false">
      <c r="A150" s="5" t="s">
        <v>1101</v>
      </c>
      <c r="B150" s="5" t="n">
        <v>1</v>
      </c>
      <c r="C150" s="5" t="n">
        <v>1</v>
      </c>
      <c r="D150" s="5" t="n">
        <v>0</v>
      </c>
      <c r="E150" s="5" t="n">
        <v>0</v>
      </c>
      <c r="F150" s="5" t="n">
        <v>0</v>
      </c>
      <c r="G150" s="5" t="n">
        <v>0</v>
      </c>
      <c r="H150" s="5" t="n">
        <v>0</v>
      </c>
      <c r="I150" s="6" t="s">
        <v>1100</v>
      </c>
    </row>
    <row r="151" customFormat="false" ht="15" hidden="false" customHeight="false" outlineLevel="0" collapsed="false">
      <c r="A151" s="5" t="s">
        <v>1109</v>
      </c>
      <c r="B151" s="5" t="n">
        <v>1</v>
      </c>
      <c r="C151" s="5" t="n">
        <v>1</v>
      </c>
      <c r="D151" s="5" t="n">
        <v>0</v>
      </c>
      <c r="E151" s="5" t="n">
        <v>0</v>
      </c>
      <c r="F151" s="5" t="n">
        <v>0</v>
      </c>
      <c r="G151" s="5" t="n">
        <v>0</v>
      </c>
      <c r="H151" s="5" t="n">
        <v>0</v>
      </c>
      <c r="I151" s="6" t="s">
        <v>1108</v>
      </c>
    </row>
    <row r="152" customFormat="false" ht="15" hidden="false" customHeight="false" outlineLevel="0" collapsed="false">
      <c r="A152" s="5" t="s">
        <v>1114</v>
      </c>
      <c r="B152" s="5" t="n">
        <v>3</v>
      </c>
      <c r="C152" s="5" t="n">
        <v>1</v>
      </c>
      <c r="D152" s="5" t="n">
        <v>2</v>
      </c>
      <c r="E152" s="5" t="n">
        <v>0</v>
      </c>
      <c r="F152" s="5" t="n">
        <v>0</v>
      </c>
      <c r="G152" s="5" t="n">
        <v>0</v>
      </c>
      <c r="H152" s="5" t="n">
        <v>0</v>
      </c>
      <c r="I152" s="6" t="s">
        <v>3592</v>
      </c>
    </row>
    <row r="153" customFormat="false" ht="15" hidden="false" customHeight="false" outlineLevel="0" collapsed="false">
      <c r="A153" s="5" t="s">
        <v>1009</v>
      </c>
      <c r="B153" s="5" t="n">
        <v>1</v>
      </c>
      <c r="C153" s="5" t="n">
        <v>1</v>
      </c>
      <c r="D153" s="5" t="n">
        <v>0</v>
      </c>
      <c r="E153" s="5" t="n">
        <v>0</v>
      </c>
      <c r="F153" s="5" t="n">
        <v>0</v>
      </c>
      <c r="G153" s="5" t="n">
        <v>0</v>
      </c>
      <c r="H153" s="5" t="n">
        <v>0</v>
      </c>
      <c r="I153" s="6" t="s">
        <v>1003</v>
      </c>
    </row>
    <row r="154" customFormat="false" ht="15" hidden="false" customHeight="false" outlineLevel="0" collapsed="false">
      <c r="A154" s="5" t="s">
        <v>1120</v>
      </c>
      <c r="B154" s="5" t="n">
        <v>1</v>
      </c>
      <c r="C154" s="5" t="n">
        <v>1</v>
      </c>
      <c r="D154" s="5" t="n">
        <v>0</v>
      </c>
      <c r="E154" s="5" t="n">
        <v>0</v>
      </c>
      <c r="F154" s="5" t="n">
        <v>0</v>
      </c>
      <c r="G154" s="5" t="n">
        <v>0</v>
      </c>
      <c r="H154" s="5" t="n">
        <v>0</v>
      </c>
      <c r="I154" s="6" t="s">
        <v>1119</v>
      </c>
    </row>
    <row r="155" customFormat="false" ht="15" hidden="false" customHeight="false" outlineLevel="0" collapsed="false">
      <c r="A155" s="5" t="s">
        <v>1126</v>
      </c>
      <c r="B155" s="5" t="n">
        <v>1</v>
      </c>
      <c r="C155" s="5" t="n">
        <v>1</v>
      </c>
      <c r="D155" s="5" t="n">
        <v>0</v>
      </c>
      <c r="E155" s="5" t="n">
        <v>0</v>
      </c>
      <c r="F155" s="5" t="n">
        <v>0</v>
      </c>
      <c r="G155" s="5" t="n">
        <v>0</v>
      </c>
      <c r="H155" s="5" t="n">
        <v>0</v>
      </c>
      <c r="I155" s="6" t="s">
        <v>1125</v>
      </c>
    </row>
    <row r="156" customFormat="false" ht="15" hidden="false" customHeight="false" outlineLevel="0" collapsed="false">
      <c r="A156" s="5" t="s">
        <v>1132</v>
      </c>
      <c r="B156" s="5" t="n">
        <v>1</v>
      </c>
      <c r="C156" s="5" t="n">
        <v>1</v>
      </c>
      <c r="D156" s="5" t="n">
        <v>0</v>
      </c>
      <c r="E156" s="5" t="n">
        <v>0</v>
      </c>
      <c r="F156" s="5" t="n">
        <v>0</v>
      </c>
      <c r="G156" s="5" t="n">
        <v>0</v>
      </c>
      <c r="H156" s="5" t="n">
        <v>0</v>
      </c>
      <c r="I156" s="6" t="s">
        <v>1131</v>
      </c>
    </row>
    <row r="157" customFormat="false" ht="15" hidden="false" customHeight="false" outlineLevel="0" collapsed="false">
      <c r="A157" s="5" t="s">
        <v>1137</v>
      </c>
      <c r="B157" s="5" t="n">
        <v>1</v>
      </c>
      <c r="C157" s="5" t="n">
        <v>1</v>
      </c>
      <c r="D157" s="5" t="n">
        <v>0</v>
      </c>
      <c r="E157" s="5" t="n">
        <v>0</v>
      </c>
      <c r="F157" s="5" t="n">
        <v>0</v>
      </c>
      <c r="G157" s="5" t="n">
        <v>0</v>
      </c>
      <c r="H157" s="5" t="n">
        <v>0</v>
      </c>
      <c r="I157" s="6" t="s">
        <v>1136</v>
      </c>
    </row>
    <row r="158" customFormat="false" ht="15" hidden="false" customHeight="false" outlineLevel="0" collapsed="false">
      <c r="A158" s="5" t="s">
        <v>1142</v>
      </c>
      <c r="B158" s="5" t="n">
        <v>1</v>
      </c>
      <c r="C158" s="5" t="n">
        <v>1</v>
      </c>
      <c r="D158" s="5" t="n">
        <v>0</v>
      </c>
      <c r="E158" s="5" t="n">
        <v>0</v>
      </c>
      <c r="F158" s="5" t="n">
        <v>0</v>
      </c>
      <c r="G158" s="5" t="n">
        <v>0</v>
      </c>
      <c r="H158" s="5" t="n">
        <v>0</v>
      </c>
      <c r="I158" s="6" t="s">
        <v>1141</v>
      </c>
    </row>
    <row r="159" customFormat="false" ht="15" hidden="false" customHeight="false" outlineLevel="0" collapsed="false">
      <c r="A159" s="5" t="s">
        <v>1147</v>
      </c>
      <c r="B159" s="5" t="n">
        <v>1</v>
      </c>
      <c r="C159" s="5" t="n">
        <v>1</v>
      </c>
      <c r="D159" s="5" t="n">
        <v>0</v>
      </c>
      <c r="E159" s="5" t="n">
        <v>0</v>
      </c>
      <c r="F159" s="5" t="n">
        <v>0</v>
      </c>
      <c r="G159" s="5" t="n">
        <v>0</v>
      </c>
      <c r="H159" s="5" t="n">
        <v>0</v>
      </c>
      <c r="I159" s="6" t="s">
        <v>1146</v>
      </c>
    </row>
    <row r="160" customFormat="false" ht="15" hidden="false" customHeight="false" outlineLevel="0" collapsed="false">
      <c r="A160" s="5" t="s">
        <v>1152</v>
      </c>
      <c r="B160" s="5" t="n">
        <v>1</v>
      </c>
      <c r="C160" s="5" t="n">
        <v>1</v>
      </c>
      <c r="D160" s="5" t="n">
        <v>0</v>
      </c>
      <c r="E160" s="5" t="n">
        <v>0</v>
      </c>
      <c r="F160" s="5" t="n">
        <v>0</v>
      </c>
      <c r="G160" s="5" t="n">
        <v>0</v>
      </c>
      <c r="H160" s="5" t="n">
        <v>0</v>
      </c>
      <c r="I160" s="6" t="s">
        <v>1151</v>
      </c>
    </row>
    <row r="161" customFormat="false" ht="15" hidden="false" customHeight="false" outlineLevel="0" collapsed="false">
      <c r="A161" s="5" t="s">
        <v>1159</v>
      </c>
      <c r="B161" s="5" t="n">
        <v>1</v>
      </c>
      <c r="C161" s="5" t="n">
        <v>1</v>
      </c>
      <c r="D161" s="5" t="n">
        <v>0</v>
      </c>
      <c r="E161" s="5" t="n">
        <v>0</v>
      </c>
      <c r="F161" s="5" t="n">
        <v>0</v>
      </c>
      <c r="G161" s="5" t="n">
        <v>0</v>
      </c>
      <c r="H161" s="5" t="n">
        <v>0</v>
      </c>
      <c r="I161" s="6" t="s">
        <v>1158</v>
      </c>
    </row>
    <row r="162" customFormat="false" ht="15" hidden="false" customHeight="false" outlineLevel="0" collapsed="false">
      <c r="A162" s="5" t="s">
        <v>1164</v>
      </c>
      <c r="B162" s="5" t="n">
        <v>1</v>
      </c>
      <c r="C162" s="5" t="n">
        <v>1</v>
      </c>
      <c r="D162" s="5" t="n">
        <v>0</v>
      </c>
      <c r="E162" s="5" t="n">
        <v>0</v>
      </c>
      <c r="F162" s="5" t="n">
        <v>0</v>
      </c>
      <c r="G162" s="5" t="n">
        <v>0</v>
      </c>
      <c r="H162" s="5" t="n">
        <v>0</v>
      </c>
      <c r="I162" s="6" t="s">
        <v>1163</v>
      </c>
    </row>
    <row r="163" customFormat="false" ht="15" hidden="false" customHeight="false" outlineLevel="0" collapsed="false">
      <c r="A163" s="5" t="s">
        <v>1169</v>
      </c>
      <c r="B163" s="5" t="n">
        <v>1</v>
      </c>
      <c r="C163" s="5" t="n">
        <v>1</v>
      </c>
      <c r="D163" s="5" t="n">
        <v>0</v>
      </c>
      <c r="E163" s="5" t="n">
        <v>0</v>
      </c>
      <c r="F163" s="5" t="n">
        <v>0</v>
      </c>
      <c r="G163" s="5" t="n">
        <v>0</v>
      </c>
      <c r="H163" s="5" t="n">
        <v>0</v>
      </c>
      <c r="I163" s="6" t="s">
        <v>1168</v>
      </c>
    </row>
    <row r="164" customFormat="false" ht="15" hidden="false" customHeight="false" outlineLevel="0" collapsed="false">
      <c r="A164" s="5" t="s">
        <v>1175</v>
      </c>
      <c r="B164" s="5" t="n">
        <v>1</v>
      </c>
      <c r="C164" s="5" t="n">
        <v>1</v>
      </c>
      <c r="D164" s="5" t="n">
        <v>0</v>
      </c>
      <c r="E164" s="5" t="n">
        <v>0</v>
      </c>
      <c r="F164" s="5" t="n">
        <v>0</v>
      </c>
      <c r="G164" s="5" t="n">
        <v>0</v>
      </c>
      <c r="H164" s="5" t="n">
        <v>0</v>
      </c>
      <c r="I164" s="6" t="s">
        <v>1174</v>
      </c>
    </row>
    <row r="165" customFormat="false" ht="15" hidden="false" customHeight="false" outlineLevel="0" collapsed="false">
      <c r="A165" s="5" t="s">
        <v>1181</v>
      </c>
      <c r="B165" s="5" t="n">
        <v>1</v>
      </c>
      <c r="C165" s="5" t="n">
        <v>1</v>
      </c>
      <c r="D165" s="5" t="n">
        <v>0</v>
      </c>
      <c r="E165" s="5" t="n">
        <v>0</v>
      </c>
      <c r="F165" s="5" t="n">
        <v>0</v>
      </c>
      <c r="G165" s="5" t="n">
        <v>0</v>
      </c>
      <c r="H165" s="5" t="n">
        <v>0</v>
      </c>
      <c r="I165" s="6" t="s">
        <v>1180</v>
      </c>
    </row>
    <row r="166" customFormat="false" ht="15" hidden="false" customHeight="false" outlineLevel="0" collapsed="false">
      <c r="A166" s="5" t="s">
        <v>1186</v>
      </c>
      <c r="B166" s="5" t="n">
        <v>1</v>
      </c>
      <c r="C166" s="5" t="n">
        <v>1</v>
      </c>
      <c r="D166" s="5" t="n">
        <v>0</v>
      </c>
      <c r="E166" s="5" t="n">
        <v>0</v>
      </c>
      <c r="F166" s="5" t="n">
        <v>0</v>
      </c>
      <c r="G166" s="5" t="n">
        <v>0</v>
      </c>
      <c r="H166" s="5" t="n">
        <v>0</v>
      </c>
      <c r="I166" s="6" t="s">
        <v>1185</v>
      </c>
    </row>
    <row r="167" customFormat="false" ht="15" hidden="false" customHeight="false" outlineLevel="0" collapsed="false">
      <c r="A167" s="5" t="s">
        <v>1191</v>
      </c>
      <c r="B167" s="5" t="n">
        <v>1</v>
      </c>
      <c r="C167" s="5" t="n">
        <v>1</v>
      </c>
      <c r="D167" s="5" t="n">
        <v>0</v>
      </c>
      <c r="E167" s="5" t="n">
        <v>0</v>
      </c>
      <c r="F167" s="5" t="n">
        <v>0</v>
      </c>
      <c r="G167" s="5" t="n">
        <v>0</v>
      </c>
      <c r="H167" s="5" t="n">
        <v>0</v>
      </c>
      <c r="I167" s="6" t="s">
        <v>1190</v>
      </c>
    </row>
    <row r="168" customFormat="false" ht="15" hidden="false" customHeight="false" outlineLevel="0" collapsed="false">
      <c r="A168" s="5" t="s">
        <v>1197</v>
      </c>
      <c r="B168" s="5" t="n">
        <v>1</v>
      </c>
      <c r="C168" s="5" t="n">
        <v>1</v>
      </c>
      <c r="D168" s="5" t="n">
        <v>0</v>
      </c>
      <c r="E168" s="5" t="n">
        <v>0</v>
      </c>
      <c r="F168" s="5" t="n">
        <v>0</v>
      </c>
      <c r="G168" s="5" t="n">
        <v>0</v>
      </c>
      <c r="H168" s="5" t="n">
        <v>0</v>
      </c>
      <c r="I168" s="6" t="s">
        <v>1196</v>
      </c>
    </row>
    <row r="169" customFormat="false" ht="15" hidden="false" customHeight="false" outlineLevel="0" collapsed="false">
      <c r="A169" s="5" t="s">
        <v>1507</v>
      </c>
      <c r="B169" s="5" t="n">
        <v>1</v>
      </c>
      <c r="C169" s="5" t="n">
        <v>0</v>
      </c>
      <c r="D169" s="5" t="n">
        <v>1</v>
      </c>
      <c r="E169" s="5" t="n">
        <v>0</v>
      </c>
      <c r="F169" s="5" t="n">
        <v>0</v>
      </c>
      <c r="G169" s="5" t="n">
        <v>0</v>
      </c>
      <c r="H169" s="5" t="n">
        <v>0</v>
      </c>
      <c r="I169" s="6" t="s">
        <v>1505</v>
      </c>
    </row>
    <row r="170" customFormat="false" ht="15" hidden="false" customHeight="false" outlineLevel="0" collapsed="false">
      <c r="A170" s="5" t="s">
        <v>1513</v>
      </c>
      <c r="B170" s="5" t="n">
        <v>1</v>
      </c>
      <c r="C170" s="5" t="n">
        <v>0</v>
      </c>
      <c r="D170" s="5" t="n">
        <v>1</v>
      </c>
      <c r="E170" s="5" t="n">
        <v>0</v>
      </c>
      <c r="F170" s="5" t="n">
        <v>0</v>
      </c>
      <c r="G170" s="5" t="n">
        <v>0</v>
      </c>
      <c r="H170" s="5" t="n">
        <v>0</v>
      </c>
      <c r="I170" s="6" t="s">
        <v>1510</v>
      </c>
    </row>
    <row r="171" customFormat="false" ht="15" hidden="false" customHeight="false" outlineLevel="0" collapsed="false">
      <c r="A171" s="5" t="s">
        <v>1518</v>
      </c>
      <c r="B171" s="5" t="n">
        <v>1</v>
      </c>
      <c r="C171" s="5" t="n">
        <v>0</v>
      </c>
      <c r="D171" s="5" t="n">
        <v>1</v>
      </c>
      <c r="E171" s="5" t="n">
        <v>0</v>
      </c>
      <c r="F171" s="5" t="n">
        <v>0</v>
      </c>
      <c r="G171" s="5" t="n">
        <v>0</v>
      </c>
      <c r="H171" s="5" t="n">
        <v>0</v>
      </c>
      <c r="I171" s="6" t="s">
        <v>1516</v>
      </c>
    </row>
    <row r="172" customFormat="false" ht="15" hidden="false" customHeight="false" outlineLevel="0" collapsed="false">
      <c r="A172" s="5" t="s">
        <v>683</v>
      </c>
      <c r="B172" s="5" t="n">
        <v>3</v>
      </c>
      <c r="C172" s="5" t="n">
        <v>0</v>
      </c>
      <c r="D172" s="5" t="n">
        <v>1</v>
      </c>
      <c r="E172" s="5" t="n">
        <v>0</v>
      </c>
      <c r="F172" s="5" t="n">
        <v>1</v>
      </c>
      <c r="G172" s="5" t="n">
        <v>1</v>
      </c>
      <c r="H172" s="5" t="n">
        <v>0</v>
      </c>
      <c r="I172" s="6" t="s">
        <v>3540</v>
      </c>
    </row>
    <row r="173" customFormat="false" ht="15" hidden="false" customHeight="false" outlineLevel="0" collapsed="false">
      <c r="A173" s="5" t="s">
        <v>755</v>
      </c>
      <c r="B173" s="5" t="n">
        <v>3</v>
      </c>
      <c r="C173" s="5" t="n">
        <v>0</v>
      </c>
      <c r="D173" s="5" t="n">
        <v>1</v>
      </c>
      <c r="E173" s="5" t="n">
        <v>0</v>
      </c>
      <c r="F173" s="5" t="n">
        <v>1</v>
      </c>
      <c r="G173" s="5" t="n">
        <v>1</v>
      </c>
      <c r="H173" s="5" t="n">
        <v>0</v>
      </c>
      <c r="I173" s="6" t="s">
        <v>3541</v>
      </c>
    </row>
    <row r="174" customFormat="false" ht="15" hidden="false" customHeight="false" outlineLevel="0" collapsed="false">
      <c r="A174" s="5" t="s">
        <v>1368</v>
      </c>
      <c r="B174" s="5" t="n">
        <v>1</v>
      </c>
      <c r="C174" s="5" t="n">
        <v>0</v>
      </c>
      <c r="D174" s="5" t="n">
        <v>1</v>
      </c>
      <c r="E174" s="5" t="n">
        <v>0</v>
      </c>
      <c r="F174" s="5" t="n">
        <v>0</v>
      </c>
      <c r="G174" s="5" t="n">
        <v>0</v>
      </c>
      <c r="H174" s="5" t="n">
        <v>0</v>
      </c>
      <c r="I174" s="6" t="s">
        <v>1365</v>
      </c>
    </row>
    <row r="175" customFormat="false" ht="15" hidden="false" customHeight="false" outlineLevel="0" collapsed="false">
      <c r="A175" s="5" t="s">
        <v>1413</v>
      </c>
      <c r="B175" s="5" t="n">
        <v>1</v>
      </c>
      <c r="C175" s="5" t="n">
        <v>0</v>
      </c>
      <c r="D175" s="5" t="n">
        <v>1</v>
      </c>
      <c r="E175" s="5" t="n">
        <v>0</v>
      </c>
      <c r="F175" s="5" t="n">
        <v>0</v>
      </c>
      <c r="G175" s="5" t="n">
        <v>0</v>
      </c>
      <c r="H175" s="5" t="n">
        <v>0</v>
      </c>
      <c r="I175" s="6" t="s">
        <v>1411</v>
      </c>
    </row>
    <row r="176" customFormat="false" ht="15" hidden="false" customHeight="false" outlineLevel="0" collapsed="false">
      <c r="A176" s="5" t="s">
        <v>1403</v>
      </c>
      <c r="B176" s="5" t="n">
        <v>2</v>
      </c>
      <c r="C176" s="5" t="n">
        <v>0</v>
      </c>
      <c r="D176" s="5" t="n">
        <v>2</v>
      </c>
      <c r="E176" s="5" t="n">
        <v>0</v>
      </c>
      <c r="F176" s="5" t="n">
        <v>0</v>
      </c>
      <c r="G176" s="5" t="n">
        <v>0</v>
      </c>
      <c r="H176" s="5" t="n">
        <v>0</v>
      </c>
      <c r="I176" s="6" t="s">
        <v>3593</v>
      </c>
    </row>
    <row r="177" customFormat="false" ht="15" hidden="false" customHeight="false" outlineLevel="0" collapsed="false">
      <c r="A177" s="6" t="s">
        <v>388</v>
      </c>
      <c r="B177" s="5" t="n">
        <v>1</v>
      </c>
      <c r="C177" s="5" t="n">
        <v>0</v>
      </c>
      <c r="D177" s="5" t="n">
        <v>0</v>
      </c>
      <c r="E177" s="5" t="n">
        <v>1</v>
      </c>
      <c r="F177" s="5" t="n">
        <v>0</v>
      </c>
      <c r="G177" s="5" t="n">
        <v>0</v>
      </c>
      <c r="H177" s="5" t="n">
        <v>0</v>
      </c>
      <c r="I177" s="6" t="s">
        <v>386</v>
      </c>
    </row>
    <row r="178" customFormat="false" ht="15" hidden="false" customHeight="false" outlineLevel="0" collapsed="false">
      <c r="A178" s="5" t="s">
        <v>395</v>
      </c>
      <c r="B178" s="5" t="n">
        <v>1</v>
      </c>
      <c r="C178" s="5" t="n">
        <v>0</v>
      </c>
      <c r="D178" s="5" t="n">
        <v>0</v>
      </c>
      <c r="E178" s="5" t="n">
        <v>1</v>
      </c>
      <c r="F178" s="5" t="n">
        <v>0</v>
      </c>
      <c r="G178" s="5" t="n">
        <v>0</v>
      </c>
      <c r="H178" s="5" t="n">
        <v>0</v>
      </c>
      <c r="I178" s="6" t="s">
        <v>392</v>
      </c>
    </row>
    <row r="179" customFormat="false" ht="15" hidden="false" customHeight="false" outlineLevel="0" collapsed="false">
      <c r="A179" s="5" t="s">
        <v>1502</v>
      </c>
      <c r="B179" s="5" t="n">
        <v>1</v>
      </c>
      <c r="C179" s="5" t="n">
        <v>0</v>
      </c>
      <c r="D179" s="5" t="n">
        <v>1</v>
      </c>
      <c r="E179" s="5" t="n">
        <v>0</v>
      </c>
      <c r="F179" s="5" t="n">
        <v>0</v>
      </c>
      <c r="G179" s="5" t="n">
        <v>0</v>
      </c>
      <c r="H179" s="5" t="n">
        <v>0</v>
      </c>
      <c r="I179" s="6" t="s">
        <v>1498</v>
      </c>
    </row>
    <row r="180" customFormat="false" ht="15" hidden="false" customHeight="false" outlineLevel="0" collapsed="false">
      <c r="A180" s="5" t="s">
        <v>1462</v>
      </c>
      <c r="B180" s="5" t="n">
        <v>1</v>
      </c>
      <c r="C180" s="5" t="n">
        <v>0</v>
      </c>
      <c r="D180" s="5" t="n">
        <v>1</v>
      </c>
      <c r="E180" s="5" t="n">
        <v>0</v>
      </c>
      <c r="F180" s="5" t="n">
        <v>0</v>
      </c>
      <c r="G180" s="5" t="n">
        <v>0</v>
      </c>
      <c r="H180" s="5" t="n">
        <v>0</v>
      </c>
      <c r="I180" s="6" t="s">
        <v>1460</v>
      </c>
    </row>
    <row r="181" customFormat="false" ht="15" hidden="false" customHeight="false" outlineLevel="0" collapsed="false">
      <c r="A181" s="5" t="s">
        <v>765</v>
      </c>
      <c r="B181" s="5" t="n">
        <v>3</v>
      </c>
      <c r="C181" s="5" t="n">
        <v>0</v>
      </c>
      <c r="D181" s="5" t="n">
        <v>1</v>
      </c>
      <c r="E181" s="5" t="n">
        <v>0</v>
      </c>
      <c r="F181" s="5" t="n">
        <v>1</v>
      </c>
      <c r="G181" s="5" t="n">
        <v>1</v>
      </c>
      <c r="H181" s="5" t="n">
        <v>0</v>
      </c>
      <c r="I181" s="6" t="s">
        <v>3542</v>
      </c>
    </row>
    <row r="182" customFormat="false" ht="15" hidden="false" customHeight="false" outlineLevel="0" collapsed="false">
      <c r="A182" s="5" t="s">
        <v>400</v>
      </c>
      <c r="B182" s="5" t="n">
        <v>1</v>
      </c>
      <c r="C182" s="5" t="n">
        <v>0</v>
      </c>
      <c r="D182" s="5" t="n">
        <v>0</v>
      </c>
      <c r="E182" s="5" t="n">
        <v>1</v>
      </c>
      <c r="F182" s="5" t="n">
        <v>0</v>
      </c>
      <c r="G182" s="5" t="n">
        <v>0</v>
      </c>
      <c r="H182" s="5" t="n">
        <v>0</v>
      </c>
      <c r="I182" s="6" t="s">
        <v>397</v>
      </c>
    </row>
    <row r="183" customFormat="false" ht="15" hidden="false" customHeight="false" outlineLevel="0" collapsed="false">
      <c r="A183" s="5" t="s">
        <v>407</v>
      </c>
      <c r="B183" s="5" t="n">
        <v>1</v>
      </c>
      <c r="C183" s="5" t="n">
        <v>0</v>
      </c>
      <c r="D183" s="5" t="n">
        <v>0</v>
      </c>
      <c r="E183" s="5" t="n">
        <v>1</v>
      </c>
      <c r="F183" s="5" t="n">
        <v>0</v>
      </c>
      <c r="G183" s="5" t="n">
        <v>0</v>
      </c>
      <c r="H183" s="5" t="n">
        <v>0</v>
      </c>
      <c r="I183" s="6" t="s">
        <v>404</v>
      </c>
    </row>
    <row r="184" customFormat="false" ht="15" hidden="false" customHeight="false" outlineLevel="0" collapsed="false">
      <c r="A184" s="6" t="s">
        <v>138</v>
      </c>
      <c r="B184" s="5" t="n">
        <v>1</v>
      </c>
      <c r="C184" s="5" t="n">
        <v>0</v>
      </c>
      <c r="D184" s="5" t="n">
        <v>0</v>
      </c>
      <c r="E184" s="5" t="n">
        <v>1</v>
      </c>
      <c r="F184" s="5" t="n">
        <v>0</v>
      </c>
      <c r="G184" s="5" t="n">
        <v>0</v>
      </c>
      <c r="H184" s="5" t="n">
        <v>0</v>
      </c>
      <c r="I184" s="6" t="s">
        <v>136</v>
      </c>
    </row>
    <row r="185" customFormat="false" ht="15" hidden="false" customHeight="false" outlineLevel="0" collapsed="false">
      <c r="A185" s="6" t="s">
        <v>119</v>
      </c>
      <c r="B185" s="5" t="n">
        <v>2</v>
      </c>
      <c r="C185" s="5" t="n">
        <v>0</v>
      </c>
      <c r="D185" s="5" t="n">
        <v>0</v>
      </c>
      <c r="E185" s="5" t="n">
        <v>2</v>
      </c>
      <c r="F185" s="5" t="n">
        <v>0</v>
      </c>
      <c r="G185" s="5" t="n">
        <v>0</v>
      </c>
      <c r="H185" s="5" t="n">
        <v>0</v>
      </c>
      <c r="I185" s="6" t="s">
        <v>3594</v>
      </c>
    </row>
    <row r="186" customFormat="false" ht="15" hidden="false" customHeight="false" outlineLevel="0" collapsed="false">
      <c r="A186" s="5" t="s">
        <v>132</v>
      </c>
      <c r="B186" s="5" t="n">
        <v>1</v>
      </c>
      <c r="C186" s="5" t="n">
        <v>0</v>
      </c>
      <c r="D186" s="5" t="n">
        <v>0</v>
      </c>
      <c r="E186" s="5" t="n">
        <v>1</v>
      </c>
      <c r="F186" s="5" t="n">
        <v>0</v>
      </c>
      <c r="G186" s="5" t="n">
        <v>0</v>
      </c>
      <c r="H186" s="5" t="n">
        <v>0</v>
      </c>
      <c r="I186" s="6" t="s">
        <v>129</v>
      </c>
    </row>
    <row r="187" customFormat="false" ht="15" hidden="false" customHeight="false" outlineLevel="0" collapsed="false">
      <c r="A187" s="5" t="s">
        <v>3595</v>
      </c>
      <c r="B187" s="5" t="n">
        <v>3</v>
      </c>
      <c r="C187" s="5" t="n">
        <v>0</v>
      </c>
      <c r="D187" s="5" t="n">
        <v>0</v>
      </c>
      <c r="E187" s="5" t="n">
        <v>0</v>
      </c>
      <c r="F187" s="5" t="n">
        <v>0</v>
      </c>
      <c r="G187" s="5" t="n">
        <v>0</v>
      </c>
      <c r="H187" s="5" t="n">
        <v>2</v>
      </c>
      <c r="I187" s="6" t="s">
        <v>3596</v>
      </c>
    </row>
    <row r="188" customFormat="false" ht="15" hidden="false" customHeight="false" outlineLevel="0" collapsed="false">
      <c r="A188" s="5" t="s">
        <v>688</v>
      </c>
      <c r="B188" s="5" t="n">
        <v>3</v>
      </c>
      <c r="C188" s="5" t="n">
        <v>0</v>
      </c>
      <c r="D188" s="5" t="n">
        <v>1</v>
      </c>
      <c r="E188" s="5" t="n">
        <v>0</v>
      </c>
      <c r="F188" s="5" t="n">
        <v>1</v>
      </c>
      <c r="G188" s="5" t="n">
        <v>1</v>
      </c>
      <c r="H188" s="5" t="n">
        <v>0</v>
      </c>
      <c r="I188" s="6" t="s">
        <v>3543</v>
      </c>
    </row>
    <row r="189" customFormat="false" ht="15" hidden="false" customHeight="false" outlineLevel="0" collapsed="false">
      <c r="A189" s="5" t="s">
        <v>740</v>
      </c>
      <c r="B189" s="5" t="n">
        <v>3</v>
      </c>
      <c r="C189" s="5" t="n">
        <v>0</v>
      </c>
      <c r="D189" s="5" t="n">
        <v>1</v>
      </c>
      <c r="E189" s="5" t="n">
        <v>0</v>
      </c>
      <c r="F189" s="5" t="n">
        <v>1</v>
      </c>
      <c r="G189" s="5" t="n">
        <v>1</v>
      </c>
      <c r="H189" s="5" t="n">
        <v>0</v>
      </c>
      <c r="I189" s="6" t="s">
        <v>3544</v>
      </c>
    </row>
  </sheetData>
  <autoFilter ref="A1:I1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s>
  <sheetData>
    <row r="1" customFormat="false" ht="15" hidden="false" customHeight="false" outlineLevel="0" collapsed="false">
      <c r="A1" s="12" t="s">
        <v>3597</v>
      </c>
      <c r="B1" s="12" t="s">
        <v>3598</v>
      </c>
      <c r="C1" s="12" t="s">
        <v>3599</v>
      </c>
    </row>
    <row r="2" customFormat="false" ht="15" hidden="false" customHeight="false" outlineLevel="0" collapsed="false">
      <c r="A2" s="13" t="s">
        <v>3600</v>
      </c>
      <c r="B2" s="13" t="n">
        <f aca="false">COUNTA(1_Certificate_Register!A2:A263)</f>
        <v>262</v>
      </c>
      <c r="C2" s="13" t="s">
        <v>50</v>
      </c>
    </row>
    <row r="3" customFormat="false" ht="15" hidden="false" customHeight="false" outlineLevel="0" collapsed="false">
      <c r="A3" s="13" t="s">
        <v>3601</v>
      </c>
      <c r="B3" s="13" t="n">
        <f aca="false">COUNTIF(1_Certificate_Register!C2:C263,"PURELYPLANT")</f>
        <v>32</v>
      </c>
      <c r="C3" s="13" t="s">
        <v>50</v>
      </c>
    </row>
    <row r="4" customFormat="false" ht="15" hidden="false" customHeight="false" outlineLevel="0" collapsed="false">
      <c r="A4" s="13" t="s">
        <v>3602</v>
      </c>
      <c r="B4" s="13" t="n">
        <f aca="false">COUNTIF(1_Certificate_Register!C2:C263,"UKIM_CNP")</f>
        <v>71</v>
      </c>
      <c r="C4" s="13" t="s">
        <v>50</v>
      </c>
    </row>
    <row r="5" customFormat="false" ht="15" hidden="false" customHeight="false" outlineLevel="0" collapsed="false">
      <c r="A5" s="13" t="s">
        <v>3603</v>
      </c>
      <c r="B5" s="13" t="n">
        <f aca="false">COUNTIF(1_Certificate_Register!C2:C263,"FARMAHEM")</f>
        <v>63</v>
      </c>
      <c r="C5" s="13" t="s">
        <v>50</v>
      </c>
    </row>
    <row r="6" customFormat="false" ht="15" hidden="false" customHeight="false" outlineLevel="0" collapsed="false">
      <c r="A6" s="13" t="s">
        <v>3604</v>
      </c>
      <c r="B6" s="13" t="n">
        <f aca="false">COUNTIF(1_Certificate_Register!C2:C263,"IJZ")</f>
        <v>45</v>
      </c>
      <c r="C6" s="13" t="s">
        <v>50</v>
      </c>
    </row>
    <row r="7" customFormat="false" ht="15" hidden="false" customHeight="false" outlineLevel="0" collapsed="false">
      <c r="A7" s="13" t="s">
        <v>3605</v>
      </c>
      <c r="B7" s="13" t="n">
        <f aca="false">COUNTIF(1_Certificate_Register!C2:C263,"IJZ_MICRO")</f>
        <v>48</v>
      </c>
      <c r="C7" s="13" t="s">
        <v>50</v>
      </c>
    </row>
    <row r="8" customFormat="false" ht="15" hidden="false" customHeight="false" outlineLevel="0" collapsed="false">
      <c r="A8" s="13" t="s">
        <v>3606</v>
      </c>
      <c r="B8" s="13" t="n">
        <f aca="false">COUNTIF(1_Certificate_Register!C2:C263,"MAFWE_SPL")</f>
        <v>2</v>
      </c>
      <c r="C8" s="13" t="s">
        <v>50</v>
      </c>
    </row>
    <row r="9" customFormat="false" ht="15" hidden="false" customHeight="false" outlineLevel="0" collapsed="false">
      <c r="A9" s="13" t="s">
        <v>3607</v>
      </c>
      <c r="B9" s="13" t="n">
        <f aca="false">COUNTIF(1_Certificate_Register!C2:C263,"UNKNOWN")</f>
        <v>1</v>
      </c>
      <c r="C9" s="13" t="s">
        <v>50</v>
      </c>
    </row>
    <row r="10" customFormat="false" ht="15" hidden="false" customHeight="false" outlineLevel="0" collapsed="false">
      <c r="A10" s="13"/>
      <c r="B10" s="13"/>
      <c r="C10" s="13"/>
    </row>
    <row r="11" customFormat="false" ht="15" hidden="false" customHeight="false" outlineLevel="0" collapsed="false">
      <c r="A11" s="13" t="s">
        <v>3608</v>
      </c>
      <c r="B11" s="13" t="n">
        <f aca="false">COUNTIF(1_Certificate_Register!T2:T263,"YES")</f>
        <v>140</v>
      </c>
      <c r="C11" s="13" t="s">
        <v>50</v>
      </c>
    </row>
    <row r="12" customFormat="false" ht="15" hidden="false" customHeight="false" outlineLevel="0" collapsed="false">
      <c r="A12" s="13" t="s">
        <v>3609</v>
      </c>
      <c r="B12" s="13" t="n">
        <f aca="false">COUNTIF(1_Certificate_Register!S2:S263,"NO*")</f>
        <v>1</v>
      </c>
      <c r="C12" s="13" t="s">
        <v>50</v>
      </c>
    </row>
    <row r="13" customFormat="false" ht="15" hidden="false" customHeight="false" outlineLevel="0" collapsed="false">
      <c r="A13" s="13"/>
      <c r="B13" s="13"/>
      <c r="C13" s="13"/>
    </row>
    <row r="14" customFormat="false" ht="15" hidden="false" customHeight="false" outlineLevel="0" collapsed="false">
      <c r="A14" s="13" t="s">
        <v>3610</v>
      </c>
      <c r="B14" s="13" t="n">
        <f aca="false">COUNTA(2_Results!A2:A2417)</f>
        <v>2416</v>
      </c>
      <c r="C14" s="13" t="s">
        <v>52</v>
      </c>
    </row>
    <row r="15" customFormat="false" ht="15" hidden="false" customHeight="false" outlineLevel="0" collapsed="false">
      <c r="A15" s="13"/>
      <c r="B15" s="13"/>
      <c r="C15" s="13"/>
    </row>
    <row r="16" customFormat="false" ht="15" hidden="false" customHeight="false" outlineLevel="0" collapsed="false">
      <c r="A16" s="13" t="s">
        <v>3611</v>
      </c>
      <c r="B16" s="13" t="n">
        <f aca="false">COUNTIF(3_Findings!A2:A276,"CRITICAL")</f>
        <v>65</v>
      </c>
      <c r="C16" s="13" t="s">
        <v>54</v>
      </c>
    </row>
    <row r="17" customFormat="false" ht="15" hidden="false" customHeight="false" outlineLevel="0" collapsed="false">
      <c r="A17" s="13" t="s">
        <v>3612</v>
      </c>
      <c r="B17" s="13" t="n">
        <f aca="false">COUNTIF(3_Findings!A2:A276,"MAJOR")</f>
        <v>90</v>
      </c>
      <c r="C17" s="13" t="s">
        <v>54</v>
      </c>
    </row>
    <row r="18" customFormat="false" ht="15" hidden="false" customHeight="false" outlineLevel="0" collapsed="false">
      <c r="A18" s="13" t="s">
        <v>3613</v>
      </c>
      <c r="B18" s="13" t="n">
        <f aca="false">COUNTIF(3_Findings!A2:A276,"MINOR")</f>
        <v>120</v>
      </c>
      <c r="C18" s="13" t="s">
        <v>54</v>
      </c>
    </row>
    <row r="19" customFormat="false" ht="15" hidden="false" customHeight="false" outlineLevel="0" collapsed="false">
      <c r="A19" s="13"/>
      <c r="B19" s="13"/>
      <c r="C19" s="13"/>
    </row>
    <row r="20" customFormat="false" ht="15" hidden="false" customHeight="false" outlineLevel="0" collapsed="false">
      <c r="A20" s="13" t="s">
        <v>3614</v>
      </c>
      <c r="B20" s="13" t="n">
        <f aca="false">COUNTA(6_Source_File_Index!A2:A341)</f>
        <v>340</v>
      </c>
      <c r="C20" s="13" t="s">
        <v>60</v>
      </c>
    </row>
    <row r="21" customFormat="false" ht="15" hidden="false" customHeight="false" outlineLevel="0" collapsed="false">
      <c r="A21" s="13" t="s">
        <v>13</v>
      </c>
      <c r="B21" s="13" t="n">
        <f aca="false">COUNTIF(6_Source_File_Index!I2:I341,"redundant copy")</f>
        <v>150</v>
      </c>
      <c r="C21" s="13" t="s">
        <v>60</v>
      </c>
    </row>
    <row r="22" customFormat="false" ht="15" hidden="false" customHeight="false" outlineLevel="0" collapsed="false">
      <c r="A22" s="13" t="s">
        <v>3615</v>
      </c>
      <c r="B22" s="13" t="n">
        <f aca="false">COUNTA(7_Batch_Index!A2:A189)</f>
        <v>188</v>
      </c>
      <c r="C22" s="13"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2026-08-22T00:12:35Z</dcterms:created>
  <dc:creator>openpyxl</dc:creator>
  <dc:description/>
  <dc:language>en-US</dc:language>
  <cp:lastModifiedBy/>
  <dcterms:modified xsi:type="dcterms:W3CDTF">2026-08-22T00:12:36Z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